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e0da5cbda3159516/Documents/"/>
    </mc:Choice>
  </mc:AlternateContent>
  <xr:revisionPtr revIDLastSave="549" documentId="8_{E636A845-665C-4A00-B67C-8ABA484E83BA}" xr6:coauthVersionLast="47" xr6:coauthVersionMax="47" xr10:uidLastSave="{CF26A319-A7CE-42E5-81A0-3F109BDC5749}"/>
  <bookViews>
    <workbookView xWindow="-108" yWindow="-108" windowWidth="23256" windowHeight="12456" activeTab="2" xr2:uid="{2BD10550-DB27-4A6B-9CAB-FDE33135F815}"/>
  </bookViews>
  <sheets>
    <sheet name="supermarket_sales" sheetId="1" r:id="rId1"/>
    <sheet name="All cleaning steps" sheetId="2" r:id="rId2"/>
    <sheet name="Cleaned Dataset" sheetId="3" r:id="rId3"/>
    <sheet name="Pivot Table" sheetId="4" r:id="rId4"/>
  </sheets>
  <definedNames>
    <definedName name="_xlnm._FilterDatabase" localSheetId="1" hidden="1">'All cleaning steps'!$A$1:$T$1001</definedName>
    <definedName name="_xlnm._FilterDatabase" localSheetId="2" hidden="1">'Cleaned Dataset'!$A$1:$T$1001</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40" i="2" l="1"/>
  <c r="J339" i="2"/>
  <c r="J338" i="2"/>
  <c r="J337" i="2"/>
  <c r="J336" i="2"/>
  <c r="J335" i="2"/>
  <c r="J310" i="2"/>
  <c r="J309" i="2"/>
  <c r="J308" i="2"/>
  <c r="J307" i="2"/>
  <c r="J306" i="2"/>
  <c r="J305" i="2"/>
  <c r="J304" i="2"/>
  <c r="J303" i="2"/>
  <c r="J280" i="2"/>
  <c r="J262" i="2"/>
  <c r="J261" i="2"/>
  <c r="J238" i="2"/>
  <c r="J237" i="2"/>
  <c r="J236" i="2"/>
  <c r="J212" i="2"/>
  <c r="J211" i="2"/>
  <c r="J210" i="2"/>
  <c r="J209" i="2"/>
  <c r="J208" i="2"/>
  <c r="J191" i="2"/>
  <c r="J190" i="2"/>
  <c r="J189" i="2"/>
  <c r="J188" i="2"/>
  <c r="J187" i="2"/>
  <c r="J186" i="2"/>
  <c r="J185" i="2"/>
  <c r="J184" i="2"/>
  <c r="J183" i="2"/>
  <c r="J182" i="2"/>
  <c r="J181" i="2"/>
  <c r="J180" i="2"/>
  <c r="J179" i="2"/>
  <c r="J178" i="2"/>
  <c r="J177" i="2"/>
  <c r="J159" i="2"/>
  <c r="J158" i="2"/>
  <c r="J157" i="2"/>
  <c r="J156" i="2"/>
  <c r="J155" i="2"/>
  <c r="J154" i="2"/>
  <c r="J153" i="2"/>
  <c r="J152" i="2"/>
  <c r="J140" i="2"/>
  <c r="J139" i="2"/>
  <c r="J138" i="2"/>
  <c r="J137" i="2"/>
  <c r="J136" i="2"/>
  <c r="J135" i="2"/>
  <c r="J134" i="2"/>
  <c r="J133" i="2"/>
  <c r="J132" i="2"/>
  <c r="J131" i="2"/>
  <c r="J130" i="2"/>
  <c r="J129" i="2"/>
  <c r="J128" i="2"/>
  <c r="J127" i="2"/>
  <c r="J126" i="2"/>
  <c r="J102" i="2"/>
  <c r="J101" i="2"/>
  <c r="J100" i="2"/>
  <c r="J99" i="2"/>
  <c r="J98" i="2"/>
  <c r="J97" i="2"/>
  <c r="J96" i="2"/>
  <c r="J95" i="2"/>
  <c r="J94" i="2"/>
  <c r="J93" i="2"/>
  <c r="J92" i="2"/>
  <c r="J91" i="2"/>
  <c r="J90" i="2"/>
  <c r="J89" i="2"/>
  <c r="J88" i="2"/>
  <c r="J87" i="2"/>
  <c r="J86" i="2"/>
  <c r="J85" i="2"/>
  <c r="J84" i="2"/>
  <c r="J83" i="2"/>
  <c r="J82" i="2"/>
  <c r="J81" i="2"/>
  <c r="J80" i="2"/>
  <c r="J63" i="2"/>
  <c r="J39" i="2"/>
  <c r="J38" i="2"/>
  <c r="J37" i="2"/>
  <c r="J36" i="2"/>
  <c r="J25" i="2"/>
  <c r="J24" i="2"/>
  <c r="J23" i="2"/>
  <c r="J22" i="2"/>
  <c r="J21" i="2"/>
  <c r="J20" i="2"/>
  <c r="J19" i="2"/>
  <c r="J18" i="2"/>
  <c r="J17" i="2"/>
  <c r="J16" i="2"/>
  <c r="J15" i="2"/>
  <c r="J14" i="2"/>
  <c r="J13" i="2"/>
  <c r="Y18" i="2"/>
  <c r="Z6" i="2"/>
  <c r="Z4" i="2"/>
  <c r="Z2" i="2"/>
  <c r="J19" i="3"/>
  <c r="J340" i="3"/>
  <c r="J339" i="3"/>
  <c r="J338" i="3"/>
  <c r="J337" i="3"/>
  <c r="J336" i="3"/>
  <c r="J335" i="3"/>
  <c r="J310" i="3"/>
  <c r="J309" i="3"/>
  <c r="J308" i="3"/>
  <c r="J307" i="3"/>
  <c r="J306" i="3"/>
  <c r="J305" i="3"/>
  <c r="J304" i="3"/>
  <c r="J303" i="3"/>
  <c r="J280" i="3"/>
  <c r="J262" i="3"/>
  <c r="J261" i="3"/>
  <c r="J238" i="3"/>
  <c r="J237" i="3"/>
  <c r="J236" i="3"/>
  <c r="J212" i="3"/>
  <c r="J211" i="3"/>
  <c r="J210" i="3"/>
  <c r="J209" i="3"/>
  <c r="J208" i="3"/>
  <c r="J191" i="3"/>
  <c r="J190" i="3"/>
  <c r="J189" i="3"/>
  <c r="J188" i="3"/>
  <c r="J187" i="3"/>
  <c r="J186" i="3"/>
  <c r="J185" i="3"/>
  <c r="J184" i="3"/>
  <c r="J183" i="3"/>
  <c r="J182" i="3"/>
  <c r="J181" i="3"/>
  <c r="J180" i="3"/>
  <c r="J179" i="3"/>
  <c r="J178" i="3"/>
  <c r="J177" i="3"/>
  <c r="J159" i="3"/>
  <c r="J158" i="3"/>
  <c r="J157" i="3"/>
  <c r="J156" i="3"/>
  <c r="J155" i="3"/>
  <c r="J154" i="3"/>
  <c r="J153" i="3"/>
  <c r="J152" i="3"/>
  <c r="J140" i="3"/>
  <c r="J139" i="3"/>
  <c r="J138" i="3"/>
  <c r="J137" i="3"/>
  <c r="J136" i="3"/>
  <c r="J135" i="3"/>
  <c r="J134" i="3"/>
  <c r="J133" i="3"/>
  <c r="J132" i="3"/>
  <c r="J131" i="3"/>
  <c r="J130" i="3"/>
  <c r="J129" i="3"/>
  <c r="J128" i="3"/>
  <c r="J127" i="3"/>
  <c r="J126" i="3"/>
  <c r="J102" i="3"/>
  <c r="J101" i="3"/>
  <c r="J100" i="3"/>
  <c r="J99" i="3"/>
  <c r="J98" i="3"/>
  <c r="J97" i="3"/>
  <c r="J96" i="3"/>
  <c r="J95" i="3"/>
  <c r="J94" i="3"/>
  <c r="J93" i="3"/>
  <c r="J92" i="3"/>
  <c r="J91" i="3"/>
  <c r="J90" i="3"/>
  <c r="J89" i="3"/>
  <c r="J88" i="3"/>
  <c r="J87" i="3"/>
  <c r="J86" i="3"/>
  <c r="J85" i="3"/>
  <c r="J84" i="3"/>
  <c r="J83" i="3"/>
  <c r="J82" i="3"/>
  <c r="J81" i="3"/>
  <c r="J80" i="3"/>
  <c r="J63" i="3"/>
  <c r="J39" i="3"/>
  <c r="J38" i="3"/>
  <c r="J37" i="3"/>
  <c r="J36" i="3"/>
  <c r="J25" i="3"/>
  <c r="J24" i="3"/>
  <c r="J23" i="3"/>
  <c r="J22" i="3"/>
  <c r="J21" i="3"/>
  <c r="J20" i="3"/>
  <c r="J18" i="3"/>
  <c r="J17" i="3"/>
  <c r="J16" i="3"/>
  <c r="J15" i="3"/>
  <c r="J14" i="3"/>
  <c r="J13" i="3"/>
  <c r="W23" i="2"/>
  <c r="W21" i="2"/>
  <c r="W19" i="2"/>
  <c r="W17" i="2"/>
  <c r="W15" i="2"/>
  <c r="W13" i="2"/>
  <c r="W8" i="2"/>
  <c r="W6" i="2"/>
  <c r="W3" i="2"/>
  <c r="W1" i="2"/>
</calcChain>
</file>

<file path=xl/sharedStrings.xml><?xml version="1.0" encoding="utf-8"?>
<sst xmlns="http://schemas.openxmlformats.org/spreadsheetml/2006/main" count="23800" uniqueCount="1539">
  <si>
    <t>Invoice ID</t>
  </si>
  <si>
    <t>Branch</t>
  </si>
  <si>
    <t>CustomerID</t>
  </si>
  <si>
    <t>City</t>
  </si>
  <si>
    <t>Customer type</t>
  </si>
  <si>
    <t>Gender</t>
  </si>
  <si>
    <t>Product line</t>
  </si>
  <si>
    <t>Unit price</t>
  </si>
  <si>
    <t>Quantity</t>
  </si>
  <si>
    <t>Tax 5%</t>
  </si>
  <si>
    <t>Total</t>
  </si>
  <si>
    <t>Date</t>
  </si>
  <si>
    <t>Time</t>
  </si>
  <si>
    <t>Payment</t>
  </si>
  <si>
    <t>cogs</t>
  </si>
  <si>
    <t>gross margin percentage</t>
  </si>
  <si>
    <t>gross income</t>
  </si>
  <si>
    <t>Rating</t>
  </si>
  <si>
    <t>Longitude</t>
  </si>
  <si>
    <t>Latitude</t>
  </si>
  <si>
    <t>750-67-8428</t>
  </si>
  <si>
    <t>A</t>
  </si>
  <si>
    <t>C1888</t>
  </si>
  <si>
    <t>Yangon</t>
  </si>
  <si>
    <t>Member</t>
  </si>
  <si>
    <t>Female</t>
  </si>
  <si>
    <t>Health and beauty</t>
  </si>
  <si>
    <t>Ewallet</t>
  </si>
  <si>
    <t>226-31-3081</t>
  </si>
  <si>
    <t>C</t>
  </si>
  <si>
    <t>C1475</t>
  </si>
  <si>
    <t>Naypyitaw</t>
  </si>
  <si>
    <t>Normal</t>
  </si>
  <si>
    <t>Cash</t>
  </si>
  <si>
    <t>631-41-3108</t>
  </si>
  <si>
    <t>C1746</t>
  </si>
  <si>
    <t>Male</t>
  </si>
  <si>
    <t>Credit card</t>
  </si>
  <si>
    <t>123-19-1176</t>
  </si>
  <si>
    <t>C1896</t>
  </si>
  <si>
    <t>373-73-7910</t>
  </si>
  <si>
    <t>C1790</t>
  </si>
  <si>
    <t>699-14-3026</t>
  </si>
  <si>
    <t>C1423</t>
  </si>
  <si>
    <t>355-53-5943</t>
  </si>
  <si>
    <t>C1723</t>
  </si>
  <si>
    <t>315-22-5665</t>
  </si>
  <si>
    <t>C1471</t>
  </si>
  <si>
    <t>665-32-9167</t>
  </si>
  <si>
    <t>C1707</t>
  </si>
  <si>
    <t>692-92-5582</t>
  </si>
  <si>
    <t>B</t>
  </si>
  <si>
    <t>C1277</t>
  </si>
  <si>
    <t>Mandalay</t>
  </si>
  <si>
    <t>351-62-0822</t>
  </si>
  <si>
    <t>C1300</t>
  </si>
  <si>
    <t>529-56-3974</t>
  </si>
  <si>
    <t>C1264</t>
  </si>
  <si>
    <t>365-64-0515</t>
  </si>
  <si>
    <t>C1710</t>
  </si>
  <si>
    <t>Electronic accessories</t>
  </si>
  <si>
    <t>252-56-2699</t>
  </si>
  <si>
    <t>C1726</t>
  </si>
  <si>
    <t>Food and beverages</t>
  </si>
  <si>
    <t>829-34-3910</t>
  </si>
  <si>
    <t>C1702</t>
  </si>
  <si>
    <t>299-46-1805</t>
  </si>
  <si>
    <t>C1280</t>
  </si>
  <si>
    <t>Sports and travel</t>
  </si>
  <si>
    <t>656-95-9349</t>
  </si>
  <si>
    <t>C1799</t>
  </si>
  <si>
    <t>765-26-6951</t>
  </si>
  <si>
    <t>C1669</t>
  </si>
  <si>
    <t>329-62-1586</t>
  </si>
  <si>
    <t>C1645</t>
  </si>
  <si>
    <t>319-50-3348</t>
  </si>
  <si>
    <t>C1207</t>
  </si>
  <si>
    <t>Home and lifestyle</t>
  </si>
  <si>
    <t>300-71-4605</t>
  </si>
  <si>
    <t>C1462</t>
  </si>
  <si>
    <t>371-85-5789</t>
  </si>
  <si>
    <t>C1217</t>
  </si>
  <si>
    <t>273-16-6619</t>
  </si>
  <si>
    <t>C1243</t>
  </si>
  <si>
    <t>636-48-8204</t>
  </si>
  <si>
    <t>C1773</t>
  </si>
  <si>
    <t>549-59-1358</t>
  </si>
  <si>
    <t>C1863</t>
  </si>
  <si>
    <t>227-03-5010</t>
  </si>
  <si>
    <t>C1657</t>
  </si>
  <si>
    <t>649-29-6775</t>
  </si>
  <si>
    <t>C1240</t>
  </si>
  <si>
    <t>189-17-4241</t>
  </si>
  <si>
    <t>C1629</t>
  </si>
  <si>
    <t>145-94-9061</t>
  </si>
  <si>
    <t>C1250</t>
  </si>
  <si>
    <t>848-62-7243</t>
  </si>
  <si>
    <t>C1764</t>
  </si>
  <si>
    <t>871-79-8483</t>
  </si>
  <si>
    <t>C1270</t>
  </si>
  <si>
    <t>Fashion accessories</t>
  </si>
  <si>
    <t>149-71-6266</t>
  </si>
  <si>
    <t>C1246</t>
  </si>
  <si>
    <t>640-49-2076</t>
  </si>
  <si>
    <t>C1212</t>
  </si>
  <si>
    <t>595-11-5460</t>
  </si>
  <si>
    <t>183-56-6882</t>
  </si>
  <si>
    <t>C1396</t>
  </si>
  <si>
    <t>232-16-2483</t>
  </si>
  <si>
    <t>C1448</t>
  </si>
  <si>
    <t>129-29-8530</t>
  </si>
  <si>
    <t>C1882</t>
  </si>
  <si>
    <t>272-65-1806</t>
  </si>
  <si>
    <t>C1770</t>
  </si>
  <si>
    <t>333-73-7901</t>
  </si>
  <si>
    <t>C1329</t>
  </si>
  <si>
    <t>777-82-7220</t>
  </si>
  <si>
    <t>C1218</t>
  </si>
  <si>
    <t>280-35-5823</t>
  </si>
  <si>
    <t>C1201</t>
  </si>
  <si>
    <t>554-53-8700</t>
  </si>
  <si>
    <t>C1357</t>
  </si>
  <si>
    <t>354-25-5821</t>
  </si>
  <si>
    <t>C1274</t>
  </si>
  <si>
    <t>228-96-1411</t>
  </si>
  <si>
    <t>C1312</t>
  </si>
  <si>
    <t>617-15-4209</t>
  </si>
  <si>
    <t>C1470</t>
  </si>
  <si>
    <t>132-32-9879</t>
  </si>
  <si>
    <t>C1221</t>
  </si>
  <si>
    <t>370-41-7321</t>
  </si>
  <si>
    <t>727-46-3608</t>
  </si>
  <si>
    <t>C1235</t>
  </si>
  <si>
    <t>669-54-1719</t>
  </si>
  <si>
    <t>C1202</t>
  </si>
  <si>
    <t>574-22-5561</t>
  </si>
  <si>
    <t>C1352</t>
  </si>
  <si>
    <t>326-78-5178</t>
  </si>
  <si>
    <t>C1453</t>
  </si>
  <si>
    <t>162-48-8011</t>
  </si>
  <si>
    <t>616-24-2851</t>
  </si>
  <si>
    <t>C1290</t>
  </si>
  <si>
    <t>778-71-5554</t>
  </si>
  <si>
    <t>C1401</t>
  </si>
  <si>
    <t>242-55-6721</t>
  </si>
  <si>
    <t>C1236</t>
  </si>
  <si>
    <t>399-46-5918</t>
  </si>
  <si>
    <t>C1491</t>
  </si>
  <si>
    <t>106-35-6779</t>
  </si>
  <si>
    <t>635-40-6220</t>
  </si>
  <si>
    <t>C1720</t>
  </si>
  <si>
    <t>817-48-8732</t>
  </si>
  <si>
    <t>C1760</t>
  </si>
  <si>
    <t>120-06-4233</t>
  </si>
  <si>
    <t>C1365</t>
  </si>
  <si>
    <t>285-68-5083</t>
  </si>
  <si>
    <t>C1409</t>
  </si>
  <si>
    <t>803-83-5989</t>
  </si>
  <si>
    <t>C1301</t>
  </si>
  <si>
    <t>347-34-2234</t>
  </si>
  <si>
    <t>199-75-8169</t>
  </si>
  <si>
    <t>C1810</t>
  </si>
  <si>
    <t>853-23-2453</t>
  </si>
  <si>
    <t>877-22-3308</t>
  </si>
  <si>
    <t>C1846</t>
  </si>
  <si>
    <t>838-78-4295</t>
  </si>
  <si>
    <t>C1472</t>
  </si>
  <si>
    <t>109-28-2512</t>
  </si>
  <si>
    <t>232-11-3025</t>
  </si>
  <si>
    <t>C1747</t>
  </si>
  <si>
    <t>382-03-4532</t>
  </si>
  <si>
    <t>393-65-2792</t>
  </si>
  <si>
    <t>796-12-2025</t>
  </si>
  <si>
    <t>C1368</t>
  </si>
  <si>
    <t>510-95-6347</t>
  </si>
  <si>
    <t>C1262</t>
  </si>
  <si>
    <t>841-35-6630</t>
  </si>
  <si>
    <t>C1302</t>
  </si>
  <si>
    <t>287-21-9091</t>
  </si>
  <si>
    <t>C1894</t>
  </si>
  <si>
    <t>732-94-0499</t>
  </si>
  <si>
    <t>C1477</t>
  </si>
  <si>
    <t>263-10-3913</t>
  </si>
  <si>
    <t>C1380</t>
  </si>
  <si>
    <t>381-20-0914</t>
  </si>
  <si>
    <t>C1775</t>
  </si>
  <si>
    <t>829-49-1914</t>
  </si>
  <si>
    <t>756-01-7507</t>
  </si>
  <si>
    <t>C1434</t>
  </si>
  <si>
    <t>870-72-4431</t>
  </si>
  <si>
    <t>C1484</t>
  </si>
  <si>
    <t>847-38-7188</t>
  </si>
  <si>
    <t>C1285</t>
  </si>
  <si>
    <t>480-63-2856</t>
  </si>
  <si>
    <t>787-56-0757</t>
  </si>
  <si>
    <t>C1419</t>
  </si>
  <si>
    <t>360-39-5055</t>
  </si>
  <si>
    <t>C1345</t>
  </si>
  <si>
    <t>730-50-9884</t>
  </si>
  <si>
    <t>C1440</t>
  </si>
  <si>
    <t>362-58-8315</t>
  </si>
  <si>
    <t>C1313</t>
  </si>
  <si>
    <t>633-44-8566</t>
  </si>
  <si>
    <t>C1785</t>
  </si>
  <si>
    <t>504-35-8843</t>
  </si>
  <si>
    <t>C1815</t>
  </si>
  <si>
    <t>318-68-5053</t>
  </si>
  <si>
    <t>C1299</t>
  </si>
  <si>
    <t>565-80-5980</t>
  </si>
  <si>
    <t>C1407</t>
  </si>
  <si>
    <t>225-32-0908</t>
  </si>
  <si>
    <t>C1362</t>
  </si>
  <si>
    <t>873-51-0671</t>
  </si>
  <si>
    <t>C1898</t>
  </si>
  <si>
    <t>152-08-9985</t>
  </si>
  <si>
    <t>C1232</t>
  </si>
  <si>
    <t>512-91-0811</t>
  </si>
  <si>
    <t>C1303</t>
  </si>
  <si>
    <t>594-34-4444</t>
  </si>
  <si>
    <t>C1787</t>
  </si>
  <si>
    <t>766-85-7061</t>
  </si>
  <si>
    <t>C1205</t>
  </si>
  <si>
    <t>871-39-9221</t>
  </si>
  <si>
    <t>C1398</t>
  </si>
  <si>
    <t>865-92-6136</t>
  </si>
  <si>
    <t>C1623</t>
  </si>
  <si>
    <t>733-01-9107</t>
  </si>
  <si>
    <t>C1259</t>
  </si>
  <si>
    <t>163-56-7055</t>
  </si>
  <si>
    <t>C1353</t>
  </si>
  <si>
    <t>189-98-2939</t>
  </si>
  <si>
    <t>C1310</t>
  </si>
  <si>
    <t>551-21-3069</t>
  </si>
  <si>
    <t>C1412</t>
  </si>
  <si>
    <t>212-62-1842</t>
  </si>
  <si>
    <t>C1698</t>
  </si>
  <si>
    <t>716-39-1409</t>
  </si>
  <si>
    <t>704-48-3927</t>
  </si>
  <si>
    <t>C1633</t>
  </si>
  <si>
    <t>628-34-3388</t>
  </si>
  <si>
    <t>630-74-5166</t>
  </si>
  <si>
    <t>C1822</t>
  </si>
  <si>
    <t>588-01-7461</t>
  </si>
  <si>
    <t>C1333</t>
  </si>
  <si>
    <t>861-77-0145</t>
  </si>
  <si>
    <t>C1498</t>
  </si>
  <si>
    <t>479-26-8945</t>
  </si>
  <si>
    <t>210-67-5886</t>
  </si>
  <si>
    <t>C1334</t>
  </si>
  <si>
    <t>227-78-1148</t>
  </si>
  <si>
    <t>C1220</t>
  </si>
  <si>
    <t>645-44-1170</t>
  </si>
  <si>
    <t>C1640</t>
  </si>
  <si>
    <t>237-01-6122</t>
  </si>
  <si>
    <t>C1395</t>
  </si>
  <si>
    <t>225-98-1496</t>
  </si>
  <si>
    <t>C1350</t>
  </si>
  <si>
    <t>291-32-1427</t>
  </si>
  <si>
    <t>C1223</t>
  </si>
  <si>
    <t>659-65-8956</t>
  </si>
  <si>
    <t>C1279</t>
  </si>
  <si>
    <t>642-32-2990</t>
  </si>
  <si>
    <t>C1619</t>
  </si>
  <si>
    <t>378-24-2715</t>
  </si>
  <si>
    <t>638-60-7125</t>
  </si>
  <si>
    <t>C1706</t>
  </si>
  <si>
    <t>659-36-1684</t>
  </si>
  <si>
    <t>219-22-9386</t>
  </si>
  <si>
    <t>C1242</t>
  </si>
  <si>
    <t>336-78-2147</t>
  </si>
  <si>
    <t>C1417</t>
  </si>
  <si>
    <t>268-27-6179</t>
  </si>
  <si>
    <t>668-90-8900</t>
  </si>
  <si>
    <t>870-54-3162</t>
  </si>
  <si>
    <t>C1627</t>
  </si>
  <si>
    <t>189-08-9157</t>
  </si>
  <si>
    <t>C1454</t>
  </si>
  <si>
    <t>663-86-9076</t>
  </si>
  <si>
    <t>C1456</t>
  </si>
  <si>
    <t>549-84-7482</t>
  </si>
  <si>
    <t>C1252</t>
  </si>
  <si>
    <t>191-10-6171</t>
  </si>
  <si>
    <t>C1247</t>
  </si>
  <si>
    <t>802-70-5316</t>
  </si>
  <si>
    <t>C1742</t>
  </si>
  <si>
    <t>695-51-0018</t>
  </si>
  <si>
    <t>C1222</t>
  </si>
  <si>
    <t>590-83-4591</t>
  </si>
  <si>
    <t>C1258</t>
  </si>
  <si>
    <t>483-71-1164</t>
  </si>
  <si>
    <t>C1340</t>
  </si>
  <si>
    <t>597-78-7908</t>
  </si>
  <si>
    <t>700-81-1757</t>
  </si>
  <si>
    <t>354-39-5160</t>
  </si>
  <si>
    <t>C1632</t>
  </si>
  <si>
    <t>241-72-9525</t>
  </si>
  <si>
    <t>C1260</t>
  </si>
  <si>
    <t>575-30-8091</t>
  </si>
  <si>
    <t>731-81-9469</t>
  </si>
  <si>
    <t>C1331</t>
  </si>
  <si>
    <t>280-17-4359</t>
  </si>
  <si>
    <t>C1492</t>
  </si>
  <si>
    <t>338-65-2210</t>
  </si>
  <si>
    <t>C1421</t>
  </si>
  <si>
    <t>488-25-4221</t>
  </si>
  <si>
    <t>C1414</t>
  </si>
  <si>
    <t>239-10-7476</t>
  </si>
  <si>
    <t>C1860</t>
  </si>
  <si>
    <t>458-41-1477</t>
  </si>
  <si>
    <t>C1364</t>
  </si>
  <si>
    <t>685-64-1609</t>
  </si>
  <si>
    <t>C1732</t>
  </si>
  <si>
    <t>568-90-5112</t>
  </si>
  <si>
    <t>C1489</t>
  </si>
  <si>
    <t>262-47-2794</t>
  </si>
  <si>
    <t>238-49-0436</t>
  </si>
  <si>
    <t>C1736</t>
  </si>
  <si>
    <t>608-96-3517</t>
  </si>
  <si>
    <t>C1296</t>
  </si>
  <si>
    <t>584-86-7256</t>
  </si>
  <si>
    <t>C1391</t>
  </si>
  <si>
    <t>746-94-0204</t>
  </si>
  <si>
    <t>214-17-6927</t>
  </si>
  <si>
    <t>C1403</t>
  </si>
  <si>
    <t>400-89-4171</t>
  </si>
  <si>
    <t>782-95-9291</t>
  </si>
  <si>
    <t>C1647</t>
  </si>
  <si>
    <t>279-74-2924</t>
  </si>
  <si>
    <t>C1291</t>
  </si>
  <si>
    <t>307-85-2293</t>
  </si>
  <si>
    <t>743-04-1105</t>
  </si>
  <si>
    <t>C1230</t>
  </si>
  <si>
    <t>423-57-2993</t>
  </si>
  <si>
    <t>C1216</t>
  </si>
  <si>
    <t>894-41-5205</t>
  </si>
  <si>
    <t>C1416</t>
  </si>
  <si>
    <t>275-28-0149</t>
  </si>
  <si>
    <t>C1722</t>
  </si>
  <si>
    <t>101-17-6199</t>
  </si>
  <si>
    <t>C1665</t>
  </si>
  <si>
    <t>423-80-0988</t>
  </si>
  <si>
    <t>C1427</t>
  </si>
  <si>
    <t>548-46-9322</t>
  </si>
  <si>
    <t>C1244</t>
  </si>
  <si>
    <t>505-02-0892</t>
  </si>
  <si>
    <t>C1237</t>
  </si>
  <si>
    <t>234-65-2137</t>
  </si>
  <si>
    <t>C1315</t>
  </si>
  <si>
    <t>687-47-8271</t>
  </si>
  <si>
    <t>C1681</t>
  </si>
  <si>
    <t>796-32-9050</t>
  </si>
  <si>
    <t>C1626</t>
  </si>
  <si>
    <t>105-31-1824</t>
  </si>
  <si>
    <t>249-42-3782</t>
  </si>
  <si>
    <t>C1673</t>
  </si>
  <si>
    <t>316-55-4634</t>
  </si>
  <si>
    <t>C1276</t>
  </si>
  <si>
    <t>733-33-4967</t>
  </si>
  <si>
    <t>C1449</t>
  </si>
  <si>
    <t>608-27-6295</t>
  </si>
  <si>
    <t>414-12-7047</t>
  </si>
  <si>
    <t>C1283</t>
  </si>
  <si>
    <t>827-26-2100</t>
  </si>
  <si>
    <t>C1761</t>
  </si>
  <si>
    <t>175-54-2529</t>
  </si>
  <si>
    <t>C1878</t>
  </si>
  <si>
    <t>139-52-2867</t>
  </si>
  <si>
    <t>C1372</t>
  </si>
  <si>
    <t>407-63-8975</t>
  </si>
  <si>
    <t>C1631</t>
  </si>
  <si>
    <t>342-65-4817</t>
  </si>
  <si>
    <t>C1311</t>
  </si>
  <si>
    <t>130-98-8941</t>
  </si>
  <si>
    <t>434-83-9547</t>
  </si>
  <si>
    <t>C1405</t>
  </si>
  <si>
    <t>851-28-6367</t>
  </si>
  <si>
    <t>C1712</t>
  </si>
  <si>
    <t>824-88-3614</t>
  </si>
  <si>
    <t>C1361</t>
  </si>
  <si>
    <t>586-25-0848</t>
  </si>
  <si>
    <t>C1603</t>
  </si>
  <si>
    <t>895-66-0685</t>
  </si>
  <si>
    <t>C1225</t>
  </si>
  <si>
    <t>305-14-0245</t>
  </si>
  <si>
    <t>732-04-5373</t>
  </si>
  <si>
    <t>C1261</t>
  </si>
  <si>
    <t>400-60-7251</t>
  </si>
  <si>
    <t>C1838</t>
  </si>
  <si>
    <t>593-65-1552</t>
  </si>
  <si>
    <t>C1425</t>
  </si>
  <si>
    <t>284-34-9626</t>
  </si>
  <si>
    <t>437-58-8131</t>
  </si>
  <si>
    <t>C1273</t>
  </si>
  <si>
    <t>286-43-6208</t>
  </si>
  <si>
    <t>C1376</t>
  </si>
  <si>
    <t>641-43-2399</t>
  </si>
  <si>
    <t>831-07-6050</t>
  </si>
  <si>
    <t>C1624</t>
  </si>
  <si>
    <t>556-86-3144</t>
  </si>
  <si>
    <t>C1386</t>
  </si>
  <si>
    <t>848-24-9445</t>
  </si>
  <si>
    <t>C1389</t>
  </si>
  <si>
    <t>856-22-8149</t>
  </si>
  <si>
    <t>C1808</t>
  </si>
  <si>
    <t>699-01-4164</t>
  </si>
  <si>
    <t>C1314</t>
  </si>
  <si>
    <t>420-11-4919</t>
  </si>
  <si>
    <t>C1474</t>
  </si>
  <si>
    <t>606-80-4905</t>
  </si>
  <si>
    <t>542-41-0513</t>
  </si>
  <si>
    <t>426-39-2418</t>
  </si>
  <si>
    <t>C1304</t>
  </si>
  <si>
    <t>875-46-5808</t>
  </si>
  <si>
    <t>394-43-4238</t>
  </si>
  <si>
    <t>749-24-1565</t>
  </si>
  <si>
    <t>C1757</t>
  </si>
  <si>
    <t>672-51-8681</t>
  </si>
  <si>
    <t>C1320</t>
  </si>
  <si>
    <t>263-87-5680</t>
  </si>
  <si>
    <t>C1431</t>
  </si>
  <si>
    <t>573-58-9734</t>
  </si>
  <si>
    <t>817-69-8206</t>
  </si>
  <si>
    <t>888-02-0338</t>
  </si>
  <si>
    <t>677-11-0152</t>
  </si>
  <si>
    <t>C1473</t>
  </si>
  <si>
    <t>142-63-6033</t>
  </si>
  <si>
    <t>C1281</t>
  </si>
  <si>
    <t>656-16-1063</t>
  </si>
  <si>
    <t>C1294</t>
  </si>
  <si>
    <t>891-58-8335</t>
  </si>
  <si>
    <t>C1282</t>
  </si>
  <si>
    <t>802-43-8934</t>
  </si>
  <si>
    <t>C1654</t>
  </si>
  <si>
    <t>560-30-5617</t>
  </si>
  <si>
    <t>319-74-2561</t>
  </si>
  <si>
    <t>C1693</t>
  </si>
  <si>
    <t>549-03-9315</t>
  </si>
  <si>
    <t>C1287</t>
  </si>
  <si>
    <t>790-29-1172</t>
  </si>
  <si>
    <t>239-36-3640</t>
  </si>
  <si>
    <t>C1208</t>
  </si>
  <si>
    <t>468-01-2051</t>
  </si>
  <si>
    <t>389-25-3394</t>
  </si>
  <si>
    <t>C1452</t>
  </si>
  <si>
    <t>279-62-1445</t>
  </si>
  <si>
    <t>C1499</t>
  </si>
  <si>
    <t>213-72-6612</t>
  </si>
  <si>
    <t>C1664</t>
  </si>
  <si>
    <t>746-68-6593</t>
  </si>
  <si>
    <t>C1497</t>
  </si>
  <si>
    <t>836-82-5858</t>
  </si>
  <si>
    <t>583-72-1480</t>
  </si>
  <si>
    <t>C1393</t>
  </si>
  <si>
    <t>466-61-5506</t>
  </si>
  <si>
    <t>C1211</t>
  </si>
  <si>
    <t>721-86-6247</t>
  </si>
  <si>
    <t>289-65-5721</t>
  </si>
  <si>
    <t>545-46-3100</t>
  </si>
  <si>
    <t>C1263</t>
  </si>
  <si>
    <t>418-02-5978</t>
  </si>
  <si>
    <t>269-04-5750</t>
  </si>
  <si>
    <t>157-13-5295</t>
  </si>
  <si>
    <t>C1776</t>
  </si>
  <si>
    <t>645-78-8093</t>
  </si>
  <si>
    <t>C1816</t>
  </si>
  <si>
    <t>211-30-9270</t>
  </si>
  <si>
    <t>C1373</t>
  </si>
  <si>
    <t>755-12-3214</t>
  </si>
  <si>
    <t>346-84-3103</t>
  </si>
  <si>
    <t>C1268</t>
  </si>
  <si>
    <t>478-06-7835</t>
  </si>
  <si>
    <t>540-11-4336</t>
  </si>
  <si>
    <t>C1641</t>
  </si>
  <si>
    <t>448-81-5016</t>
  </si>
  <si>
    <t>142-72-4741</t>
  </si>
  <si>
    <t>C1377</t>
  </si>
  <si>
    <t>217-58-1179</t>
  </si>
  <si>
    <t>C1762</t>
  </si>
  <si>
    <t>376-02-8238</t>
  </si>
  <si>
    <t>C1278</t>
  </si>
  <si>
    <t>530-90-9855</t>
  </si>
  <si>
    <t>C1758</t>
  </si>
  <si>
    <t>866-05-7563</t>
  </si>
  <si>
    <t>604-70-6476</t>
  </si>
  <si>
    <t>C1737</t>
  </si>
  <si>
    <t>799-71-1548</t>
  </si>
  <si>
    <t>C1886</t>
  </si>
  <si>
    <t>785-13-7708</t>
  </si>
  <si>
    <t>845-51-0542</t>
  </si>
  <si>
    <t>C1297</t>
  </si>
  <si>
    <t>662-47-5456</t>
  </si>
  <si>
    <t>C1317</t>
  </si>
  <si>
    <t>883-17-4236</t>
  </si>
  <si>
    <t>C1486</t>
  </si>
  <si>
    <t>290-68-2984</t>
  </si>
  <si>
    <t>C1895</t>
  </si>
  <si>
    <t>704-11-6354</t>
  </si>
  <si>
    <t>110-48-7033</t>
  </si>
  <si>
    <t>C1293</t>
  </si>
  <si>
    <t>366-93-0948</t>
  </si>
  <si>
    <t>C1696</t>
  </si>
  <si>
    <t>729-09-9681</t>
  </si>
  <si>
    <t>C1694</t>
  </si>
  <si>
    <t>151-16-1484</t>
  </si>
  <si>
    <t>C1721</t>
  </si>
  <si>
    <t>380-94-4661</t>
  </si>
  <si>
    <t>C1487</t>
  </si>
  <si>
    <t>850-41-9669</t>
  </si>
  <si>
    <t>821-07-3596</t>
  </si>
  <si>
    <t>C1322</t>
  </si>
  <si>
    <t>655-85-5130</t>
  </si>
  <si>
    <t>447-15-7839</t>
  </si>
  <si>
    <t>C1739</t>
  </si>
  <si>
    <t>154-74-7179</t>
  </si>
  <si>
    <t>C1227</t>
  </si>
  <si>
    <t>253-12-6086</t>
  </si>
  <si>
    <t>C1731</t>
  </si>
  <si>
    <t>808-65-0703</t>
  </si>
  <si>
    <t>571-94-0759</t>
  </si>
  <si>
    <t>144-51-6085</t>
  </si>
  <si>
    <t>C1601</t>
  </si>
  <si>
    <t>731-14-2199</t>
  </si>
  <si>
    <t>783-09-1637</t>
  </si>
  <si>
    <t>687-15-1097</t>
  </si>
  <si>
    <t>C1306</t>
  </si>
  <si>
    <t>126-54-1082</t>
  </si>
  <si>
    <t>C1870</t>
  </si>
  <si>
    <t>633-91-1052</t>
  </si>
  <si>
    <t>477-24-6490</t>
  </si>
  <si>
    <t>C1219</t>
  </si>
  <si>
    <t>566-19-5475</t>
  </si>
  <si>
    <t>C1206</t>
  </si>
  <si>
    <t>526-86-8552</t>
  </si>
  <si>
    <t>376-56-3573</t>
  </si>
  <si>
    <t>C1367</t>
  </si>
  <si>
    <t>537-72-0426</t>
  </si>
  <si>
    <t>C1392</t>
  </si>
  <si>
    <t>828-61-5674</t>
  </si>
  <si>
    <t>C1727</t>
  </si>
  <si>
    <t>136-08-6195</t>
  </si>
  <si>
    <t>C1811</t>
  </si>
  <si>
    <t>523-38-0215</t>
  </si>
  <si>
    <t>490-29-1201</t>
  </si>
  <si>
    <t>C1800</t>
  </si>
  <si>
    <t>667-92-0055</t>
  </si>
  <si>
    <t>565-17-3836</t>
  </si>
  <si>
    <t>C1791</t>
  </si>
  <si>
    <t>498-41-1961</t>
  </si>
  <si>
    <t>593-95-4461</t>
  </si>
  <si>
    <t>C1439</t>
  </si>
  <si>
    <t>226-71-3580</t>
  </si>
  <si>
    <t>283-79-9594</t>
  </si>
  <si>
    <t>430-60-3493</t>
  </si>
  <si>
    <t>139-20-0155</t>
  </si>
  <si>
    <t>558-80-4082</t>
  </si>
  <si>
    <t>C1469</t>
  </si>
  <si>
    <t>278-97-7759</t>
  </si>
  <si>
    <t>C1781</t>
  </si>
  <si>
    <t>316-68-6352</t>
  </si>
  <si>
    <t>C1767</t>
  </si>
  <si>
    <t>585-03-5943</t>
  </si>
  <si>
    <t>211-05-0490</t>
  </si>
  <si>
    <t>727-75-6477</t>
  </si>
  <si>
    <t>C1332</t>
  </si>
  <si>
    <t>744-02-5987</t>
  </si>
  <si>
    <t>307-83-9164</t>
  </si>
  <si>
    <t>C1672</t>
  </si>
  <si>
    <t>779-06-0012</t>
  </si>
  <si>
    <t>446-47-6729</t>
  </si>
  <si>
    <t>C1408</t>
  </si>
  <si>
    <t>573-10-3877</t>
  </si>
  <si>
    <t>735-06-4124</t>
  </si>
  <si>
    <t>439-54-7422</t>
  </si>
  <si>
    <t>C1611</t>
  </si>
  <si>
    <t>396-90-2219</t>
  </si>
  <si>
    <t>C1286</t>
  </si>
  <si>
    <t>411-77-0180</t>
  </si>
  <si>
    <t>C1622</t>
  </si>
  <si>
    <t>286-01-5402</t>
  </si>
  <si>
    <t>803-17-8013</t>
  </si>
  <si>
    <t>C1620</t>
  </si>
  <si>
    <t>512-98-1403</t>
  </si>
  <si>
    <t>848-42-2560</t>
  </si>
  <si>
    <t>C1670</t>
  </si>
  <si>
    <t>532-59-7201</t>
  </si>
  <si>
    <t>181-94-6432</t>
  </si>
  <si>
    <t>870-76-1733</t>
  </si>
  <si>
    <t>C1777</t>
  </si>
  <si>
    <t>423-64-4619</t>
  </si>
  <si>
    <t>C1858</t>
  </si>
  <si>
    <t>227-07-4446</t>
  </si>
  <si>
    <t>174-36-3675</t>
  </si>
  <si>
    <t>C1383</t>
  </si>
  <si>
    <t>428-83-5800</t>
  </si>
  <si>
    <t>C1411</t>
  </si>
  <si>
    <t>603-07-0961</t>
  </si>
  <si>
    <t>C1308</t>
  </si>
  <si>
    <t>704-20-4138</t>
  </si>
  <si>
    <t>C1375</t>
  </si>
  <si>
    <t>787-15-1757</t>
  </si>
  <si>
    <t>C1358</t>
  </si>
  <si>
    <t>649-11-3678</t>
  </si>
  <si>
    <t>622-20-1945</t>
  </si>
  <si>
    <t>372-94-8041</t>
  </si>
  <si>
    <t>C1879</t>
  </si>
  <si>
    <t>563-91-7120</t>
  </si>
  <si>
    <t>C1730</t>
  </si>
  <si>
    <t>746-54-5508</t>
  </si>
  <si>
    <t>C1851</t>
  </si>
  <si>
    <t>276-54-0879</t>
  </si>
  <si>
    <t>815-11-1168</t>
  </si>
  <si>
    <t>C1607</t>
  </si>
  <si>
    <t>719-76-3868</t>
  </si>
  <si>
    <t>C1485</t>
  </si>
  <si>
    <t>730-61-8757</t>
  </si>
  <si>
    <t>340-66-0321</t>
  </si>
  <si>
    <t>C1809</t>
  </si>
  <si>
    <t>868-81-1752</t>
  </si>
  <si>
    <t>634-97-8956</t>
  </si>
  <si>
    <t>566-71-1091</t>
  </si>
  <si>
    <t>C1854</t>
  </si>
  <si>
    <t>442-48-3607</t>
  </si>
  <si>
    <t>C1659</t>
  </si>
  <si>
    <t>835-16-0096</t>
  </si>
  <si>
    <t>527-09-6272</t>
  </si>
  <si>
    <t>C1679</t>
  </si>
  <si>
    <t>898-04-2717</t>
  </si>
  <si>
    <t>C1704</t>
  </si>
  <si>
    <t>692-27-8933</t>
  </si>
  <si>
    <t>C1239</t>
  </si>
  <si>
    <t>633-09-3463</t>
  </si>
  <si>
    <t>C1482</t>
  </si>
  <si>
    <t>374-17-3652</t>
  </si>
  <si>
    <t>C1272</t>
  </si>
  <si>
    <t>378-07-7001</t>
  </si>
  <si>
    <t>433-75-6987</t>
  </si>
  <si>
    <t>C1249</t>
  </si>
  <si>
    <t>873-95-4984</t>
  </si>
  <si>
    <t>416-13-5917</t>
  </si>
  <si>
    <t>C1466</t>
  </si>
  <si>
    <t>150-89-8043</t>
  </si>
  <si>
    <t>C1763</t>
  </si>
  <si>
    <t>135-84-8019</t>
  </si>
  <si>
    <t>C1652</t>
  </si>
  <si>
    <t>441-94-7118</t>
  </si>
  <si>
    <t>C1833</t>
  </si>
  <si>
    <t>725-96-3778</t>
  </si>
  <si>
    <t>531-80-1784</t>
  </si>
  <si>
    <t>400-45-1220</t>
  </si>
  <si>
    <t>C1284</t>
  </si>
  <si>
    <t>860-79-0874</t>
  </si>
  <si>
    <t>C1429</t>
  </si>
  <si>
    <t>834-61-8124</t>
  </si>
  <si>
    <t>C1856</t>
  </si>
  <si>
    <t>115-99-4379</t>
  </si>
  <si>
    <t>565-67-6697</t>
  </si>
  <si>
    <t>C1255</t>
  </si>
  <si>
    <t>320-49-6392</t>
  </si>
  <si>
    <t>C1354</t>
  </si>
  <si>
    <t>889-04-9723</t>
  </si>
  <si>
    <t>632-90-0281</t>
  </si>
  <si>
    <t>554-42-2417</t>
  </si>
  <si>
    <t>C1341</t>
  </si>
  <si>
    <t>453-63-6187</t>
  </si>
  <si>
    <t>578-80-7669</t>
  </si>
  <si>
    <t>C1204</t>
  </si>
  <si>
    <t>612-36-5536</t>
  </si>
  <si>
    <t>605-72-4132</t>
  </si>
  <si>
    <t>C1327</t>
  </si>
  <si>
    <t>471-41-2823</t>
  </si>
  <si>
    <t>C1415</t>
  </si>
  <si>
    <t>462-67-9126</t>
  </si>
  <si>
    <t>C1724</t>
  </si>
  <si>
    <t>272-27-9238</t>
  </si>
  <si>
    <t>834-25-9262</t>
  </si>
  <si>
    <t>C1379</t>
  </si>
  <si>
    <t>122-61-9553</t>
  </si>
  <si>
    <t>468-88-0009</t>
  </si>
  <si>
    <t>613-59-9758</t>
  </si>
  <si>
    <t>254-31-0042</t>
  </si>
  <si>
    <t>C1835</t>
  </si>
  <si>
    <t>201-86-2184</t>
  </si>
  <si>
    <t>261-12-8671</t>
  </si>
  <si>
    <t>730-70-9830</t>
  </si>
  <si>
    <t>382-25-8917</t>
  </si>
  <si>
    <t>C1460</t>
  </si>
  <si>
    <t>422-29-8786</t>
  </si>
  <si>
    <t>C1615</t>
  </si>
  <si>
    <t>667-23-5919</t>
  </si>
  <si>
    <t>C1868</t>
  </si>
  <si>
    <t>843-01-4703</t>
  </si>
  <si>
    <t>743-88-1662</t>
  </si>
  <si>
    <t>595-86-2894</t>
  </si>
  <si>
    <t>182-69-8360</t>
  </si>
  <si>
    <t>289-15-7034</t>
  </si>
  <si>
    <t>462-78-5240</t>
  </si>
  <si>
    <t>C1369</t>
  </si>
  <si>
    <t>868-52-7573</t>
  </si>
  <si>
    <t>153-58-4872</t>
  </si>
  <si>
    <t>662-72-2873</t>
  </si>
  <si>
    <t>C1635</t>
  </si>
  <si>
    <t>525-88-7307</t>
  </si>
  <si>
    <t>689-16-9784</t>
  </si>
  <si>
    <t>725-56-0833</t>
  </si>
  <si>
    <t>394-41-0748</t>
  </si>
  <si>
    <t>596-42-3999</t>
  </si>
  <si>
    <t>C1228</t>
  </si>
  <si>
    <t>541-89-9860</t>
  </si>
  <si>
    <t>173-82-9529</t>
  </si>
  <si>
    <t>563-36-9814</t>
  </si>
  <si>
    <t>C1609</t>
  </si>
  <si>
    <t>308-47-4913</t>
  </si>
  <si>
    <t>C1840</t>
  </si>
  <si>
    <t>885-17-6250</t>
  </si>
  <si>
    <t>C1661</t>
  </si>
  <si>
    <t>726-27-2396</t>
  </si>
  <si>
    <t>C1812</t>
  </si>
  <si>
    <t>316-01-3952</t>
  </si>
  <si>
    <t>760-54-1821</t>
  </si>
  <si>
    <t>793-10-3222</t>
  </si>
  <si>
    <t>C1215</t>
  </si>
  <si>
    <t>346-12-3257</t>
  </si>
  <si>
    <t>110-05-6330</t>
  </si>
  <si>
    <t>651-61-0874</t>
  </si>
  <si>
    <t>C1309</t>
  </si>
  <si>
    <t>236-86-3015</t>
  </si>
  <si>
    <t>C1437</t>
  </si>
  <si>
    <t>831-64-0259</t>
  </si>
  <si>
    <t>587-03-7455</t>
  </si>
  <si>
    <t>882-40-4577</t>
  </si>
  <si>
    <t>C1750</t>
  </si>
  <si>
    <t>732-67-5346</t>
  </si>
  <si>
    <t>C1625</t>
  </si>
  <si>
    <t>725-32-9708</t>
  </si>
  <si>
    <t>C1275</t>
  </si>
  <si>
    <t>256-08-8343</t>
  </si>
  <si>
    <t>C1612</t>
  </si>
  <si>
    <t>372-26-1506</t>
  </si>
  <si>
    <t>244-08-0162</t>
  </si>
  <si>
    <t>569-71-4390</t>
  </si>
  <si>
    <t>132-23-6451</t>
  </si>
  <si>
    <t>C1699</t>
  </si>
  <si>
    <t>696-90-2548</t>
  </si>
  <si>
    <t>C1756</t>
  </si>
  <si>
    <t>472-15-9636</t>
  </si>
  <si>
    <t>C1639</t>
  </si>
  <si>
    <t>268-03-6164</t>
  </si>
  <si>
    <t>750-57-9686</t>
  </si>
  <si>
    <t>C1438</t>
  </si>
  <si>
    <t>186-09-3669</t>
  </si>
  <si>
    <t>848-07-1692</t>
  </si>
  <si>
    <t>C1224</t>
  </si>
  <si>
    <t>745-71-3520</t>
  </si>
  <si>
    <t>266-76-6436</t>
  </si>
  <si>
    <t>C1500</t>
  </si>
  <si>
    <t>740-22-2500</t>
  </si>
  <si>
    <t>C1483</t>
  </si>
  <si>
    <t>271-88-8734</t>
  </si>
  <si>
    <t>301-81-8610</t>
  </si>
  <si>
    <t>489-64-4354</t>
  </si>
  <si>
    <t>198-84-7132</t>
  </si>
  <si>
    <t>269-10-8440</t>
  </si>
  <si>
    <t>C1841</t>
  </si>
  <si>
    <t>650-98-6268</t>
  </si>
  <si>
    <t>741-73-3559</t>
  </si>
  <si>
    <t>325-77-6186</t>
  </si>
  <si>
    <t>286-75-7818</t>
  </si>
  <si>
    <t>574-57-9721</t>
  </si>
  <si>
    <t>459-50-7686</t>
  </si>
  <si>
    <t>C1728</t>
  </si>
  <si>
    <t>616-87-0016</t>
  </si>
  <si>
    <t>C1209</t>
  </si>
  <si>
    <t>837-55-7229</t>
  </si>
  <si>
    <t>751-69-0068</t>
  </si>
  <si>
    <t>257-73-1380</t>
  </si>
  <si>
    <t>C1321</t>
  </si>
  <si>
    <t>345-08-4992</t>
  </si>
  <si>
    <t>549-96-4200</t>
  </si>
  <si>
    <t>810-60-6344</t>
  </si>
  <si>
    <t>450-28-2866</t>
  </si>
  <si>
    <t>C1479</t>
  </si>
  <si>
    <t>394-30-3170</t>
  </si>
  <si>
    <t>138-17-5109</t>
  </si>
  <si>
    <t>C1829</t>
  </si>
  <si>
    <t>192-98-7397</t>
  </si>
  <si>
    <t>301-11-9629</t>
  </si>
  <si>
    <t>C1795</t>
  </si>
  <si>
    <t>390-80-5128</t>
  </si>
  <si>
    <t>235-46-8343</t>
  </si>
  <si>
    <t>453-12-7053</t>
  </si>
  <si>
    <t>296-11-7041</t>
  </si>
  <si>
    <t>C1267</t>
  </si>
  <si>
    <t>449-27-2918</t>
  </si>
  <si>
    <t>891-01-7034</t>
  </si>
  <si>
    <t>C1210</t>
  </si>
  <si>
    <t>744-09-5786</t>
  </si>
  <si>
    <t>727-17-0390</t>
  </si>
  <si>
    <t>C1735</t>
  </si>
  <si>
    <t>568-88-3448</t>
  </si>
  <si>
    <t>C1821</t>
  </si>
  <si>
    <t>187-83-5490</t>
  </si>
  <si>
    <t>C1820</t>
  </si>
  <si>
    <t>767-54-1907</t>
  </si>
  <si>
    <t>C1234</t>
  </si>
  <si>
    <t>710-46-4433</t>
  </si>
  <si>
    <t>C1241</t>
  </si>
  <si>
    <t>533-33-5337</t>
  </si>
  <si>
    <t>325-90-8763</t>
  </si>
  <si>
    <t>C1495</t>
  </si>
  <si>
    <t>729-46-7422</t>
  </si>
  <si>
    <t>C1356</t>
  </si>
  <si>
    <t>639-76-1242</t>
  </si>
  <si>
    <t>234-03-4040</t>
  </si>
  <si>
    <t>326-71-2155</t>
  </si>
  <si>
    <t>320-32-8842</t>
  </si>
  <si>
    <t>C1480</t>
  </si>
  <si>
    <t>470-32-9057</t>
  </si>
  <si>
    <t>878-30-2331</t>
  </si>
  <si>
    <t>440-59-5691</t>
  </si>
  <si>
    <t>C1447</t>
  </si>
  <si>
    <t>554-53-3790</t>
  </si>
  <si>
    <t>C1257</t>
  </si>
  <si>
    <t>746-19-0921</t>
  </si>
  <si>
    <t>233-34-0817</t>
  </si>
  <si>
    <t>767-05-1286</t>
  </si>
  <si>
    <t>C1335</t>
  </si>
  <si>
    <t>340-21-9136</t>
  </si>
  <si>
    <t>C1855</t>
  </si>
  <si>
    <t>405-31-3305</t>
  </si>
  <si>
    <t>731-59-7531</t>
  </si>
  <si>
    <t>C1213</t>
  </si>
  <si>
    <t>676-39-6028</t>
  </si>
  <si>
    <t>C1884</t>
  </si>
  <si>
    <t>502-05-1910</t>
  </si>
  <si>
    <t>485-30-8700</t>
  </si>
  <si>
    <t>C1803</t>
  </si>
  <si>
    <t>598-47-9715</t>
  </si>
  <si>
    <t>701-69-8742</t>
  </si>
  <si>
    <t>575-67-1508</t>
  </si>
  <si>
    <t>541-08-3113</t>
  </si>
  <si>
    <t>246-11-3901</t>
  </si>
  <si>
    <t>674-15-9296</t>
  </si>
  <si>
    <t>C1818</t>
  </si>
  <si>
    <t>305-18-3552</t>
  </si>
  <si>
    <t>C1265</t>
  </si>
  <si>
    <t>493-65-6248</t>
  </si>
  <si>
    <t>438-01-4015</t>
  </si>
  <si>
    <t>709-58-4068</t>
  </si>
  <si>
    <t>795-49-7276</t>
  </si>
  <si>
    <t>556-72-8512</t>
  </si>
  <si>
    <t>C1384</t>
  </si>
  <si>
    <t>627-95-3243</t>
  </si>
  <si>
    <t>686-41-0932</t>
  </si>
  <si>
    <t>C1203</t>
  </si>
  <si>
    <t>510-09-5628</t>
  </si>
  <si>
    <t>C1853</t>
  </si>
  <si>
    <t>608-04-3797</t>
  </si>
  <si>
    <t>148-82-2527</t>
  </si>
  <si>
    <t>437-53-3084</t>
  </si>
  <si>
    <t>C1295</t>
  </si>
  <si>
    <t>632-32-4574</t>
  </si>
  <si>
    <t>556-97-7101</t>
  </si>
  <si>
    <t>C1463</t>
  </si>
  <si>
    <t>862-59-8517</t>
  </si>
  <si>
    <t>401-18-8016</t>
  </si>
  <si>
    <t>420-18-8989</t>
  </si>
  <si>
    <t>277-63-2961</t>
  </si>
  <si>
    <t>573-98-8548</t>
  </si>
  <si>
    <t>C1307</t>
  </si>
  <si>
    <t>620-02-2046</t>
  </si>
  <si>
    <t>282-35-2475</t>
  </si>
  <si>
    <t>511-54-3087</t>
  </si>
  <si>
    <t>C1289</t>
  </si>
  <si>
    <t>726-29-6793</t>
  </si>
  <si>
    <t>C1867</t>
  </si>
  <si>
    <t>387-49-4215</t>
  </si>
  <si>
    <t>862-17-9201</t>
  </si>
  <si>
    <t>291-21-5991</t>
  </si>
  <si>
    <t>602-80-9671</t>
  </si>
  <si>
    <t>347-72-6115</t>
  </si>
  <si>
    <t>209-61-0206</t>
  </si>
  <si>
    <t>C1748</t>
  </si>
  <si>
    <t>595-27-4851</t>
  </si>
  <si>
    <t>C1749</t>
  </si>
  <si>
    <t>189-52-0236</t>
  </si>
  <si>
    <t>C1638</t>
  </si>
  <si>
    <t>503-07-0930</t>
  </si>
  <si>
    <t>413-20-6708</t>
  </si>
  <si>
    <t>425-85-2085</t>
  </si>
  <si>
    <t>C1298</t>
  </si>
  <si>
    <t>521-18-7827</t>
  </si>
  <si>
    <t>220-28-1851</t>
  </si>
  <si>
    <t>600-38-9738</t>
  </si>
  <si>
    <t>C1476</t>
  </si>
  <si>
    <t>734-91-1155</t>
  </si>
  <si>
    <t>C1238</t>
  </si>
  <si>
    <t>451-28-5717</t>
  </si>
  <si>
    <t>C1328</t>
  </si>
  <si>
    <t>609-81-8548</t>
  </si>
  <si>
    <t>C1676</t>
  </si>
  <si>
    <t>133-14-7229</t>
  </si>
  <si>
    <t>534-01-4457</t>
  </si>
  <si>
    <t>C1801</t>
  </si>
  <si>
    <t>719-89-8991</t>
  </si>
  <si>
    <t>286-62-6248</t>
  </si>
  <si>
    <t>339-38-9982</t>
  </si>
  <si>
    <t>827-44-5872</t>
  </si>
  <si>
    <t>827-77-7633</t>
  </si>
  <si>
    <t>287-83-1405</t>
  </si>
  <si>
    <t>435-13-4908</t>
  </si>
  <si>
    <t>857-67-9057</t>
  </si>
  <si>
    <t>236-27-1144</t>
  </si>
  <si>
    <t>892-05-6689</t>
  </si>
  <si>
    <t>C1685</t>
  </si>
  <si>
    <t>583-41-4548</t>
  </si>
  <si>
    <t>C1330</t>
  </si>
  <si>
    <t>339-12-4827</t>
  </si>
  <si>
    <t>643-38-7867</t>
  </si>
  <si>
    <t>C1606</t>
  </si>
  <si>
    <t>308-81-0538</t>
  </si>
  <si>
    <t>C1813</t>
  </si>
  <si>
    <t>358-88-9262</t>
  </si>
  <si>
    <t>460-35-4390</t>
  </si>
  <si>
    <t>343-87-0864</t>
  </si>
  <si>
    <t>C1464</t>
  </si>
  <si>
    <t>173-50-1108</t>
  </si>
  <si>
    <t>C1245</t>
  </si>
  <si>
    <t>243-47-2663</t>
  </si>
  <si>
    <t>841-18-8232</t>
  </si>
  <si>
    <t>701-23-5550</t>
  </si>
  <si>
    <t>647-50-1224</t>
  </si>
  <si>
    <t>541-48-8554</t>
  </si>
  <si>
    <t>539-21-7227</t>
  </si>
  <si>
    <t>213-32-1216</t>
  </si>
  <si>
    <t>C1805</t>
  </si>
  <si>
    <t>747-58-7183</t>
  </si>
  <si>
    <t>582-52-8065</t>
  </si>
  <si>
    <t>210-57-1719</t>
  </si>
  <si>
    <t>399-69-4630</t>
  </si>
  <si>
    <t>C1336</t>
  </si>
  <si>
    <t>134-75-2619</t>
  </si>
  <si>
    <t>356-44-8813</t>
  </si>
  <si>
    <t>198-66-9832</t>
  </si>
  <si>
    <t>283-26-5248</t>
  </si>
  <si>
    <t>712-39-0363</t>
  </si>
  <si>
    <t>218-59-9410</t>
  </si>
  <si>
    <t>C1890</t>
  </si>
  <si>
    <t>174-75-0888</t>
  </si>
  <si>
    <t>C1214</t>
  </si>
  <si>
    <t>866-99-7614</t>
  </si>
  <si>
    <t>C1410</t>
  </si>
  <si>
    <t>134-54-4720</t>
  </si>
  <si>
    <t>760-90-2357</t>
  </si>
  <si>
    <t>514-37-2845</t>
  </si>
  <si>
    <t>C1229</t>
  </si>
  <si>
    <t>698-98-5964</t>
  </si>
  <si>
    <t>718-57-9773</t>
  </si>
  <si>
    <t>651-88-7328</t>
  </si>
  <si>
    <t>C1690</t>
  </si>
  <si>
    <t>241-11-2261</t>
  </si>
  <si>
    <t>408-26-9866</t>
  </si>
  <si>
    <t>834-83-1826</t>
  </si>
  <si>
    <t>343-61-3544</t>
  </si>
  <si>
    <t>239-48-4278</t>
  </si>
  <si>
    <t>C1826</t>
  </si>
  <si>
    <t>355-34-6244</t>
  </si>
  <si>
    <t>550-84-8664</t>
  </si>
  <si>
    <t>339-96-8318</t>
  </si>
  <si>
    <t>458-61-0011</t>
  </si>
  <si>
    <t>592-34-6155</t>
  </si>
  <si>
    <t>797-88-0493</t>
  </si>
  <si>
    <t>C1843</t>
  </si>
  <si>
    <t>207-73-1363</t>
  </si>
  <si>
    <t>390-31-6381</t>
  </si>
  <si>
    <t>C1461</t>
  </si>
  <si>
    <t>443-82-0585</t>
  </si>
  <si>
    <t>C1837</t>
  </si>
  <si>
    <t>339-18-7061</t>
  </si>
  <si>
    <t>359-90-3665</t>
  </si>
  <si>
    <t>375-72-3056</t>
  </si>
  <si>
    <t>C1256</t>
  </si>
  <si>
    <t>127-47-6963</t>
  </si>
  <si>
    <t>C1778</t>
  </si>
  <si>
    <t>278-86-2735</t>
  </si>
  <si>
    <t>C1660</t>
  </si>
  <si>
    <t>695-28-6250</t>
  </si>
  <si>
    <t>379-17-6588</t>
  </si>
  <si>
    <t>227-50-3718</t>
  </si>
  <si>
    <t>C1744</t>
  </si>
  <si>
    <t>302-15-2162</t>
  </si>
  <si>
    <t>C1494</t>
  </si>
  <si>
    <t>788-07-8452</t>
  </si>
  <si>
    <t>560-49-6611</t>
  </si>
  <si>
    <t>880-35-0356</t>
  </si>
  <si>
    <t>C1771</t>
  </si>
  <si>
    <t>585-11-6748</t>
  </si>
  <si>
    <t>470-31-3286</t>
  </si>
  <si>
    <t>152-68-2907</t>
  </si>
  <si>
    <t>123-35-4896</t>
  </si>
  <si>
    <t>C1457</t>
  </si>
  <si>
    <t>258-69-7810</t>
  </si>
  <si>
    <t>334-64-2006</t>
  </si>
  <si>
    <t>C1729</t>
  </si>
  <si>
    <t>219-61-4139</t>
  </si>
  <si>
    <t>C1442</t>
  </si>
  <si>
    <t>881-41-7302</t>
  </si>
  <si>
    <t>C1441</t>
  </si>
  <si>
    <t>373-09-4567</t>
  </si>
  <si>
    <t>642-30-6693</t>
  </si>
  <si>
    <t>484-22-8230</t>
  </si>
  <si>
    <t>C1413</t>
  </si>
  <si>
    <t>830-58-2383</t>
  </si>
  <si>
    <t>559-98-9873</t>
  </si>
  <si>
    <t>C1784</t>
  </si>
  <si>
    <t>544-32-5024</t>
  </si>
  <si>
    <t>318-12-0304</t>
  </si>
  <si>
    <t>C1621</t>
  </si>
  <si>
    <t>349-97-8902</t>
  </si>
  <si>
    <t>421-95-9805</t>
  </si>
  <si>
    <t>C1725</t>
  </si>
  <si>
    <t>277-35-5865</t>
  </si>
  <si>
    <t>789-23-8625</t>
  </si>
  <si>
    <t>284-54-4231</t>
  </si>
  <si>
    <t>443-59-0061</t>
  </si>
  <si>
    <t>C1675</t>
  </si>
  <si>
    <t>509-29-3912</t>
  </si>
  <si>
    <t>C1852</t>
  </si>
  <si>
    <t>327-40-9673</t>
  </si>
  <si>
    <t>840-19-2096</t>
  </si>
  <si>
    <t>C1488</t>
  </si>
  <si>
    <t>828-46-6863</t>
  </si>
  <si>
    <t>C1705</t>
  </si>
  <si>
    <t>641-96-3695</t>
  </si>
  <si>
    <t>420-97-3340</t>
  </si>
  <si>
    <t>436-54-4512</t>
  </si>
  <si>
    <t>C1648</t>
  </si>
  <si>
    <t>670-79-6321</t>
  </si>
  <si>
    <t>852-62-7105</t>
  </si>
  <si>
    <t>598-06-7312</t>
  </si>
  <si>
    <t>135-13-8269</t>
  </si>
  <si>
    <t>816-57-2053</t>
  </si>
  <si>
    <t>628-90-8624</t>
  </si>
  <si>
    <t>856-66-2701</t>
  </si>
  <si>
    <t>C1765</t>
  </si>
  <si>
    <t>308-39-1707</t>
  </si>
  <si>
    <t>C1714</t>
  </si>
  <si>
    <t>149-61-1929</t>
  </si>
  <si>
    <t>C1880</t>
  </si>
  <si>
    <t>655-07-2265</t>
  </si>
  <si>
    <t>589-02-8023</t>
  </si>
  <si>
    <t>C1859</t>
  </si>
  <si>
    <t>420-04-7590</t>
  </si>
  <si>
    <t>C1271</t>
  </si>
  <si>
    <t>182-88-2763</t>
  </si>
  <si>
    <t>188-55-0967</t>
  </si>
  <si>
    <t>610-46-4100</t>
  </si>
  <si>
    <t>318-81-2368</t>
  </si>
  <si>
    <t>C1348</t>
  </si>
  <si>
    <t>364-33-8584</t>
  </si>
  <si>
    <t>665-63-9737</t>
  </si>
  <si>
    <t>695-09-5146</t>
  </si>
  <si>
    <t>155-45-3814</t>
  </si>
  <si>
    <t>794-32-2436</t>
  </si>
  <si>
    <t>131-15-8856</t>
  </si>
  <si>
    <t>C1394</t>
  </si>
  <si>
    <t>273-84-2164</t>
  </si>
  <si>
    <t>706-36-6154</t>
  </si>
  <si>
    <t>778-89-7974</t>
  </si>
  <si>
    <t>574-31-8277</t>
  </si>
  <si>
    <t>859-71-0933</t>
  </si>
  <si>
    <t>740-11-5257</t>
  </si>
  <si>
    <t>C1428</t>
  </si>
  <si>
    <t>369-82-2676</t>
  </si>
  <si>
    <t>563-47-4072</t>
  </si>
  <si>
    <t>742-04-5161</t>
  </si>
  <si>
    <t>149-15-7606</t>
  </si>
  <si>
    <t>133-77-3154</t>
  </si>
  <si>
    <t>169-52-4504</t>
  </si>
  <si>
    <t>C1814</t>
  </si>
  <si>
    <t>250-81-7186</t>
  </si>
  <si>
    <t>562-12-5430</t>
  </si>
  <si>
    <t>C1646</t>
  </si>
  <si>
    <t>816-72-8853</t>
  </si>
  <si>
    <t>491-38-3499</t>
  </si>
  <si>
    <t>C1885</t>
  </si>
  <si>
    <t>322-02-2271</t>
  </si>
  <si>
    <t>842-29-4695</t>
  </si>
  <si>
    <t>725-67-2480</t>
  </si>
  <si>
    <t>641-51-2661</t>
  </si>
  <si>
    <t>714-02-3114</t>
  </si>
  <si>
    <t>C1318</t>
  </si>
  <si>
    <t>518-17-2983</t>
  </si>
  <si>
    <t>779-42-2410</t>
  </si>
  <si>
    <t>190-14-3147</t>
  </si>
  <si>
    <t>408-66-6712</t>
  </si>
  <si>
    <t>679-22-6530</t>
  </si>
  <si>
    <t>588-47-8641</t>
  </si>
  <si>
    <t>642-61-4706</t>
  </si>
  <si>
    <t>576-31-4774</t>
  </si>
  <si>
    <t>556-41-6224</t>
  </si>
  <si>
    <t>811-03-8790</t>
  </si>
  <si>
    <t>C1634</t>
  </si>
  <si>
    <t>242-11-3142</t>
  </si>
  <si>
    <t>752-23-3760</t>
  </si>
  <si>
    <t>274-05-5470</t>
  </si>
  <si>
    <t>C1692</t>
  </si>
  <si>
    <t>648-94-3045</t>
  </si>
  <si>
    <t>130-67-4723</t>
  </si>
  <si>
    <t>C1662</t>
  </si>
  <si>
    <t>528-87-5606</t>
  </si>
  <si>
    <t>320-85-2052</t>
  </si>
  <si>
    <t>370-96-0655</t>
  </si>
  <si>
    <t>105-10-6182</t>
  </si>
  <si>
    <t>510-79-0415</t>
  </si>
  <si>
    <t>241-96-5076</t>
  </si>
  <si>
    <t>767-97-4650</t>
  </si>
  <si>
    <t>648-83-1321</t>
  </si>
  <si>
    <t>173-57-2300</t>
  </si>
  <si>
    <t>C1342</t>
  </si>
  <si>
    <t>305-03-2383</t>
  </si>
  <si>
    <t>394-55-6384</t>
  </si>
  <si>
    <t>266-20-6657</t>
  </si>
  <si>
    <t>C1422</t>
  </si>
  <si>
    <t>689-05-1884</t>
  </si>
  <si>
    <t>196-01-2849</t>
  </si>
  <si>
    <t>C1446</t>
  </si>
  <si>
    <t>372-62-5264</t>
  </si>
  <si>
    <t>800-09-8606</t>
  </si>
  <si>
    <t>182-52-7000</t>
  </si>
  <si>
    <t>C1806</t>
  </si>
  <si>
    <t>826-58-8051</t>
  </si>
  <si>
    <t>868-06-0466</t>
  </si>
  <si>
    <t>C1875</t>
  </si>
  <si>
    <t>751-41-9720</t>
  </si>
  <si>
    <t>626-43-7888</t>
  </si>
  <si>
    <t>C1424</t>
  </si>
  <si>
    <t>176-64-7711</t>
  </si>
  <si>
    <t>191-29-0321</t>
  </si>
  <si>
    <t>729-06-2010</t>
  </si>
  <si>
    <t>640-48-5028</t>
  </si>
  <si>
    <t>186-79-9562</t>
  </si>
  <si>
    <t>834-45-5519</t>
  </si>
  <si>
    <t>162-65-8559</t>
  </si>
  <si>
    <t>760-27-5490</t>
  </si>
  <si>
    <t>C1349</t>
  </si>
  <si>
    <t>445-30-9252</t>
  </si>
  <si>
    <t>C1733</t>
  </si>
  <si>
    <t>786-94-2700</t>
  </si>
  <si>
    <t>C1891</t>
  </si>
  <si>
    <t>728-88-7867</t>
  </si>
  <si>
    <t>C1323</t>
  </si>
  <si>
    <t>183-21-3799</t>
  </si>
  <si>
    <t>268-20-3585</t>
  </si>
  <si>
    <t>735-32-9839</t>
  </si>
  <si>
    <t>258-92-7466</t>
  </si>
  <si>
    <t>857-16-3520</t>
  </si>
  <si>
    <t>482-17-1179</t>
  </si>
  <si>
    <t>788-21-5741</t>
  </si>
  <si>
    <t>821-14-9046</t>
  </si>
  <si>
    <t>418-05-0656</t>
  </si>
  <si>
    <t>678-79-0726</t>
  </si>
  <si>
    <t>C1326</t>
  </si>
  <si>
    <t>776-68-1096</t>
  </si>
  <si>
    <t>592-46-1692</t>
  </si>
  <si>
    <t>434-35-9162</t>
  </si>
  <si>
    <t>149-14-0304</t>
  </si>
  <si>
    <t>442-44-6497</t>
  </si>
  <si>
    <t>174-64-0215</t>
  </si>
  <si>
    <t>210-74-9613</t>
  </si>
  <si>
    <t>299-29-0180</t>
  </si>
  <si>
    <t>247-11-2470</t>
  </si>
  <si>
    <t>635-28-5728</t>
  </si>
  <si>
    <t>C1689</t>
  </si>
  <si>
    <t>756-49-0168</t>
  </si>
  <si>
    <t>438-23-1242</t>
  </si>
  <si>
    <t>238-45-6950</t>
  </si>
  <si>
    <t>C1266</t>
  </si>
  <si>
    <t>607-65-2441</t>
  </si>
  <si>
    <t>386-27-7606</t>
  </si>
  <si>
    <t>C1337</t>
  </si>
  <si>
    <t>137-63-5492</t>
  </si>
  <si>
    <t>C1496</t>
  </si>
  <si>
    <t>197-77-7132</t>
  </si>
  <si>
    <t>805-86-0265</t>
  </si>
  <si>
    <t>733-29-1227</t>
  </si>
  <si>
    <t>451-73-2711</t>
  </si>
  <si>
    <t>373-14-0504</t>
  </si>
  <si>
    <t>546-80-2899</t>
  </si>
  <si>
    <t>345-68-9016</t>
  </si>
  <si>
    <t>390-17-5806</t>
  </si>
  <si>
    <t>457-13-1708</t>
  </si>
  <si>
    <t>664-14-2882</t>
  </si>
  <si>
    <t>C1338</t>
  </si>
  <si>
    <t>487-79-6868</t>
  </si>
  <si>
    <t>314-23-4520</t>
  </si>
  <si>
    <t>C1444</t>
  </si>
  <si>
    <t>210-30-7976</t>
  </si>
  <si>
    <t>585-86-8361</t>
  </si>
  <si>
    <t>807-14-7833</t>
  </si>
  <si>
    <t>775-72-1988</t>
  </si>
  <si>
    <t>288-38-3758</t>
  </si>
  <si>
    <t>C1465</t>
  </si>
  <si>
    <t>652-43-6591</t>
  </si>
  <si>
    <t>C1899</t>
  </si>
  <si>
    <t>785-96-0615</t>
  </si>
  <si>
    <t>406-46-7107</t>
  </si>
  <si>
    <t>C1849</t>
  </si>
  <si>
    <t>250-17-5703</t>
  </si>
  <si>
    <t>C1827</t>
  </si>
  <si>
    <t>156-95-3964</t>
  </si>
  <si>
    <t>842-40-8179</t>
  </si>
  <si>
    <t>525-09-8450</t>
  </si>
  <si>
    <t>410-67-1709</t>
  </si>
  <si>
    <t>C1655</t>
  </si>
  <si>
    <t>587-73-4862</t>
  </si>
  <si>
    <t>787-87-2010</t>
  </si>
  <si>
    <t>593-14-4239</t>
  </si>
  <si>
    <t>801-88-0346</t>
  </si>
  <si>
    <t>388-76-2555</t>
  </si>
  <si>
    <t>C1233</t>
  </si>
  <si>
    <t>711-31-1234</t>
  </si>
  <si>
    <t>886-54-6089</t>
  </si>
  <si>
    <t>707-32-7409</t>
  </si>
  <si>
    <t>759-98-4285</t>
  </si>
  <si>
    <t>201-63-8275</t>
  </si>
  <si>
    <t>C1339</t>
  </si>
  <si>
    <t>471-06-8611</t>
  </si>
  <si>
    <t>C1344</t>
  </si>
  <si>
    <t>200-16-5952</t>
  </si>
  <si>
    <t>120-54-2248</t>
  </si>
  <si>
    <t>102-77-2261</t>
  </si>
  <si>
    <t>875-31-8302</t>
  </si>
  <si>
    <t>102-06-2002</t>
  </si>
  <si>
    <t>C1432</t>
  </si>
  <si>
    <t>457-94-0464</t>
  </si>
  <si>
    <t>629-42-4133</t>
  </si>
  <si>
    <t>C1400</t>
  </si>
  <si>
    <t>534-53-3526</t>
  </si>
  <si>
    <t>307-04-2070</t>
  </si>
  <si>
    <t>C1697</t>
  </si>
  <si>
    <t>468-99-7231</t>
  </si>
  <si>
    <t>516-77-6464</t>
  </si>
  <si>
    <t>C1316</t>
  </si>
  <si>
    <t>404-91-5964</t>
  </si>
  <si>
    <t>886-77-9084</t>
  </si>
  <si>
    <t>790-38-4466</t>
  </si>
  <si>
    <t>704-10-4056</t>
  </si>
  <si>
    <t>497-37-6538</t>
  </si>
  <si>
    <t>651-96-5970</t>
  </si>
  <si>
    <t>400-80-4065</t>
  </si>
  <si>
    <t>744-16-7898</t>
  </si>
  <si>
    <t>263-12-5321</t>
  </si>
  <si>
    <t>C1869</t>
  </si>
  <si>
    <t>702-72-0487</t>
  </si>
  <si>
    <t>605-83-1050</t>
  </si>
  <si>
    <t>443-60-9639</t>
  </si>
  <si>
    <t>864-24-7918</t>
  </si>
  <si>
    <t>359-94-5395</t>
  </si>
  <si>
    <t>C1200</t>
  </si>
  <si>
    <t>401-09-4232</t>
  </si>
  <si>
    <t>C1406</t>
  </si>
  <si>
    <t>751-15-6198</t>
  </si>
  <si>
    <t>C1248</t>
  </si>
  <si>
    <t>324-41-6833</t>
  </si>
  <si>
    <t>474-33-8305</t>
  </si>
  <si>
    <t>C1360</t>
  </si>
  <si>
    <t>759-29-9521</t>
  </si>
  <si>
    <t>831-81-6575</t>
  </si>
  <si>
    <t>220-68-6701</t>
  </si>
  <si>
    <t>C1719</t>
  </si>
  <si>
    <t>618-34-8551</t>
  </si>
  <si>
    <t>C1671</t>
  </si>
  <si>
    <t>257-60-7754</t>
  </si>
  <si>
    <t>559-61-5987</t>
  </si>
  <si>
    <t>189-55-2313</t>
  </si>
  <si>
    <t>565-91-4567</t>
  </si>
  <si>
    <t>380-60-5336</t>
  </si>
  <si>
    <t>C1883</t>
  </si>
  <si>
    <t>815-04-6282</t>
  </si>
  <si>
    <t>C1478</t>
  </si>
  <si>
    <t>674-56-6360</t>
  </si>
  <si>
    <t>778-34-2523</t>
  </si>
  <si>
    <t>C1713</t>
  </si>
  <si>
    <t>499-27-7781</t>
  </si>
  <si>
    <t>477-59-2456</t>
  </si>
  <si>
    <t>C1451</t>
  </si>
  <si>
    <t>832-51-6761</t>
  </si>
  <si>
    <t>869-11-3082</t>
  </si>
  <si>
    <t>190-59-3964</t>
  </si>
  <si>
    <t>366-43-6862</t>
  </si>
  <si>
    <t>186-43-8965</t>
  </si>
  <si>
    <t>784-21-9238</t>
  </si>
  <si>
    <t>C1325</t>
  </si>
  <si>
    <t>276-75-6884</t>
  </si>
  <si>
    <t>C1768</t>
  </si>
  <si>
    <t>109-86-4363</t>
  </si>
  <si>
    <t>569-76-2760</t>
  </si>
  <si>
    <t>C1687</t>
  </si>
  <si>
    <t>222-42-0244</t>
  </si>
  <si>
    <t>760-53-9233</t>
  </si>
  <si>
    <t>C1738</t>
  </si>
  <si>
    <t>538-22-0304</t>
  </si>
  <si>
    <t>416-17-9926</t>
  </si>
  <si>
    <t>237-44-6163</t>
  </si>
  <si>
    <t>636-17-0325</t>
  </si>
  <si>
    <t>343-75-9322</t>
  </si>
  <si>
    <t>528-14-9470</t>
  </si>
  <si>
    <t>C1703</t>
  </si>
  <si>
    <t>427-45-9297</t>
  </si>
  <si>
    <t>807-34-3742</t>
  </si>
  <si>
    <t>288-62-1085</t>
  </si>
  <si>
    <t>670-71-7306</t>
  </si>
  <si>
    <t>660-29-7083</t>
  </si>
  <si>
    <t>271-77-8740</t>
  </si>
  <si>
    <t>497-36-0989</t>
  </si>
  <si>
    <t>291-59-1384</t>
  </si>
  <si>
    <t>860-73-6466</t>
  </si>
  <si>
    <t>549-23-9016</t>
  </si>
  <si>
    <t>C1387</t>
  </si>
  <si>
    <t>896-34-0956</t>
  </si>
  <si>
    <t>804-38-3935</t>
  </si>
  <si>
    <t>585-90-0249</t>
  </si>
  <si>
    <t>C1804</t>
  </si>
  <si>
    <t>862-29-5914</t>
  </si>
  <si>
    <t>845-94-6841</t>
  </si>
  <si>
    <t>125-45-2293</t>
  </si>
  <si>
    <t>C1636</t>
  </si>
  <si>
    <t>843-73-4724</t>
  </si>
  <si>
    <t>C1828</t>
  </si>
  <si>
    <t>409-33-9708</t>
  </si>
  <si>
    <t>658-66-3967</t>
  </si>
  <si>
    <t>866-70-2814</t>
  </si>
  <si>
    <t>160-22-2687</t>
  </si>
  <si>
    <t>895-03-6665</t>
  </si>
  <si>
    <t>770-42-8960</t>
  </si>
  <si>
    <t>748-45-2862</t>
  </si>
  <si>
    <t>234-36-2483</t>
  </si>
  <si>
    <t>316-66-3011</t>
  </si>
  <si>
    <t>848-95-6252</t>
  </si>
  <si>
    <t>840-76-5966</t>
  </si>
  <si>
    <t>152-03-4217</t>
  </si>
  <si>
    <t>533-66-5566</t>
  </si>
  <si>
    <t>124-31-1458</t>
  </si>
  <si>
    <t>C1897</t>
  </si>
  <si>
    <t>176-78-1170</t>
  </si>
  <si>
    <t>361-59-0574</t>
  </si>
  <si>
    <t>C1269</t>
  </si>
  <si>
    <t>101-81-4070</t>
  </si>
  <si>
    <t>631-34-1880</t>
  </si>
  <si>
    <t>C1426</t>
  </si>
  <si>
    <t>852-82-2749</t>
  </si>
  <si>
    <t>873-14-6353</t>
  </si>
  <si>
    <t>584-66-4073</t>
  </si>
  <si>
    <t>544-55-9589</t>
  </si>
  <si>
    <t>166-19-2553</t>
  </si>
  <si>
    <t>C1674</t>
  </si>
  <si>
    <t>737-88-5876</t>
  </si>
  <si>
    <t>154-87-7367</t>
  </si>
  <si>
    <t>885-56-0389</t>
  </si>
  <si>
    <t>608-05-3804</t>
  </si>
  <si>
    <t>448-61-3783</t>
  </si>
  <si>
    <t>C1682</t>
  </si>
  <si>
    <t>761-49-0439</t>
  </si>
  <si>
    <t>490-95-0021</t>
  </si>
  <si>
    <t>115-38-7388</t>
  </si>
  <si>
    <t>311-13-6971</t>
  </si>
  <si>
    <t>291-55-6563</t>
  </si>
  <si>
    <t>C1643</t>
  </si>
  <si>
    <t>548-48-3156</t>
  </si>
  <si>
    <t>C1796</t>
  </si>
  <si>
    <t>460-93-5834</t>
  </si>
  <si>
    <t>325-89-4209</t>
  </si>
  <si>
    <t>884-80-6021</t>
  </si>
  <si>
    <t>C1753</t>
  </si>
  <si>
    <t>137-74-8729</t>
  </si>
  <si>
    <t>880-46-5796</t>
  </si>
  <si>
    <t>389-70-2397</t>
  </si>
  <si>
    <t>C1382</t>
  </si>
  <si>
    <t>114-35-5271</t>
  </si>
  <si>
    <t>607-76-6216</t>
  </si>
  <si>
    <t>715-20-1673</t>
  </si>
  <si>
    <t>811-35-1094</t>
  </si>
  <si>
    <t>699-88-1972</t>
  </si>
  <si>
    <t>781-84-8059</t>
  </si>
  <si>
    <t>409-49-6995</t>
  </si>
  <si>
    <t>725-54-0677</t>
  </si>
  <si>
    <t>146-09-5432</t>
  </si>
  <si>
    <t>C1831</t>
  </si>
  <si>
    <t>377-79-7592</t>
  </si>
  <si>
    <t>C1418</t>
  </si>
  <si>
    <t>509-10-0516</t>
  </si>
  <si>
    <t>595-94-9924</t>
  </si>
  <si>
    <t>865-41-9075</t>
  </si>
  <si>
    <t>545-07-8534</t>
  </si>
  <si>
    <t>C1319</t>
  </si>
  <si>
    <t>118-62-1812</t>
  </si>
  <si>
    <t>450-42-3339</t>
  </si>
  <si>
    <t>C1378</t>
  </si>
  <si>
    <t>851-98-3555</t>
  </si>
  <si>
    <t>186-71-5196</t>
  </si>
  <si>
    <t>C1901</t>
  </si>
  <si>
    <t>624-01-8356</t>
  </si>
  <si>
    <t>313-66-9943</t>
  </si>
  <si>
    <t>151-27-8496</t>
  </si>
  <si>
    <t>453-33-6436</t>
  </si>
  <si>
    <t>522-57-8364</t>
  </si>
  <si>
    <t>C1836</t>
  </si>
  <si>
    <t>459-45-2396</t>
  </si>
  <si>
    <t>C1861</t>
  </si>
  <si>
    <t>717-96-4189</t>
  </si>
  <si>
    <t>722-13-2115</t>
  </si>
  <si>
    <t>749-81-8133</t>
  </si>
  <si>
    <t>777-67-2495</t>
  </si>
  <si>
    <t>636-98-3364</t>
  </si>
  <si>
    <t>246-55-6923</t>
  </si>
  <si>
    <t>C1370</t>
  </si>
  <si>
    <t>181-82-6255</t>
  </si>
  <si>
    <t>838-02-1821</t>
  </si>
  <si>
    <t>C1458</t>
  </si>
  <si>
    <t>887-42-0517</t>
  </si>
  <si>
    <t>457-12-0244</t>
  </si>
  <si>
    <t>226-34-0034</t>
  </si>
  <si>
    <t>321-49-7382</t>
  </si>
  <si>
    <t>C1292</t>
  </si>
  <si>
    <t>397-25-8725</t>
  </si>
  <si>
    <t>431-66-2305</t>
  </si>
  <si>
    <t>825-94-5922</t>
  </si>
  <si>
    <t>641-62-7288</t>
  </si>
  <si>
    <t>756-93-1854</t>
  </si>
  <si>
    <t>C1430</t>
  </si>
  <si>
    <t>243-55-8457</t>
  </si>
  <si>
    <t>458-10-8612</t>
  </si>
  <si>
    <t>501-61-1753</t>
  </si>
  <si>
    <t>235-06-8510</t>
  </si>
  <si>
    <t>433-08-7822</t>
  </si>
  <si>
    <t>C1351</t>
  </si>
  <si>
    <t>361-85-2571</t>
  </si>
  <si>
    <t>C1637</t>
  </si>
  <si>
    <t>131-70-8179</t>
  </si>
  <si>
    <t>500-02-2261</t>
  </si>
  <si>
    <t>720-72-2436</t>
  </si>
  <si>
    <t>C1686</t>
  </si>
  <si>
    <t>702-83-5291</t>
  </si>
  <si>
    <t>809-69-9497</t>
  </si>
  <si>
    <t>449-16-6770</t>
  </si>
  <si>
    <t>333-23-2632</t>
  </si>
  <si>
    <t>489-82-1237</t>
  </si>
  <si>
    <t>C1701</t>
  </si>
  <si>
    <t>859-97-6048</t>
  </si>
  <si>
    <t>676-10-2200</t>
  </si>
  <si>
    <t>373-88-1424</t>
  </si>
  <si>
    <t>365-16-4334</t>
  </si>
  <si>
    <t>503-21-4385</t>
  </si>
  <si>
    <t>305-89-2768</t>
  </si>
  <si>
    <t>574-80-1489</t>
  </si>
  <si>
    <t>784-08-0310</t>
  </si>
  <si>
    <t>200-40-6154</t>
  </si>
  <si>
    <t>846-10-0341</t>
  </si>
  <si>
    <t>577-34-7579</t>
  </si>
  <si>
    <t>430-02-3888</t>
  </si>
  <si>
    <t>867-47-1948</t>
  </si>
  <si>
    <t>384-59-6655</t>
  </si>
  <si>
    <t>C1892</t>
  </si>
  <si>
    <t>256-58-3609</t>
  </si>
  <si>
    <t>324-92-3863</t>
  </si>
  <si>
    <t>593-08-5916</t>
  </si>
  <si>
    <t>364-34-2972</t>
  </si>
  <si>
    <t>794-42-3736</t>
  </si>
  <si>
    <t>172-42-8274</t>
  </si>
  <si>
    <t>558-60-5016</t>
  </si>
  <si>
    <t>195-06-0432</t>
  </si>
  <si>
    <t>C1666</t>
  </si>
  <si>
    <t>605-03-2706</t>
  </si>
  <si>
    <t>214-30-2776</t>
  </si>
  <si>
    <t>746-04-1077</t>
  </si>
  <si>
    <t>448-34-8700</t>
  </si>
  <si>
    <t>452-04-8808</t>
  </si>
  <si>
    <t>531-56-4728</t>
  </si>
  <si>
    <t>C1683</t>
  </si>
  <si>
    <t>744-82-9138</t>
  </si>
  <si>
    <t>C1404</t>
  </si>
  <si>
    <t>883-69-1285</t>
  </si>
  <si>
    <t>221-25-5073</t>
  </si>
  <si>
    <t>C1830</t>
  </si>
  <si>
    <t>518-71-6847</t>
  </si>
  <si>
    <t>156-20-0370</t>
  </si>
  <si>
    <t>151-33-7434</t>
  </si>
  <si>
    <t>728-47-9078</t>
  </si>
  <si>
    <t>809-46-1866</t>
  </si>
  <si>
    <t>139-32-4183</t>
  </si>
  <si>
    <t>C1780</t>
  </si>
  <si>
    <t>148-41-7930</t>
  </si>
  <si>
    <t>189-40-5216</t>
  </si>
  <si>
    <t>C1346</t>
  </si>
  <si>
    <t>374-38-5555</t>
  </si>
  <si>
    <t>764-44-8999</t>
  </si>
  <si>
    <t>552-44-5977</t>
  </si>
  <si>
    <t>267-62-7380</t>
  </si>
  <si>
    <t>430-53-4718</t>
  </si>
  <si>
    <t>886-18-2897</t>
  </si>
  <si>
    <t>602-16-6955</t>
  </si>
  <si>
    <t>745-74-0715</t>
  </si>
  <si>
    <t>690-01-6631</t>
  </si>
  <si>
    <t>652-49-6720</t>
  </si>
  <si>
    <t>233-67-5758</t>
  </si>
  <si>
    <t>303-96-2227</t>
  </si>
  <si>
    <t>727-02-1313</t>
  </si>
  <si>
    <t>C1678</t>
  </si>
  <si>
    <t>347-56-2442</t>
  </si>
  <si>
    <t>849-09-3807</t>
  </si>
  <si>
    <t>COUNT IF "Normal"</t>
  </si>
  <si>
    <t>COUNTIF "Member"</t>
  </si>
  <si>
    <t>COUNTIF "Female"</t>
  </si>
  <si>
    <t>COUNTIF "Male"</t>
  </si>
  <si>
    <t>COUNTIF</t>
  </si>
  <si>
    <t xml:space="preserve">B  </t>
  </si>
  <si>
    <t>COUNTIF "Ewallet"</t>
  </si>
  <si>
    <t>COUNTIF"Cash"</t>
  </si>
  <si>
    <t>COUNTIF"Credit card"</t>
  </si>
  <si>
    <t>AVERAGE</t>
  </si>
  <si>
    <t>Invoice Id</t>
  </si>
  <si>
    <t>Customerid</t>
  </si>
  <si>
    <t>Customer Type</t>
  </si>
  <si>
    <t>Product Line</t>
  </si>
  <si>
    <t>Unit Price</t>
  </si>
  <si>
    <t>Cogs</t>
  </si>
  <si>
    <t>Gross Margin Percentage</t>
  </si>
  <si>
    <t>Gross Income</t>
  </si>
  <si>
    <t>Customer ID</t>
  </si>
  <si>
    <t>Row Labels</t>
  </si>
  <si>
    <t>Grand Total</t>
  </si>
  <si>
    <t>Sum of Total</t>
  </si>
  <si>
    <t>Average of Total</t>
  </si>
  <si>
    <t>Branch VS Average of Total</t>
  </si>
  <si>
    <t>Customer Type VS Sum of total</t>
  </si>
  <si>
    <t>City VS Average of Total</t>
  </si>
  <si>
    <t>Count of Quantity</t>
  </si>
  <si>
    <t>Product line VS Quantity Count VS Sum of Total</t>
  </si>
  <si>
    <t>SALES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</si>
</sst>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rgb="FFFFC000"/>
      <name val="Arial Black"/>
      <family val="2"/>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7" tint="-0.249977111117893"/>
        <bgColor indexed="64"/>
      </patternFill>
    </fill>
    <fill>
      <patternFill patternType="solid">
        <fgColor theme="6" tint="-0.249977111117893"/>
        <bgColor indexed="64"/>
      </patternFill>
    </fill>
    <fill>
      <patternFill patternType="solid">
        <fgColor theme="5" tint="0.79998168889431442"/>
        <bgColor indexed="64"/>
      </patternFill>
    </fill>
    <fill>
      <patternFill patternType="solid">
        <fgColor theme="8" tint="-0.249977111117893"/>
        <bgColor indexed="64"/>
      </patternFill>
    </fill>
    <fill>
      <patternFill patternType="solid">
        <fgColor theme="2" tint="-9.9978637043366805E-2"/>
        <bgColor indexed="64"/>
      </patternFill>
    </fill>
    <fill>
      <patternFill patternType="solid">
        <fgColor rgb="FFFFFFCC"/>
        <bgColor indexed="64"/>
      </patternFill>
    </fill>
    <fill>
      <patternFill patternType="solid">
        <fgColor theme="8" tint="0.79998168889431442"/>
        <bgColor indexed="64"/>
      </patternFill>
    </fill>
    <fill>
      <patternFill patternType="solid">
        <fgColor theme="9"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4" fontId="0" fillId="0" borderId="0" xfId="0" applyNumberFormat="1"/>
    <xf numFmtId="20" fontId="0" fillId="0" borderId="0" xfId="0" applyNumberFormat="1"/>
    <xf numFmtId="0" fontId="0" fillId="34" borderId="0" xfId="0" applyFill="1"/>
    <xf numFmtId="0" fontId="0" fillId="35" borderId="0" xfId="0" applyFill="1"/>
    <xf numFmtId="0" fontId="13" fillId="36" borderId="0" xfId="0" applyFont="1" applyFill="1"/>
    <xf numFmtId="0" fontId="13" fillId="37" borderId="0" xfId="0" applyFont="1" applyFill="1"/>
    <xf numFmtId="0" fontId="13" fillId="39" borderId="0" xfId="0" applyFont="1" applyFill="1"/>
    <xf numFmtId="0" fontId="0" fillId="41" borderId="0" xfId="0" applyFill="1"/>
    <xf numFmtId="0" fontId="16" fillId="33" borderId="0" xfId="0" applyFont="1" applyFill="1"/>
    <xf numFmtId="0" fontId="0" fillId="42" borderId="0" xfId="0" applyFill="1"/>
    <xf numFmtId="0" fontId="13" fillId="0" borderId="0" xfId="0" applyFont="1"/>
    <xf numFmtId="0" fontId="13" fillId="43" borderId="0" xfId="0" applyFont="1" applyFill="1"/>
    <xf numFmtId="0" fontId="0" fillId="0" borderId="0" xfId="0" pivotButton="1"/>
    <xf numFmtId="0" fontId="0" fillId="0" borderId="0" xfId="0" applyAlignment="1">
      <alignment horizontal="left"/>
    </xf>
    <xf numFmtId="0" fontId="16" fillId="0" borderId="0" xfId="0" applyFont="1" applyAlignment="1">
      <alignment horizontal="left"/>
    </xf>
    <xf numFmtId="0" fontId="16" fillId="0" borderId="0" xfId="0" applyFont="1"/>
    <xf numFmtId="0" fontId="0" fillId="38" borderId="0" xfId="0" applyFill="1" applyAlignment="1">
      <alignment horizontal="center"/>
    </xf>
    <xf numFmtId="0" fontId="0" fillId="40" borderId="0" xfId="0" applyFill="1" applyAlignment="1">
      <alignment horizontal="center"/>
    </xf>
    <xf numFmtId="0" fontId="16" fillId="0" borderId="0" xfId="0" applyFont="1" applyAlignment="1">
      <alignment horizontal="center"/>
    </xf>
    <xf numFmtId="0" fontId="18"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ont>
        <b/>
      </font>
    </dxf>
    <dxf>
      <font>
        <b/>
      </font>
    </dxf>
    <dxf>
      <font>
        <b/>
      </font>
    </dxf>
    <dxf>
      <numFmt numFmtId="25" formatCode="hh:mm"/>
    </dxf>
    <dxf>
      <numFmt numFmtId="19" formatCode="dd/mm/yyyy"/>
    </dxf>
    <dxf>
      <font>
        <b/>
        <i val="0"/>
        <strike val="0"/>
        <condense val="0"/>
        <extend val="0"/>
        <outline val="0"/>
        <shadow val="0"/>
        <u val="none"/>
        <vertAlign val="baseline"/>
        <sz val="11"/>
        <color theme="0"/>
        <name val="Aptos Narrow"/>
        <family val="2"/>
        <scheme val="minor"/>
      </font>
      <fill>
        <patternFill patternType="solid">
          <fgColor indexed="64"/>
          <bgColor theme="9" tint="-0.499984740745262"/>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8</xdr:col>
      <xdr:colOff>22860</xdr:colOff>
      <xdr:row>2</xdr:row>
      <xdr:rowOff>7620</xdr:rowOff>
    </xdr:from>
    <xdr:to>
      <xdr:col>12</xdr:col>
      <xdr:colOff>434340</xdr:colOff>
      <xdr:row>23</xdr:row>
      <xdr:rowOff>175260</xdr:rowOff>
    </xdr:to>
    <xdr:sp macro="" textlink="">
      <xdr:nvSpPr>
        <xdr:cNvPr id="2" name="Rectangle 1">
          <a:extLst>
            <a:ext uri="{FF2B5EF4-FFF2-40B4-BE49-F238E27FC236}">
              <a16:creationId xmlns:a16="http://schemas.microsoft.com/office/drawing/2014/main" id="{BF946621-FA96-20F0-9DE7-60E30B7B2216}"/>
            </a:ext>
          </a:extLst>
        </xdr:cNvPr>
        <xdr:cNvSpPr/>
      </xdr:nvSpPr>
      <xdr:spPr>
        <a:xfrm>
          <a:off x="7246620" y="373380"/>
          <a:ext cx="2849880" cy="400812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200" b="1"/>
            <a:t>Pivot Table:</a:t>
          </a:r>
        </a:p>
        <a:p>
          <a:pPr algn="l"/>
          <a:r>
            <a:rPr lang="en-IN" sz="1100" baseline="0"/>
            <a:t>         </a:t>
          </a:r>
          <a:r>
            <a:rPr lang="en-IN" sz="1150" baseline="0"/>
            <a:t>Pivot tables will give insights through the selected fields. We can select the fields depense up on the requirements. Branch VS Average of the Total Sales will give the short assessment, It will be more easy to compare and understand than the excel cleaned dataset.</a:t>
          </a:r>
        </a:p>
        <a:p>
          <a:pPr algn="l"/>
          <a:r>
            <a:rPr lang="en-IN" sz="1150" baseline="0"/>
            <a:t>	We can add two or more fileds in the pivot table to analyse multiple dataset. </a:t>
          </a:r>
          <a:r>
            <a:rPr lang="en-IN" sz="1150" b="1" i="0" u="none" strike="noStrike">
              <a:solidFill>
                <a:schemeClr val="dk1"/>
              </a:solidFill>
              <a:effectLst/>
              <a:latin typeface="+mn-lt"/>
              <a:ea typeface="+mn-ea"/>
              <a:cs typeface="+mn-cs"/>
            </a:rPr>
            <a:t>Product line VS Quantity Count VS Sum of Total</a:t>
          </a:r>
          <a:r>
            <a:rPr lang="en-IN" sz="1150">
              <a:effectLst/>
            </a:rPr>
            <a:t>  this table with</a:t>
          </a:r>
          <a:r>
            <a:rPr lang="en-IN" sz="1150" baseline="0">
              <a:effectLst/>
            </a:rPr>
            <a:t> three different fileds.</a:t>
          </a:r>
        </a:p>
        <a:p>
          <a:pPr algn="l"/>
          <a:r>
            <a:rPr lang="en-IN" sz="1150"/>
            <a:t>	The sales report highlights performance across branches, cities, customer types, and product lines using pivot tables. Branch B shows the highest average sales, while Mandalay leads among cities. Members contribute significantly to revenue, and Health &amp; Beauty dominates product sales, reflecting strong customer demand and diverse purchasing trends.</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9.866579629626" createdVersion="8" refreshedVersion="8" minRefreshableVersion="3" recordCount="1000" xr:uid="{79486DDF-6E94-47BE-99F1-02ED7B9975A9}">
  <cacheSource type="worksheet">
    <worksheetSource name="Table2"/>
  </cacheSource>
  <cacheFields count="24">
    <cacheField name="Invoice ID" numFmtId="0">
      <sharedItems count="1000">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count="3">
        <s v="A"/>
        <s v="C"/>
        <s v="B"/>
      </sharedItems>
    </cacheField>
    <cacheField name="Customer ID" numFmtId="0">
      <sharedItems count="471">
        <s v="C1888"/>
        <s v="C1475"/>
        <s v="C1746"/>
        <s v="C1896"/>
        <s v="C1790"/>
        <s v="C1423"/>
        <s v="C1723"/>
        <s v="C1471"/>
        <s v="C1707"/>
        <s v="C1277"/>
        <s v="C1300"/>
        <s v="C1264"/>
        <s v="C1710"/>
        <s v="C1726"/>
        <s v="C1702"/>
        <s v="C1280"/>
        <s v="C1799"/>
        <s v="C1669"/>
        <s v="C1645"/>
        <s v="C1207"/>
        <s v="C1462"/>
        <s v="C1217"/>
        <s v="C1243"/>
        <s v="C1773"/>
        <s v="C1863"/>
        <s v="C1657"/>
        <s v="C1240"/>
        <s v="C1629"/>
        <s v="C1250"/>
        <s v="C1764"/>
        <s v="C1270"/>
        <s v="C1246"/>
        <s v="C1212"/>
        <s v="C1396"/>
        <s v="C1448"/>
        <s v="C1882"/>
        <s v="C1770"/>
        <s v="C1329"/>
        <s v="C1218"/>
        <s v="C1201"/>
        <s v="C1357"/>
        <s v="C1274"/>
        <s v="C1312"/>
        <s v="C1470"/>
        <s v="C1221"/>
        <s v="C1235"/>
        <s v="C1202"/>
        <s v="C1352"/>
        <s v="C1453"/>
        <s v="C1290"/>
        <s v="C1401"/>
        <s v="C1236"/>
        <s v="C1491"/>
        <s v="C1720"/>
        <s v="C1760"/>
        <s v="C1365"/>
        <s v="C1409"/>
        <s v="C1301"/>
        <s v="C1810"/>
        <s v="C1846"/>
        <s v="C1472"/>
        <s v="C1747"/>
        <s v="C1368"/>
        <s v="C1262"/>
        <s v="C1302"/>
        <s v="C1894"/>
        <s v="C1477"/>
        <s v="C1380"/>
        <s v="C1775"/>
        <s v="C1434"/>
        <s v="C1484"/>
        <s v="C1285"/>
        <s v="C1419"/>
        <s v="C1345"/>
        <s v="C1440"/>
        <s v="C1313"/>
        <s v="C1785"/>
        <s v="C1815"/>
        <s v="C1299"/>
        <s v="C1407"/>
        <s v="C1362"/>
        <s v="C1898"/>
        <s v="C1232"/>
        <s v="C1303"/>
        <s v="C1787"/>
        <s v="C1205"/>
        <s v="C1398"/>
        <s v="C1623"/>
        <s v="C1259"/>
        <s v="C1353"/>
        <s v="C1310"/>
        <s v="C1412"/>
        <s v="C1698"/>
        <s v="C1633"/>
        <s v="C1822"/>
        <s v="C1333"/>
        <s v="C1498"/>
        <s v="C1334"/>
        <s v="C1220"/>
        <s v="C1640"/>
        <s v="C1395"/>
        <s v="C1350"/>
        <s v="C1223"/>
        <s v="C1279"/>
        <s v="C1619"/>
        <s v="C1706"/>
        <s v="C1242"/>
        <s v="C1417"/>
        <s v="C1627"/>
        <s v="C1454"/>
        <s v="C1456"/>
        <s v="C1252"/>
        <s v="C1247"/>
        <s v="C1742"/>
        <s v="C1222"/>
        <s v="C1258"/>
        <s v="C1340"/>
        <s v="C1632"/>
        <s v="C1260"/>
        <s v="C1331"/>
        <s v="C1492"/>
        <s v="C1421"/>
        <s v="C1414"/>
        <s v="C1860"/>
        <s v="C1364"/>
        <s v="C1732"/>
        <s v="C1489"/>
        <s v="C1736"/>
        <s v="C1296"/>
        <s v="C1391"/>
        <s v="C1403"/>
        <s v="C1647"/>
        <s v="C1291"/>
        <s v="C1230"/>
        <s v="C1216"/>
        <s v="C1416"/>
        <s v="C1722"/>
        <s v="C1665"/>
        <s v="C1427"/>
        <s v="C1244"/>
        <s v="C1237"/>
        <s v="C1315"/>
        <s v="C1681"/>
        <s v="C1626"/>
        <s v="C1673"/>
        <s v="C1276"/>
        <s v="C1449"/>
        <s v="C1283"/>
        <s v="C1761"/>
        <s v="C1878"/>
        <s v="C1372"/>
        <s v="C1631"/>
        <s v="C1311"/>
        <s v="C1405"/>
        <s v="C1712"/>
        <s v="C1361"/>
        <s v="C1603"/>
        <s v="C1225"/>
        <s v="C1261"/>
        <s v="C1838"/>
        <s v="C1425"/>
        <s v="C1273"/>
        <s v="C1376"/>
        <s v="C1624"/>
        <s v="C1386"/>
        <s v="C1389"/>
        <s v="C1808"/>
        <s v="C1314"/>
        <s v="C1474"/>
        <s v="C1304"/>
        <s v="C1757"/>
        <s v="C1320"/>
        <s v="C1431"/>
        <s v="C1473"/>
        <s v="C1281"/>
        <s v="C1294"/>
        <s v="C1282"/>
        <s v="C1654"/>
        <s v="C1693"/>
        <s v="C1287"/>
        <s v="C1208"/>
        <s v="C1452"/>
        <s v="C1499"/>
        <s v="C1664"/>
        <s v="C1497"/>
        <s v="C1393"/>
        <s v="C1211"/>
        <s v="C1263"/>
        <s v="C1776"/>
        <s v="C1816"/>
        <s v="C1373"/>
        <s v="C1268"/>
        <s v="C1641"/>
        <s v="C1377"/>
        <s v="C1762"/>
        <s v="C1278"/>
        <s v="C1758"/>
        <s v="C1737"/>
        <s v="C1886"/>
        <s v="C1297"/>
        <s v="C1317"/>
        <s v="C1486"/>
        <s v="C1895"/>
        <s v="C1293"/>
        <s v="C1696"/>
        <s v="C1694"/>
        <s v="C1721"/>
        <s v="C1487"/>
        <s v="C1322"/>
        <s v="C1739"/>
        <s v="C1227"/>
        <s v="C1731"/>
        <s v="C1601"/>
        <s v="C1306"/>
        <s v="C1870"/>
        <s v="C1219"/>
        <s v="C1206"/>
        <s v="C1367"/>
        <s v="C1392"/>
        <s v="C1727"/>
        <s v="C1811"/>
        <s v="C1800"/>
        <s v="C1791"/>
        <s v="C1439"/>
        <s v="C1469"/>
        <s v="C1781"/>
        <s v="C1767"/>
        <s v="C1332"/>
        <s v="C1672"/>
        <s v="C1408"/>
        <s v="C1611"/>
        <s v="C1286"/>
        <s v="C1622"/>
        <s v="C1620"/>
        <s v="C1670"/>
        <s v="C1777"/>
        <s v="C1858"/>
        <s v="C1383"/>
        <s v="C1411"/>
        <s v="C1308"/>
        <s v="C1375"/>
        <s v="C1358"/>
        <s v="C1879"/>
        <s v="C1730"/>
        <s v="C1851"/>
        <s v="C1607"/>
        <s v="C1485"/>
        <s v="C1809"/>
        <s v="C1854"/>
        <s v="C1659"/>
        <s v="C1679"/>
        <s v="C1704"/>
        <s v="C1239"/>
        <s v="C1482"/>
        <s v="C1272"/>
        <s v="C1249"/>
        <s v="C1466"/>
        <s v="C1763"/>
        <s v="C1652"/>
        <s v="C1833"/>
        <s v="C1284"/>
        <s v="C1429"/>
        <s v="C1856"/>
        <s v="C1255"/>
        <s v="C1354"/>
        <s v="C1341"/>
        <s v="C1204"/>
        <s v="C1327"/>
        <s v="C1415"/>
        <s v="C1724"/>
        <s v="C1379"/>
        <s v="C1835"/>
        <s v="C1460"/>
        <s v="C1615"/>
        <s v="C1868"/>
        <s v="C1369"/>
        <s v="C1635"/>
        <s v="C1228"/>
        <s v="C1609"/>
        <s v="C1840"/>
        <s v="C1661"/>
        <s v="C1812"/>
        <s v="C1215"/>
        <s v="C1309"/>
        <s v="C1437"/>
        <s v="C1750"/>
        <s v="C1625"/>
        <s v="C1275"/>
        <s v="C1612"/>
        <s v="C1699"/>
        <s v="C1756"/>
        <s v="C1639"/>
        <s v="C1438"/>
        <s v="C1224"/>
        <s v="C1500"/>
        <s v="C1483"/>
        <s v="C1841"/>
        <s v="C1728"/>
        <s v="C1209"/>
        <s v="C1321"/>
        <s v="C1479"/>
        <s v="C1829"/>
        <s v="C1795"/>
        <s v="C1267"/>
        <s v="C1210"/>
        <s v="C1735"/>
        <s v="C1821"/>
        <s v="C1820"/>
        <s v="C1234"/>
        <s v="C1241"/>
        <s v="C1495"/>
        <s v="C1356"/>
        <s v="C1480"/>
        <s v="C1447"/>
        <s v="C1257"/>
        <s v="C1335"/>
        <s v="C1855"/>
        <s v="C1213"/>
        <s v="C1884"/>
        <s v="C1803"/>
        <s v="C1818"/>
        <s v="C1265"/>
        <s v="C1384"/>
        <s v="C1203"/>
        <s v="C1853"/>
        <s v="C1295"/>
        <s v="C1463"/>
        <s v="C1307"/>
        <s v="C1289"/>
        <s v="C1867"/>
        <s v="C1748"/>
        <s v="C1749"/>
        <s v="C1638"/>
        <s v="C1298"/>
        <s v="C1476"/>
        <s v="C1238"/>
        <s v="C1328"/>
        <s v="C1676"/>
        <s v="C1801"/>
        <s v="C1685"/>
        <s v="C1330"/>
        <s v="C1606"/>
        <s v="C1813"/>
        <s v="C1464"/>
        <s v="C1245"/>
        <s v="C1805"/>
        <s v="C1336"/>
        <s v="C1890"/>
        <s v="C1214"/>
        <s v="C1410"/>
        <s v="C1229"/>
        <s v="C1690"/>
        <s v="C1826"/>
        <s v="C1843"/>
        <s v="C1461"/>
        <s v="C1837"/>
        <s v="C1256"/>
        <s v="C1778"/>
        <s v="C1660"/>
        <s v="C1744"/>
        <s v="C1494"/>
        <s v="C1771"/>
        <s v="C1457"/>
        <s v="C1729"/>
        <s v="C1442"/>
        <s v="C1441"/>
        <s v="C1413"/>
        <s v="C1784"/>
        <s v="C1621"/>
        <s v="C1725"/>
        <s v="C1675"/>
        <s v="C1852"/>
        <s v="C1488"/>
        <s v="C1705"/>
        <s v="C1648"/>
        <s v="C1765"/>
        <s v="C1714"/>
        <s v="C1880"/>
        <s v="C1859"/>
        <s v="C1271"/>
        <s v="C1348"/>
        <s v="C1394"/>
        <s v="C1428"/>
        <s v="C1814"/>
        <s v="C1646"/>
        <s v="C1885"/>
        <s v="C1318"/>
        <s v="C1634"/>
        <s v="C1692"/>
        <s v="C1662"/>
        <s v="C1342"/>
        <s v="C1422"/>
        <s v="C1446"/>
        <s v="C1806"/>
        <s v="C1875"/>
        <s v="C1424"/>
        <s v="C1349"/>
        <s v="C1733"/>
        <s v="C1891"/>
        <s v="C1323"/>
        <s v="C1326"/>
        <s v="C1689"/>
        <s v="C1266"/>
        <s v="C1337"/>
        <s v="C1496"/>
        <s v="C1338"/>
        <s v="C1444"/>
        <s v="C1465"/>
        <s v="C1899"/>
        <s v="C1849"/>
        <s v="C1827"/>
        <s v="C1655"/>
        <s v="C1233"/>
        <s v="C1339"/>
        <s v="C1344"/>
        <s v="C1432"/>
        <s v="C1400"/>
        <s v="C1697"/>
        <s v="C1316"/>
        <s v="C1869"/>
        <s v="C1200"/>
        <s v="C1406"/>
        <s v="C1248"/>
        <s v="C1360"/>
        <s v="C1719"/>
        <s v="C1671"/>
        <s v="C1883"/>
        <s v="C1478"/>
        <s v="C1713"/>
        <s v="C1451"/>
        <s v="C1325"/>
        <s v="C1768"/>
        <s v="C1687"/>
        <s v="C1738"/>
        <s v="C1703"/>
        <s v="C1387"/>
        <s v="C1804"/>
        <s v="C1636"/>
        <s v="C1828"/>
        <s v="C1897"/>
        <s v="C1269"/>
        <s v="C1426"/>
        <s v="C1674"/>
        <s v="C1682"/>
        <s v="C1643"/>
        <s v="C1796"/>
        <s v="C1753"/>
        <s v="C1382"/>
        <s v="C1831"/>
        <s v="C1418"/>
        <s v="C1319"/>
        <s v="C1378"/>
        <s v="C1901"/>
        <s v="C1836"/>
        <s v="C1861"/>
        <s v="C1370"/>
        <s v="C1458"/>
        <s v="C1292"/>
        <s v="C1430"/>
        <s v="C1351"/>
        <s v="C1637"/>
        <s v="C1686"/>
        <s v="C1701"/>
        <s v="C1892"/>
        <s v="C1666"/>
        <s v="C1683"/>
        <s v="C1404"/>
        <s v="C1830"/>
        <s v="C1780"/>
        <s v="C1346"/>
        <s v="C1678"/>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Food and beverages"/>
        <s v="Sports and travel"/>
        <s v="Home and lifestyle"/>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20"/>
    </cacheField>
    <cacheField name="Tax 5%" numFmtId="0">
      <sharedItems containsSemiMixedTypes="0" containsString="0" containsNumber="1" minValue="0.50849999999999995" maxValue="87.498000000000005"/>
    </cacheField>
    <cacheField name="Total" numFmtId="0">
      <sharedItems containsSemiMixedTypes="0" containsString="0" containsNumber="1" minValue="10.17" maxValue="1749.96"/>
    </cacheField>
    <cacheField name="Date" numFmtId="14">
      <sharedItems containsSemiMixedTypes="0" containsNonDate="0" containsDate="1" containsString="0" minDate="2019-01-01T00:00:00" maxDate="2020-01-01T00:00:00" count="349">
        <d v="2019-02-21T00:00:00"/>
        <d v="2019-05-27T00:00:00"/>
        <d v="2019-12-27T00:00:00"/>
        <d v="2019-11-15T00:00:00"/>
        <d v="2019-03-31T00:00:00"/>
        <d v="2019-01-06T00:00:00"/>
        <d v="2019-12-15T00:00:00"/>
        <d v="2019-06-14T00:00:00"/>
        <d v="2019-11-25T00:00:00"/>
        <d v="2019-04-10T00:00:00"/>
        <d v="2019-07-23T00:00:00"/>
        <d v="2019-08-26T00:00:00"/>
        <d v="2019-08-25T00:00:00"/>
        <d v="2019-10-02T00:00:00"/>
        <d v="2019-11-23T00:00:00"/>
        <d v="2019-07-15T00:00:00"/>
        <d v="2019-12-02T00:00:00"/>
        <d v="2019-03-09T00:00:00"/>
        <d v="2019-07-09T00:00:00"/>
        <d v="2019-05-08T00:00:00"/>
        <d v="2019-10-18T00:00:00"/>
        <d v="2019-12-25T00:00:00"/>
        <d v="2019-05-01T00:00:00"/>
        <d v="2019-02-16T00:00:00"/>
        <d v="2019-03-11T00:00:00"/>
        <d v="2019-11-08T00:00:00"/>
        <d v="2019-01-19T00:00:00"/>
        <d v="2019-09-04T00:00:00"/>
        <d v="2019-03-06T00:00:00"/>
        <d v="2019-06-04T00:00:00"/>
        <d v="2019-08-17T00:00:00"/>
        <d v="2019-01-18T00:00:00"/>
        <d v="2019-06-15T00:00:00"/>
        <d v="2019-09-28T00:00:00"/>
        <d v="2019-05-09T00:00:00"/>
        <d v="2019-07-12T00:00:00"/>
        <d v="2019-09-17T00:00:00"/>
        <d v="2019-10-27T00:00:00"/>
        <d v="2019-10-14T00:00:00"/>
        <d v="2019-02-08T00:00:00"/>
        <d v="2019-08-31T00:00:00"/>
        <d v="2019-04-28T00:00:00"/>
        <d v="2019-02-22T00:00:00"/>
        <d v="2019-10-07T00:00:00"/>
        <d v="2019-01-11T00:00:00"/>
        <d v="2019-02-25T00:00:00"/>
        <d v="2019-02-07T00:00:00"/>
        <d v="2019-10-16T00:00:00"/>
        <d v="2019-06-03T00:00:00"/>
        <d v="2019-04-04T00:00:00"/>
        <d v="2019-12-30T00:00:00"/>
        <d v="2019-09-15T00:00:00"/>
        <d v="2019-04-30T00:00:00"/>
        <d v="2019-02-19T00:00:00"/>
        <d v="2019-01-14T00:00:00"/>
        <d v="2019-06-29T00:00:00"/>
        <d v="2019-01-28T00:00:00"/>
        <d v="2019-05-07T00:00:00"/>
        <d v="2019-11-19T00:00:00"/>
        <d v="2019-09-25T00:00:00"/>
        <d v="2019-12-09T00:00:00"/>
        <d v="2019-03-22T00:00:00"/>
        <d v="2019-10-04T00:00:00"/>
        <d v="2019-06-19T00:00:00"/>
        <d v="2019-09-19T00:00:00"/>
        <d v="2019-02-09T00:00:00"/>
        <d v="2019-02-27T00:00:00"/>
        <d v="2019-03-21T00:00:00"/>
        <d v="2019-06-02T00:00:00"/>
        <d v="2019-07-22T00:00:00"/>
        <d v="2019-12-17T00:00:00"/>
        <d v="2019-12-12T00:00:00"/>
        <d v="2019-08-12T00:00:00"/>
        <d v="2019-12-05T00:00:00"/>
        <d v="2019-06-28T00:00:00"/>
        <d v="2019-11-10T00:00:00"/>
        <d v="2019-03-13T00:00:00"/>
        <d v="2019-10-28T00:00:00"/>
        <d v="2019-05-10T00:00:00"/>
        <d v="2019-05-22T00:00:00"/>
        <d v="2019-12-03T00:00:00"/>
        <d v="2019-04-24T00:00:00"/>
        <d v="2019-02-02T00:00:00"/>
        <d v="2019-04-19T00:00:00"/>
        <d v="2019-05-02T00:00:00"/>
        <d v="2019-04-02T00:00:00"/>
        <d v="2019-06-20T00:00:00"/>
        <d v="2019-11-06T00:00:00"/>
        <d v="2019-12-13T00:00:00"/>
        <d v="2019-07-19T00:00:00"/>
        <d v="2019-05-23T00:00:00"/>
        <d v="2019-04-20T00:00:00"/>
        <d v="2019-12-19T00:00:00"/>
        <d v="2019-12-10T00:00:00"/>
        <d v="2019-03-27T00:00:00"/>
        <d v="2019-10-25T00:00:00"/>
        <d v="2019-07-16T00:00:00"/>
        <d v="2019-09-01T00:00:00"/>
        <d v="2019-08-11T00:00:00"/>
        <d v="2019-04-27T00:00:00"/>
        <d v="2019-12-24T00:00:00"/>
        <d v="2019-09-10T00:00:00"/>
        <d v="2019-09-16T00:00:00"/>
        <d v="2019-06-11T00:00:00"/>
        <d v="2019-03-25T00:00:00"/>
        <d v="2019-11-29T00:00:00"/>
        <d v="2019-05-04T00:00:00"/>
        <d v="2019-06-12T00:00:00"/>
        <d v="2019-08-13T00:00:00"/>
        <d v="2019-10-23T00:00:00"/>
        <d v="2019-06-26T00:00:00"/>
        <d v="2019-01-22T00:00:00"/>
        <d v="2019-02-14T00:00:00"/>
        <d v="2019-04-21T00:00:00"/>
        <d v="2019-02-28T00:00:00"/>
        <d v="2019-08-27T00:00:00"/>
        <d v="2019-08-16T00:00:00"/>
        <d v="2019-11-27T00:00:00"/>
        <d v="2019-04-12T00:00:00"/>
        <d v="2019-01-05T00:00:00"/>
        <d v="2019-01-12T00:00:00"/>
        <d v="2019-01-25T00:00:00"/>
        <d v="2019-10-10T00:00:00"/>
        <d v="2019-12-31T00:00:00"/>
        <d v="2019-11-21T00:00:00"/>
        <d v="2019-11-09T00:00:00"/>
        <d v="2019-05-26T00:00:00"/>
        <d v="2019-04-23T00:00:00"/>
        <d v="2019-01-27T00:00:00"/>
        <d v="2019-06-18T00:00:00"/>
        <d v="2019-06-06T00:00:00"/>
        <d v="2019-07-10T00:00:00"/>
        <d v="2019-12-08T00:00:00"/>
        <d v="2019-11-16T00:00:00"/>
        <d v="2019-02-24T00:00:00"/>
        <d v="2019-06-09T00:00:00"/>
        <d v="2019-05-24T00:00:00"/>
        <d v="2019-07-13T00:00:00"/>
        <d v="2019-12-26T00:00:00"/>
        <d v="2019-10-08T00:00:00"/>
        <d v="2019-03-18T00:00:00"/>
        <d v="2019-11-22T00:00:00"/>
        <d v="2019-11-01T00:00:00"/>
        <d v="2019-03-12T00:00:00"/>
        <d v="2019-10-15T00:00:00"/>
        <d v="2019-12-18T00:00:00"/>
        <d v="2019-08-08T00:00:00"/>
        <d v="2019-10-29T00:00:00"/>
        <d v="2019-11-04T00:00:00"/>
        <d v="2019-11-05T00:00:00"/>
        <d v="2019-06-21T00:00:00"/>
        <d v="2019-02-23T00:00:00"/>
        <d v="2019-05-14T00:00:00"/>
        <d v="2019-02-15T00:00:00"/>
        <d v="2019-09-05T00:00:00"/>
        <d v="2019-08-02T00:00:00"/>
        <d v="2019-02-20T00:00:00"/>
        <d v="2019-01-09T00:00:00"/>
        <d v="2019-03-07T00:00:00"/>
        <d v="2019-03-28T00:00:00"/>
        <d v="2019-03-30T00:00:00"/>
        <d v="2019-09-03T00:00:00"/>
        <d v="2019-08-03T00:00:00"/>
        <d v="2019-02-12T00:00:00"/>
        <d v="2019-11-02T00:00:00"/>
        <d v="2019-07-30T00:00:00"/>
        <d v="2019-10-24T00:00:00"/>
        <d v="2019-09-14T00:00:00"/>
        <d v="2019-09-26T00:00:00"/>
        <d v="2019-11-18T00:00:00"/>
        <d v="2019-07-14T00:00:00"/>
        <d v="2019-06-17T00:00:00"/>
        <d v="2019-02-18T00:00:00"/>
        <d v="2019-12-14T00:00:00"/>
        <d v="2019-04-15T00:00:00"/>
        <d v="2019-04-14T00:00:00"/>
        <d v="2019-03-15T00:00:00"/>
        <d v="2019-03-26T00:00:00"/>
        <d v="2019-07-08T00:00:00"/>
        <d v="2019-09-24T00:00:00"/>
        <d v="2019-08-07T00:00:00"/>
        <d v="2019-11-14T00:00:00"/>
        <d v="2019-05-21T00:00:00"/>
        <d v="2019-09-12T00:00:00"/>
        <d v="2019-01-31T00:00:00"/>
        <d v="2019-03-24T00:00:00"/>
        <d v="2019-10-06T00:00:00"/>
        <d v="2019-04-26T00:00:00"/>
        <d v="2019-02-03T00:00:00"/>
        <d v="2019-05-05T00:00:00"/>
        <d v="2019-12-11T00:00:00"/>
        <d v="2019-03-05T00:00:00"/>
        <d v="2019-02-13T00:00:00"/>
        <d v="2019-03-02T00:00:00"/>
        <d v="2019-07-25T00:00:00"/>
        <d v="2019-08-29T00:00:00"/>
        <d v="2019-04-17T00:00:00"/>
        <d v="2019-01-17T00:00:00"/>
        <d v="2019-01-16T00:00:00"/>
        <d v="2019-08-09T00:00:00"/>
        <d v="2019-07-24T00:00:00"/>
        <d v="2019-07-06T00:00:00"/>
        <d v="2019-01-30T00:00:00"/>
        <d v="2019-07-02T00:00:00"/>
        <d v="2019-04-16T00:00:00"/>
        <d v="2019-06-24T00:00:00"/>
        <d v="2019-07-01T00:00:00"/>
        <d v="2019-06-16T00:00:00"/>
        <d v="2019-09-09T00:00:00"/>
        <d v="2019-07-03T00:00:00"/>
        <d v="2019-01-03T00:00:00"/>
        <d v="2019-05-17T00:00:00"/>
        <d v="2019-10-19T00:00:00"/>
        <d v="2019-03-19T00:00:00"/>
        <d v="2019-04-03T00:00:00"/>
        <d v="2019-04-22T00:00:00"/>
        <d v="2019-04-08T00:00:00"/>
        <d v="2019-10-21T00:00:00"/>
        <d v="2019-07-20T00:00:00"/>
        <d v="2019-07-05T00:00:00"/>
        <d v="2019-12-22T00:00:00"/>
        <d v="2019-07-17T00:00:00"/>
        <d v="2019-06-08T00:00:00"/>
        <d v="2019-08-05T00:00:00"/>
        <d v="2019-09-18T00:00:00"/>
        <d v="2019-03-04T00:00:00"/>
        <d v="2019-05-28T00:00:00"/>
        <d v="2019-12-20T00:00:00"/>
        <d v="2019-03-16T00:00:00"/>
        <d v="2019-05-15T00:00:00"/>
        <d v="2019-03-03T00:00:00"/>
        <d v="2019-01-29T00:00:00"/>
        <d v="2019-04-01T00:00:00"/>
        <d v="2019-02-01T00:00:00"/>
        <d v="2019-10-09T00:00:00"/>
        <d v="2019-10-17T00:00:00"/>
        <d v="2019-08-04T00:00:00"/>
        <d v="2019-05-29T00:00:00"/>
        <d v="2019-07-27T00:00:00"/>
        <d v="2019-10-20T00:00:00"/>
        <d v="2019-10-12T00:00:00"/>
        <d v="2019-10-01T00:00:00"/>
        <d v="2019-06-01T00:00:00"/>
        <d v="2019-08-01T00:00:00"/>
        <d v="2019-02-26T00:00:00"/>
        <d v="2019-04-06T00:00:00"/>
        <d v="2019-06-07T00:00:00"/>
        <d v="2019-09-23T00:00:00"/>
        <d v="2019-06-10T00:00:00"/>
        <d v="2019-11-28T00:00:00"/>
        <d v="2019-01-07T00:00:00"/>
        <d v="2019-11-24T00:00:00"/>
        <d v="2019-01-10T00:00:00"/>
        <d v="2019-10-26T00:00:00"/>
        <d v="2019-09-21T00:00:00"/>
        <d v="2019-07-18T00:00:00"/>
        <d v="2019-07-11T00:00:00"/>
        <d v="2019-04-25T00:00:00"/>
        <d v="2019-08-10T00:00:00"/>
        <d v="2019-08-21T00:00:00"/>
        <d v="2019-08-06T00:00:00"/>
        <d v="2019-06-22T00:00:00"/>
        <d v="2019-01-15T00:00:00"/>
        <d v="2019-09-08T00:00:00"/>
        <d v="2019-07-07T00:00:00"/>
        <d v="2019-11-12T00:00:00"/>
        <d v="2019-12-21T00:00:00"/>
        <d v="2019-01-02T00:00:00"/>
        <d v="2019-11-26T00:00:00"/>
        <d v="2019-07-31T00:00:00"/>
        <d v="2019-05-19T00:00:00"/>
        <d v="2019-12-06T00:00:00"/>
        <d v="2019-11-03T00:00:00"/>
        <d v="2019-10-31T00:00:00"/>
        <d v="2019-06-13T00:00:00"/>
        <d v="2019-12-28T00:00:00"/>
        <d v="2019-09-02T00:00:00"/>
        <d v="2019-05-11T00:00:00"/>
        <d v="2019-05-31T00:00:00"/>
        <d v="2019-08-30T00:00:00"/>
        <d v="2019-04-29T00:00:00"/>
        <d v="2019-10-11T00:00:00"/>
        <d v="2019-05-03T00:00:00"/>
        <d v="2019-09-06T00:00:00"/>
        <d v="2019-04-11T00:00:00"/>
        <d v="2019-11-30T00:00:00"/>
        <d v="2019-09-27T00:00:00"/>
        <d v="2019-08-23T00:00:00"/>
        <d v="2019-02-04T00:00:00"/>
        <d v="2019-08-19T00:00:00"/>
        <d v="2019-02-17T00:00:00"/>
        <d v="2019-07-28T00:00:00"/>
        <d v="2019-09-30T00:00:00"/>
        <d v="2019-01-24T00:00:00"/>
        <d v="2019-06-23T00:00:00"/>
        <d v="2019-04-09T00:00:00"/>
        <d v="2019-09-13T00:00:00"/>
        <d v="2019-09-20T00:00:00"/>
        <d v="2019-01-21T00:00:00"/>
        <d v="2019-12-16T00:00:00"/>
        <d v="2019-11-11T00:00:00"/>
        <d v="2019-07-29T00:00:00"/>
        <d v="2019-11-20T00:00:00"/>
        <d v="2019-07-26T00:00:00"/>
        <d v="2019-10-03T00:00:00"/>
        <d v="2019-01-13T00:00:00"/>
        <d v="2019-05-20T00:00:00"/>
        <d v="2019-05-30T00:00:00"/>
        <d v="2019-08-18T00:00:00"/>
        <d v="2019-06-27T00:00:00"/>
        <d v="2019-04-13T00:00:00"/>
        <d v="2019-09-22T00:00:00"/>
        <d v="2019-08-15T00:00:00"/>
        <d v="2019-12-29T00:00:00"/>
        <d v="2019-04-05T00:00:00"/>
        <d v="2019-06-30T00:00:00"/>
        <d v="2019-02-05T00:00:00"/>
        <d v="2019-07-21T00:00:00"/>
        <d v="2019-12-23T00:00:00"/>
        <d v="2019-05-12T00:00:00"/>
        <d v="2019-01-01T00:00:00"/>
        <d v="2019-08-20T00:00:00"/>
        <d v="2019-02-11T00:00:00"/>
        <d v="2019-05-25T00:00:00"/>
        <d v="2019-03-17T00:00:00"/>
        <d v="2019-10-22T00:00:00"/>
        <d v="2019-11-17T00:00:00"/>
        <d v="2019-04-07T00:00:00"/>
        <d v="2019-09-11T00:00:00"/>
        <d v="2019-05-16T00:00:00"/>
        <d v="2019-04-18T00:00:00"/>
        <d v="2019-03-08T00:00:00"/>
        <d v="2019-01-23T00:00:00"/>
        <d v="2019-09-29T00:00:00"/>
        <d v="2019-03-14T00:00:00"/>
        <d v="2019-05-18T00:00:00"/>
        <d v="2019-03-23T00:00:00"/>
        <d v="2019-05-13T00:00:00"/>
        <d v="2019-10-13T00:00:00"/>
        <d v="2019-12-01T00:00:00"/>
        <d v="2019-10-05T00:00:00"/>
        <d v="2019-01-20T00:00:00"/>
        <d v="2019-08-14T00:00:00"/>
        <d v="2019-12-04T00:00:00"/>
        <d v="2019-05-06T00:00:00"/>
        <d v="2019-03-01T00:00:00"/>
        <d v="2019-07-04T00:00:00"/>
        <d v="2019-03-29T00:00:00"/>
        <d v="2019-03-10T00:00:00"/>
      </sharedItems>
      <fieldGroup par="21"/>
    </cacheField>
    <cacheField name="Time" numFmtId="20">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fieldGroup par="23"/>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 maxValue="874.98"/>
    </cacheField>
    <cacheField name="Rating" numFmtId="0">
      <sharedItems containsSemiMixedTypes="0" containsString="0" containsNumber="1" minValue="4" maxValue="10"/>
    </cacheField>
    <cacheField name="Longitude" numFmtId="0">
      <sharedItems containsSemiMixedTypes="0" containsString="0" containsNumber="1" minValue="96.078500000000005" maxValue="96.173500000000004"/>
    </cacheField>
    <cacheField name="Latitude" numFmtId="0">
      <sharedItems containsSemiMixedTypes="0" containsString="0" containsNumber="1" minValue="16.840900000000001" maxValue="21.9588"/>
    </cacheField>
    <cacheField name="Days (Date)" numFmtId="0" databaseField="0">
      <fieldGroup base="11">
        <rangePr groupBy="days" startDate="2019-01-01T00:00:00" endDate="2020-01-01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0"/>
        </groupItems>
      </fieldGroup>
    </cacheField>
    <cacheField name="Months (Date)" numFmtId="0" databaseField="0">
      <fieldGroup base="11">
        <rangePr groupBy="months" startDate="2019-01-01T00:00:00" endDate="2020-01-01T00:00:00"/>
        <groupItems count="14">
          <s v="&lt;01-01-2019"/>
          <s v="Jan"/>
          <s v="Feb"/>
          <s v="Mar"/>
          <s v="Apr"/>
          <s v="May"/>
          <s v="Jun"/>
          <s v="Jul"/>
          <s v="Aug"/>
          <s v="Sep"/>
          <s v="Oct"/>
          <s v="Nov"/>
          <s v="Dec"/>
          <s v="&gt;01-01-2020"/>
        </groupItems>
      </fieldGroup>
    </cacheField>
    <cacheField name="Minutes (Time)" numFmtId="0" databaseField="0">
      <fieldGroup base="12">
        <rangePr groupBy="minutes" startDate="1899-12-30T10:00:00" endDate="1899-12-30T20: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2">
        <rangePr groupBy="hours" startDate="1899-12-30T10:00:00" endDate="1899-12-30T20: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n v="74.69"/>
    <n v="10"/>
    <n v="37.344999999999999"/>
    <n v="746.9"/>
    <x v="0"/>
    <x v="0"/>
    <x v="0"/>
    <n v="711.33333330000005"/>
    <n v="4.7619047620000003"/>
    <n v="35.566666669999996"/>
    <n v="9.1"/>
    <n v="96.173500000000004"/>
    <n v="16.840900000000001"/>
  </r>
  <r>
    <x v="1"/>
    <x v="1"/>
    <x v="1"/>
    <x v="1"/>
    <x v="1"/>
    <x v="0"/>
    <x v="0"/>
    <n v="15.28"/>
    <n v="6"/>
    <n v="4.5839999999999996"/>
    <n v="91.68"/>
    <x v="1"/>
    <x v="1"/>
    <x v="1"/>
    <n v="76.400000000000006"/>
    <n v="4.7619047620000003"/>
    <n v="15.28"/>
    <n v="10"/>
    <n v="96.078500000000005"/>
    <n v="19.763300000000001"/>
  </r>
  <r>
    <x v="2"/>
    <x v="0"/>
    <x v="2"/>
    <x v="0"/>
    <x v="1"/>
    <x v="1"/>
    <x v="0"/>
    <n v="46.33"/>
    <n v="7"/>
    <n v="16.215499999999999"/>
    <n v="324.31"/>
    <x v="2"/>
    <x v="2"/>
    <x v="2"/>
    <n v="324.31"/>
    <n v="4.7619047620000003"/>
    <n v="0"/>
    <n v="7.4"/>
    <n v="96.173500000000004"/>
    <n v="16.840900000000001"/>
  </r>
  <r>
    <x v="3"/>
    <x v="0"/>
    <x v="3"/>
    <x v="0"/>
    <x v="0"/>
    <x v="1"/>
    <x v="0"/>
    <n v="58.22"/>
    <n v="11"/>
    <n v="32.021000000000001"/>
    <n v="640.41999999999996"/>
    <x v="3"/>
    <x v="3"/>
    <x v="0"/>
    <n v="465.76"/>
    <n v="4.7619047620000003"/>
    <n v="174.66"/>
    <n v="8.4"/>
    <n v="96.173500000000004"/>
    <n v="16.840900000000001"/>
  </r>
  <r>
    <x v="4"/>
    <x v="0"/>
    <x v="4"/>
    <x v="0"/>
    <x v="1"/>
    <x v="1"/>
    <x v="0"/>
    <n v="86.31"/>
    <n v="7"/>
    <n v="30.208500000000001"/>
    <n v="604.16999999999996"/>
    <x v="4"/>
    <x v="4"/>
    <x v="0"/>
    <n v="604.16999999999996"/>
    <n v="4.7619047620000003"/>
    <n v="0"/>
    <n v="7.46"/>
    <n v="96.173500000000004"/>
    <n v="16.840900000000001"/>
  </r>
  <r>
    <x v="5"/>
    <x v="1"/>
    <x v="5"/>
    <x v="1"/>
    <x v="1"/>
    <x v="1"/>
    <x v="0"/>
    <n v="85.39"/>
    <n v="8"/>
    <n v="34.155999999999999"/>
    <n v="683.12"/>
    <x v="5"/>
    <x v="5"/>
    <x v="0"/>
    <n v="597.73"/>
    <n v="4.7619047620000003"/>
    <n v="85.39"/>
    <n v="7.46"/>
    <n v="96.078500000000005"/>
    <n v="19.763300000000001"/>
  </r>
  <r>
    <x v="6"/>
    <x v="0"/>
    <x v="6"/>
    <x v="0"/>
    <x v="1"/>
    <x v="0"/>
    <x v="0"/>
    <n v="68.84"/>
    <n v="6"/>
    <n v="20.652000000000001"/>
    <n v="413.04"/>
    <x v="6"/>
    <x v="6"/>
    <x v="0"/>
    <n v="413.04"/>
    <n v="4.7619047620000003"/>
    <n v="0"/>
    <n v="7.46"/>
    <n v="96.173500000000004"/>
    <n v="16.840900000000001"/>
  </r>
  <r>
    <x v="7"/>
    <x v="1"/>
    <x v="7"/>
    <x v="1"/>
    <x v="1"/>
    <x v="0"/>
    <x v="0"/>
    <n v="73.56"/>
    <n v="12"/>
    <n v="44.136000000000003"/>
    <n v="882.72"/>
    <x v="7"/>
    <x v="7"/>
    <x v="0"/>
    <n v="735.6"/>
    <n v="4.7619047620000003"/>
    <n v="147.12"/>
    <n v="7.46"/>
    <n v="96.078500000000005"/>
    <n v="19.763300000000001"/>
  </r>
  <r>
    <x v="8"/>
    <x v="0"/>
    <x v="8"/>
    <x v="0"/>
    <x v="1"/>
    <x v="0"/>
    <x v="0"/>
    <n v="36.26"/>
    <n v="2"/>
    <n v="3.6259999999999999"/>
    <n v="72.52"/>
    <x v="8"/>
    <x v="8"/>
    <x v="2"/>
    <n v="72.52"/>
    <n v="4.7619047620000003"/>
    <n v="0"/>
    <n v="7.46"/>
    <n v="96.173500000000004"/>
    <n v="16.840900000000001"/>
  </r>
  <r>
    <x v="9"/>
    <x v="2"/>
    <x v="9"/>
    <x v="2"/>
    <x v="1"/>
    <x v="0"/>
    <x v="0"/>
    <n v="54.84"/>
    <n v="4"/>
    <n v="10.968"/>
    <n v="219.36"/>
    <x v="9"/>
    <x v="9"/>
    <x v="2"/>
    <n v="164.52"/>
    <n v="4.7619047620000003"/>
    <n v="54.84"/>
    <n v="7.46"/>
    <n v="96.089100000000002"/>
    <n v="21.9588"/>
  </r>
  <r>
    <x v="10"/>
    <x v="2"/>
    <x v="10"/>
    <x v="2"/>
    <x v="1"/>
    <x v="0"/>
    <x v="0"/>
    <n v="14.48"/>
    <n v="6"/>
    <n v="4.3440000000000003"/>
    <n v="86.88"/>
    <x v="10"/>
    <x v="10"/>
    <x v="0"/>
    <n v="57.92"/>
    <n v="4.7619047620000003"/>
    <n v="28.96"/>
    <n v="7.46"/>
    <n v="96.089100000000002"/>
    <n v="21.9588"/>
  </r>
  <r>
    <x v="11"/>
    <x v="2"/>
    <x v="11"/>
    <x v="2"/>
    <x v="1"/>
    <x v="1"/>
    <x v="0"/>
    <n v="25.51"/>
    <n v="6"/>
    <n v="7.6530000000000005"/>
    <n v="153.06"/>
    <x v="11"/>
    <x v="11"/>
    <x v="1"/>
    <n v="102.04"/>
    <n v="4.7619047620000003"/>
    <n v="51.02"/>
    <n v="7.46"/>
    <n v="96.089100000000002"/>
    <n v="21.9588"/>
  </r>
  <r>
    <x v="12"/>
    <x v="0"/>
    <x v="12"/>
    <x v="0"/>
    <x v="1"/>
    <x v="0"/>
    <x v="1"/>
    <n v="46.95"/>
    <n v="5"/>
    <n v="11.737500000000001"/>
    <n v="234.75"/>
    <x v="12"/>
    <x v="12"/>
    <x v="0"/>
    <n v="234.75"/>
    <n v="4.7619047620000003"/>
    <n v="0"/>
    <n v="7.46"/>
    <n v="96.173500000000004"/>
    <n v="16.840900000000001"/>
  </r>
  <r>
    <x v="13"/>
    <x v="0"/>
    <x v="13"/>
    <x v="0"/>
    <x v="1"/>
    <x v="1"/>
    <x v="2"/>
    <n v="43.19"/>
    <n v="10"/>
    <n v="21.594999999999999"/>
    <n v="431.9"/>
    <x v="13"/>
    <x v="13"/>
    <x v="0"/>
    <n v="431.9"/>
    <n v="4.7619047620000003"/>
    <n v="0"/>
    <n v="8.1999999999999993"/>
    <n v="96.173500000000004"/>
    <n v="16.840900000000001"/>
  </r>
  <r>
    <x v="14"/>
    <x v="0"/>
    <x v="14"/>
    <x v="0"/>
    <x v="1"/>
    <x v="0"/>
    <x v="0"/>
    <n v="71.38"/>
    <n v="10"/>
    <n v="35.69"/>
    <n v="713.8"/>
    <x v="14"/>
    <x v="14"/>
    <x v="1"/>
    <n v="713.8"/>
    <n v="4.7619047620000003"/>
    <n v="0"/>
    <n v="5.7"/>
    <n v="96.173500000000004"/>
    <n v="16.840900000000001"/>
  </r>
  <r>
    <x v="15"/>
    <x v="2"/>
    <x v="15"/>
    <x v="2"/>
    <x v="0"/>
    <x v="0"/>
    <x v="3"/>
    <n v="93.72"/>
    <n v="11"/>
    <n v="51.546000000000006"/>
    <n v="1030.92"/>
    <x v="15"/>
    <x v="15"/>
    <x v="1"/>
    <n v="562.32000000000005"/>
    <n v="4.7619047620000003"/>
    <n v="468.6"/>
    <n v="5.4"/>
    <n v="96.089100000000002"/>
    <n v="21.9588"/>
  </r>
  <r>
    <x v="16"/>
    <x v="0"/>
    <x v="16"/>
    <x v="0"/>
    <x v="0"/>
    <x v="0"/>
    <x v="0"/>
    <n v="68.930000000000007"/>
    <n v="10"/>
    <n v="34.464999999999996"/>
    <n v="689.3"/>
    <x v="16"/>
    <x v="16"/>
    <x v="2"/>
    <n v="482.51"/>
    <n v="4.7619047620000003"/>
    <n v="206.79"/>
    <n v="4.5999999999999996"/>
    <n v="96.173500000000004"/>
    <n v="16.840900000000001"/>
  </r>
  <r>
    <x v="17"/>
    <x v="0"/>
    <x v="17"/>
    <x v="0"/>
    <x v="1"/>
    <x v="1"/>
    <x v="3"/>
    <n v="72.61"/>
    <n v="6"/>
    <n v="21.783000000000001"/>
    <n v="435.66"/>
    <x v="17"/>
    <x v="17"/>
    <x v="2"/>
    <n v="435.66"/>
    <n v="4.7619047620000003"/>
    <n v="0"/>
    <n v="6.9"/>
    <n v="96.173500000000004"/>
    <n v="16.840900000000001"/>
  </r>
  <r>
    <x v="18"/>
    <x v="0"/>
    <x v="18"/>
    <x v="0"/>
    <x v="1"/>
    <x v="1"/>
    <x v="2"/>
    <n v="54.67"/>
    <n v="3"/>
    <n v="8.2004999999999999"/>
    <n v="164.01"/>
    <x v="18"/>
    <x v="18"/>
    <x v="2"/>
    <n v="164.01"/>
    <n v="4.7619047620000003"/>
    <n v="0"/>
    <n v="8.6"/>
    <n v="96.173500000000004"/>
    <n v="16.840900000000001"/>
  </r>
  <r>
    <x v="19"/>
    <x v="2"/>
    <x v="19"/>
    <x v="2"/>
    <x v="1"/>
    <x v="0"/>
    <x v="4"/>
    <n v="40.299999999999997"/>
    <n v="3"/>
    <n v="6.0450000000000008"/>
    <n v="120.9"/>
    <x v="19"/>
    <x v="19"/>
    <x v="0"/>
    <n v="80.599999999999994"/>
    <n v="4.7619047620000003"/>
    <n v="40.299999999999997"/>
    <n v="5.28"/>
    <n v="96.089100000000002"/>
    <n v="21.9588"/>
  </r>
  <r>
    <x v="20"/>
    <x v="1"/>
    <x v="20"/>
    <x v="1"/>
    <x v="0"/>
    <x v="1"/>
    <x v="1"/>
    <n v="86.04"/>
    <n v="8"/>
    <n v="34.416000000000004"/>
    <n v="688.32"/>
    <x v="20"/>
    <x v="20"/>
    <x v="0"/>
    <n v="430.2"/>
    <n v="4.7619047620000003"/>
    <n v="258.12"/>
    <n v="5.04"/>
    <n v="96.078500000000005"/>
    <n v="19.763300000000001"/>
  </r>
  <r>
    <x v="21"/>
    <x v="2"/>
    <x v="21"/>
    <x v="2"/>
    <x v="1"/>
    <x v="1"/>
    <x v="0"/>
    <n v="87.98"/>
    <n v="4"/>
    <n v="17.596"/>
    <n v="351.92"/>
    <x v="21"/>
    <x v="21"/>
    <x v="0"/>
    <n v="263.94"/>
    <n v="4.7619047620000003"/>
    <n v="87.98"/>
    <n v="6.12"/>
    <n v="96.089100000000002"/>
    <n v="21.9588"/>
  </r>
  <r>
    <x v="22"/>
    <x v="2"/>
    <x v="22"/>
    <x v="2"/>
    <x v="1"/>
    <x v="1"/>
    <x v="0"/>
    <n v="33.200000000000003"/>
    <n v="3"/>
    <n v="4.9800000000000004"/>
    <n v="99.6"/>
    <x v="22"/>
    <x v="22"/>
    <x v="2"/>
    <n v="66.400000000000006"/>
    <n v="4.7619047620000003"/>
    <n v="33.200000000000003"/>
    <n v="5.28"/>
    <n v="96.089100000000002"/>
    <n v="21.9588"/>
  </r>
  <r>
    <x v="23"/>
    <x v="0"/>
    <x v="23"/>
    <x v="0"/>
    <x v="1"/>
    <x v="1"/>
    <x v="0"/>
    <n v="34.56"/>
    <n v="5"/>
    <n v="8.64"/>
    <n v="172.8"/>
    <x v="23"/>
    <x v="23"/>
    <x v="0"/>
    <n v="172.8"/>
    <n v="4.7619047620000003"/>
    <n v="0"/>
    <n v="9.9"/>
    <n v="96.173500000000004"/>
    <n v="16.840900000000001"/>
  </r>
  <r>
    <x v="24"/>
    <x v="0"/>
    <x v="24"/>
    <x v="0"/>
    <x v="0"/>
    <x v="1"/>
    <x v="0"/>
    <n v="88.63"/>
    <n v="4"/>
    <n v="17.725999999999999"/>
    <n v="354.52"/>
    <x v="24"/>
    <x v="24"/>
    <x v="0"/>
    <n v="265.89"/>
    <n v="4.7619047620000003"/>
    <n v="88.63"/>
    <n v="6"/>
    <n v="96.173500000000004"/>
    <n v="16.840900000000001"/>
  </r>
  <r>
    <x v="25"/>
    <x v="0"/>
    <x v="25"/>
    <x v="0"/>
    <x v="0"/>
    <x v="0"/>
    <x v="0"/>
    <n v="52.59"/>
    <n v="11"/>
    <n v="28.924499999999998"/>
    <n v="578.49"/>
    <x v="25"/>
    <x v="25"/>
    <x v="2"/>
    <n v="420.72"/>
    <n v="4.7619047620000003"/>
    <n v="157.77000000000001"/>
    <n v="8.5"/>
    <n v="96.173500000000004"/>
    <n v="16.840900000000001"/>
  </r>
  <r>
    <x v="26"/>
    <x v="2"/>
    <x v="26"/>
    <x v="2"/>
    <x v="1"/>
    <x v="1"/>
    <x v="0"/>
    <n v="33.520000000000003"/>
    <n v="1"/>
    <n v="1.6759999999999999"/>
    <n v="33.520000000000003"/>
    <x v="26"/>
    <x v="26"/>
    <x v="1"/>
    <n v="33.520000000000003"/>
    <n v="4.7619047620000003"/>
    <n v="0"/>
    <n v="8.0399999999999991"/>
    <n v="96.089100000000002"/>
    <n v="21.9588"/>
  </r>
  <r>
    <x v="27"/>
    <x v="0"/>
    <x v="27"/>
    <x v="0"/>
    <x v="1"/>
    <x v="0"/>
    <x v="0"/>
    <n v="87.67"/>
    <n v="2"/>
    <n v="8.7669999999999995"/>
    <n v="175.34"/>
    <x v="27"/>
    <x v="27"/>
    <x v="2"/>
    <n v="175.34"/>
    <n v="4.7619047620000003"/>
    <n v="0"/>
    <n v="7.7"/>
    <n v="96.173500000000004"/>
    <n v="16.840900000000001"/>
  </r>
  <r>
    <x v="28"/>
    <x v="2"/>
    <x v="28"/>
    <x v="2"/>
    <x v="1"/>
    <x v="0"/>
    <x v="0"/>
    <n v="88.36"/>
    <n v="7"/>
    <n v="30.925999999999998"/>
    <n v="618.52"/>
    <x v="28"/>
    <x v="28"/>
    <x v="1"/>
    <n v="441.8"/>
    <n v="4.7619047620000003"/>
    <n v="176.72"/>
    <n v="10"/>
    <n v="96.089100000000002"/>
    <n v="21.9588"/>
  </r>
  <r>
    <x v="29"/>
    <x v="0"/>
    <x v="29"/>
    <x v="0"/>
    <x v="1"/>
    <x v="0"/>
    <x v="0"/>
    <n v="24.89"/>
    <n v="9"/>
    <n v="11.2005"/>
    <n v="224.01"/>
    <x v="29"/>
    <x v="29"/>
    <x v="1"/>
    <n v="224.01"/>
    <n v="4.7619047620000003"/>
    <n v="0"/>
    <n v="7.4"/>
    <n v="96.173500000000004"/>
    <n v="16.840900000000001"/>
  </r>
  <r>
    <x v="30"/>
    <x v="2"/>
    <x v="30"/>
    <x v="2"/>
    <x v="1"/>
    <x v="0"/>
    <x v="5"/>
    <n v="94.13"/>
    <n v="7"/>
    <n v="32.945500000000003"/>
    <n v="658.91"/>
    <x v="30"/>
    <x v="30"/>
    <x v="2"/>
    <n v="470.65"/>
    <n v="4.7619047620000003"/>
    <n v="188.26"/>
    <n v="5.76"/>
    <n v="96.089100000000002"/>
    <n v="21.9588"/>
  </r>
  <r>
    <x v="31"/>
    <x v="2"/>
    <x v="31"/>
    <x v="2"/>
    <x v="0"/>
    <x v="0"/>
    <x v="3"/>
    <n v="78.069999999999993"/>
    <n v="18"/>
    <n v="70.263000000000005"/>
    <n v="1405.26"/>
    <x v="31"/>
    <x v="31"/>
    <x v="1"/>
    <n v="702.63"/>
    <n v="4.7619047620000003"/>
    <n v="702.63"/>
    <n v="5.4"/>
    <n v="96.089100000000002"/>
    <n v="21.9588"/>
  </r>
  <r>
    <x v="32"/>
    <x v="2"/>
    <x v="32"/>
    <x v="2"/>
    <x v="1"/>
    <x v="0"/>
    <x v="3"/>
    <n v="83.78"/>
    <n v="11"/>
    <n v="46.079000000000001"/>
    <n v="921.58"/>
    <x v="32"/>
    <x v="32"/>
    <x v="1"/>
    <n v="670.24"/>
    <n v="4.7619047620000003"/>
    <n v="251.34"/>
    <n v="6.12"/>
    <n v="96.089100000000002"/>
    <n v="21.9588"/>
  </r>
  <r>
    <x v="33"/>
    <x v="0"/>
    <x v="23"/>
    <x v="0"/>
    <x v="1"/>
    <x v="0"/>
    <x v="0"/>
    <n v="96.58"/>
    <n v="2"/>
    <n v="9.6579999999999995"/>
    <n v="193.16"/>
    <x v="33"/>
    <x v="33"/>
    <x v="2"/>
    <n v="193.16"/>
    <n v="4.7619047620000003"/>
    <n v="0"/>
    <n v="5.0999999999999996"/>
    <n v="96.173500000000004"/>
    <n v="16.840900000000001"/>
  </r>
  <r>
    <x v="34"/>
    <x v="1"/>
    <x v="33"/>
    <x v="1"/>
    <x v="1"/>
    <x v="0"/>
    <x v="2"/>
    <n v="99.42"/>
    <n v="5"/>
    <n v="24.855000000000004"/>
    <n v="497.1"/>
    <x v="34"/>
    <x v="34"/>
    <x v="0"/>
    <n v="397.68"/>
    <n v="4.7619047620000003"/>
    <n v="99.42"/>
    <n v="7.875"/>
    <n v="96.078500000000005"/>
    <n v="19.763300000000001"/>
  </r>
  <r>
    <x v="35"/>
    <x v="1"/>
    <x v="34"/>
    <x v="1"/>
    <x v="1"/>
    <x v="0"/>
    <x v="3"/>
    <n v="68.12"/>
    <n v="1"/>
    <n v="3.4060000000000006"/>
    <n v="68.12"/>
    <x v="35"/>
    <x v="35"/>
    <x v="0"/>
    <n v="68.12"/>
    <n v="4.7619047620000003"/>
    <n v="0"/>
    <n v="7.14"/>
    <n v="96.078500000000005"/>
    <n v="19.763300000000001"/>
  </r>
  <r>
    <x v="36"/>
    <x v="0"/>
    <x v="35"/>
    <x v="0"/>
    <x v="1"/>
    <x v="0"/>
    <x v="3"/>
    <n v="62.62"/>
    <n v="5"/>
    <n v="15.655000000000001"/>
    <n v="313.10000000000002"/>
    <x v="19"/>
    <x v="36"/>
    <x v="0"/>
    <n v="313.10000000000002"/>
    <n v="4.7619047620000003"/>
    <n v="0"/>
    <n v="7"/>
    <n v="96.173500000000004"/>
    <n v="16.840900000000001"/>
  </r>
  <r>
    <x v="37"/>
    <x v="0"/>
    <x v="36"/>
    <x v="0"/>
    <x v="1"/>
    <x v="0"/>
    <x v="1"/>
    <n v="60.88"/>
    <n v="9"/>
    <n v="27.396000000000001"/>
    <n v="547.91999999999996"/>
    <x v="36"/>
    <x v="37"/>
    <x v="0"/>
    <n v="547.91999999999996"/>
    <n v="4.7619047620000003"/>
    <n v="0"/>
    <n v="4.7"/>
    <n v="96.173500000000004"/>
    <n v="16.840900000000001"/>
  </r>
  <r>
    <x v="38"/>
    <x v="1"/>
    <x v="37"/>
    <x v="1"/>
    <x v="1"/>
    <x v="0"/>
    <x v="0"/>
    <n v="54.92"/>
    <n v="10"/>
    <n v="27.46"/>
    <n v="549.20000000000005"/>
    <x v="37"/>
    <x v="38"/>
    <x v="0"/>
    <n v="439.36"/>
    <n v="4.7619047620000003"/>
    <n v="109.84"/>
    <n v="7.98"/>
    <n v="96.078500000000005"/>
    <n v="19.763300000000001"/>
  </r>
  <r>
    <x v="39"/>
    <x v="2"/>
    <x v="38"/>
    <x v="2"/>
    <x v="1"/>
    <x v="0"/>
    <x v="4"/>
    <n v="30.12"/>
    <n v="11"/>
    <n v="16.565999999999999"/>
    <n v="331.32"/>
    <x v="38"/>
    <x v="39"/>
    <x v="1"/>
    <n v="240.96"/>
    <n v="4.7619047620000003"/>
    <n v="90.36"/>
    <n v="9.24"/>
    <n v="96.089100000000002"/>
    <n v="21.9588"/>
  </r>
  <r>
    <x v="40"/>
    <x v="2"/>
    <x v="39"/>
    <x v="2"/>
    <x v="1"/>
    <x v="0"/>
    <x v="4"/>
    <n v="86.72"/>
    <n v="1"/>
    <n v="4.3360000000000003"/>
    <n v="86.72"/>
    <x v="39"/>
    <x v="40"/>
    <x v="0"/>
    <n v="86.72"/>
    <n v="4.7619047620000003"/>
    <n v="0"/>
    <n v="9.48"/>
    <n v="96.089100000000002"/>
    <n v="21.9588"/>
  </r>
  <r>
    <x v="41"/>
    <x v="1"/>
    <x v="40"/>
    <x v="1"/>
    <x v="1"/>
    <x v="1"/>
    <x v="4"/>
    <n v="56.11"/>
    <n v="2"/>
    <n v="5.6109999999999998"/>
    <n v="112.22"/>
    <x v="40"/>
    <x v="41"/>
    <x v="1"/>
    <n v="112.22"/>
    <n v="4.7619047620000003"/>
    <n v="0"/>
    <n v="6.6150000000000002"/>
    <n v="96.078500000000005"/>
    <n v="19.763300000000001"/>
  </r>
  <r>
    <x v="42"/>
    <x v="2"/>
    <x v="41"/>
    <x v="2"/>
    <x v="1"/>
    <x v="0"/>
    <x v="3"/>
    <n v="69.12"/>
    <n v="8"/>
    <n v="27.648"/>
    <n v="552.96"/>
    <x v="41"/>
    <x v="42"/>
    <x v="1"/>
    <n v="414.72"/>
    <n v="4.7619047620000003"/>
    <n v="138.24"/>
    <n v="6.72"/>
    <n v="96.089100000000002"/>
    <n v="21.9588"/>
  </r>
  <r>
    <x v="43"/>
    <x v="1"/>
    <x v="42"/>
    <x v="1"/>
    <x v="1"/>
    <x v="0"/>
    <x v="2"/>
    <n v="98.7"/>
    <n v="10"/>
    <n v="49.35"/>
    <n v="987"/>
    <x v="42"/>
    <x v="43"/>
    <x v="1"/>
    <n v="789.6"/>
    <n v="4.7619047620000003"/>
    <n v="197.4"/>
    <n v="7.98"/>
    <n v="96.078500000000005"/>
    <n v="19.763300000000001"/>
  </r>
  <r>
    <x v="44"/>
    <x v="1"/>
    <x v="43"/>
    <x v="1"/>
    <x v="1"/>
    <x v="1"/>
    <x v="0"/>
    <n v="15.37"/>
    <n v="2"/>
    <n v="1.5369999999999999"/>
    <n v="30.74"/>
    <x v="43"/>
    <x v="44"/>
    <x v="1"/>
    <n v="30.74"/>
    <n v="4.7619047620000003"/>
    <n v="0"/>
    <n v="7.56"/>
    <n v="96.078500000000005"/>
    <n v="19.763300000000001"/>
  </r>
  <r>
    <x v="45"/>
    <x v="2"/>
    <x v="44"/>
    <x v="2"/>
    <x v="1"/>
    <x v="0"/>
    <x v="0"/>
    <n v="93.96"/>
    <n v="6"/>
    <n v="28.187999999999999"/>
    <n v="563.76"/>
    <x v="44"/>
    <x v="18"/>
    <x v="1"/>
    <n v="375.84"/>
    <n v="4.7619047620000003"/>
    <n v="187.92"/>
    <n v="10"/>
    <n v="96.089100000000002"/>
    <n v="21.9588"/>
  </r>
  <r>
    <x v="46"/>
    <x v="2"/>
    <x v="39"/>
    <x v="2"/>
    <x v="1"/>
    <x v="1"/>
    <x v="0"/>
    <n v="56.69"/>
    <n v="13"/>
    <n v="36.848500000000001"/>
    <n v="736.97"/>
    <x v="45"/>
    <x v="45"/>
    <x v="2"/>
    <n v="510.21"/>
    <n v="4.7619047620000003"/>
    <n v="226.76"/>
    <n v="10"/>
    <n v="96.089100000000002"/>
    <n v="21.9588"/>
  </r>
  <r>
    <x v="47"/>
    <x v="2"/>
    <x v="45"/>
    <x v="2"/>
    <x v="1"/>
    <x v="0"/>
    <x v="0"/>
    <n v="20.010000000000002"/>
    <n v="13"/>
    <n v="13.006500000000001"/>
    <n v="260.13"/>
    <x v="46"/>
    <x v="46"/>
    <x v="0"/>
    <n v="180.09"/>
    <n v="4.7619047620000003"/>
    <n v="80.040000000000006"/>
    <n v="4.92"/>
    <n v="96.089100000000002"/>
    <n v="21.9588"/>
  </r>
  <r>
    <x v="48"/>
    <x v="2"/>
    <x v="46"/>
    <x v="2"/>
    <x v="1"/>
    <x v="1"/>
    <x v="0"/>
    <n v="18.93"/>
    <n v="8"/>
    <n v="7.5720000000000001"/>
    <n v="151.44"/>
    <x v="47"/>
    <x v="47"/>
    <x v="2"/>
    <n v="113.58"/>
    <n v="4.7619047620000003"/>
    <n v="37.86"/>
    <n v="9.7200000000000006"/>
    <n v="96.089100000000002"/>
    <n v="21.9588"/>
  </r>
  <r>
    <x v="49"/>
    <x v="1"/>
    <x v="47"/>
    <x v="1"/>
    <x v="1"/>
    <x v="0"/>
    <x v="0"/>
    <n v="82.63"/>
    <n v="12"/>
    <n v="49.578000000000003"/>
    <n v="991.56"/>
    <x v="48"/>
    <x v="48"/>
    <x v="0"/>
    <n v="826.3"/>
    <n v="4.7619047620000003"/>
    <n v="165.26"/>
    <n v="8.2949999999999999"/>
    <n v="96.078500000000005"/>
    <n v="19.763300000000001"/>
  </r>
  <r>
    <x v="50"/>
    <x v="1"/>
    <x v="48"/>
    <x v="1"/>
    <x v="1"/>
    <x v="1"/>
    <x v="2"/>
    <n v="91.4"/>
    <n v="8"/>
    <n v="36.56"/>
    <n v="731.2"/>
    <x v="49"/>
    <x v="49"/>
    <x v="1"/>
    <n v="639.79999999999995"/>
    <n v="4.7619047620000003"/>
    <n v="91.4"/>
    <n v="9.9749999999999996"/>
    <n v="96.078500000000005"/>
    <n v="19.763300000000001"/>
  </r>
  <r>
    <x v="51"/>
    <x v="0"/>
    <x v="27"/>
    <x v="0"/>
    <x v="1"/>
    <x v="0"/>
    <x v="2"/>
    <n v="44.59"/>
    <n v="5"/>
    <n v="11.147500000000001"/>
    <n v="222.95"/>
    <x v="33"/>
    <x v="50"/>
    <x v="1"/>
    <n v="222.95"/>
    <n v="4.7619047620000003"/>
    <n v="0"/>
    <n v="8.5"/>
    <n v="96.173500000000004"/>
    <n v="16.840900000000001"/>
  </r>
  <r>
    <x v="52"/>
    <x v="2"/>
    <x v="49"/>
    <x v="2"/>
    <x v="1"/>
    <x v="0"/>
    <x v="5"/>
    <n v="17.87"/>
    <n v="6"/>
    <n v="5.3609999999999998"/>
    <n v="107.22"/>
    <x v="50"/>
    <x v="51"/>
    <x v="0"/>
    <n v="71.48"/>
    <n v="4.7619047620000003"/>
    <n v="35.74"/>
    <n v="7.8"/>
    <n v="96.089100000000002"/>
    <n v="21.9588"/>
  </r>
  <r>
    <x v="53"/>
    <x v="1"/>
    <x v="50"/>
    <x v="1"/>
    <x v="1"/>
    <x v="1"/>
    <x v="5"/>
    <n v="15.43"/>
    <n v="1"/>
    <n v="0.77149999999999996"/>
    <n v="15.43"/>
    <x v="51"/>
    <x v="52"/>
    <x v="2"/>
    <n v="15.43"/>
    <n v="4.7619047620000003"/>
    <n v="0"/>
    <n v="6.4050000000000002"/>
    <n v="96.078500000000005"/>
    <n v="19.763300000000001"/>
  </r>
  <r>
    <x v="54"/>
    <x v="2"/>
    <x v="51"/>
    <x v="2"/>
    <x v="1"/>
    <x v="1"/>
    <x v="4"/>
    <n v="16.16"/>
    <n v="3"/>
    <n v="2.4239999999999999"/>
    <n v="48.48"/>
    <x v="52"/>
    <x v="53"/>
    <x v="0"/>
    <n v="32.32"/>
    <n v="4.7619047620000003"/>
    <n v="16.16"/>
    <n v="7.8"/>
    <n v="96.089100000000002"/>
    <n v="21.9588"/>
  </r>
  <r>
    <x v="55"/>
    <x v="1"/>
    <x v="52"/>
    <x v="1"/>
    <x v="1"/>
    <x v="0"/>
    <x v="1"/>
    <n v="85.98"/>
    <n v="10"/>
    <n v="42.99"/>
    <n v="859.8"/>
    <x v="53"/>
    <x v="54"/>
    <x v="1"/>
    <n v="687.84"/>
    <n v="4.7619047620000003"/>
    <n v="171.96"/>
    <n v="8.61"/>
    <n v="96.078500000000005"/>
    <n v="19.763300000000001"/>
  </r>
  <r>
    <x v="56"/>
    <x v="0"/>
    <x v="35"/>
    <x v="0"/>
    <x v="1"/>
    <x v="1"/>
    <x v="4"/>
    <n v="44.34"/>
    <n v="2"/>
    <n v="4.4340000000000002"/>
    <n v="88.68"/>
    <x v="54"/>
    <x v="55"/>
    <x v="0"/>
    <n v="88.68"/>
    <n v="4.7619047620000003"/>
    <n v="0"/>
    <n v="7.46"/>
    <n v="96.173500000000004"/>
    <n v="16.840900000000001"/>
  </r>
  <r>
    <x v="57"/>
    <x v="0"/>
    <x v="53"/>
    <x v="0"/>
    <x v="1"/>
    <x v="1"/>
    <x v="0"/>
    <n v="89.6"/>
    <n v="8"/>
    <n v="35.840000000000003"/>
    <n v="716.8"/>
    <x v="55"/>
    <x v="56"/>
    <x v="0"/>
    <n v="716.8"/>
    <n v="4.7619047620000003"/>
    <n v="0"/>
    <n v="7.46"/>
    <n v="96.173500000000004"/>
    <n v="16.840900000000001"/>
  </r>
  <r>
    <x v="58"/>
    <x v="0"/>
    <x v="54"/>
    <x v="0"/>
    <x v="0"/>
    <x v="0"/>
    <x v="4"/>
    <n v="72.349999999999994"/>
    <n v="14"/>
    <n v="50.645000000000003"/>
    <n v="1012.9"/>
    <x v="56"/>
    <x v="57"/>
    <x v="0"/>
    <n v="723.5"/>
    <n v="4.7619047620000003"/>
    <n v="289.39999999999998"/>
    <n v="7.46"/>
    <n v="96.173500000000004"/>
    <n v="16.840900000000001"/>
  </r>
  <r>
    <x v="59"/>
    <x v="1"/>
    <x v="55"/>
    <x v="1"/>
    <x v="1"/>
    <x v="1"/>
    <x v="1"/>
    <n v="30.61"/>
    <n v="7"/>
    <n v="10.7135"/>
    <n v="214.27"/>
    <x v="57"/>
    <x v="58"/>
    <x v="0"/>
    <n v="183.66"/>
    <n v="4.7619047620000003"/>
    <n v="30.61"/>
    <n v="7.46"/>
    <n v="96.078500000000005"/>
    <n v="19.763300000000001"/>
  </r>
  <r>
    <x v="60"/>
    <x v="1"/>
    <x v="56"/>
    <x v="1"/>
    <x v="1"/>
    <x v="0"/>
    <x v="3"/>
    <n v="24.74"/>
    <n v="4"/>
    <n v="4.9480000000000004"/>
    <n v="98.96"/>
    <x v="58"/>
    <x v="59"/>
    <x v="0"/>
    <n v="74.22"/>
    <n v="4.7619047620000003"/>
    <n v="24.74"/>
    <n v="7.46"/>
    <n v="96.078500000000005"/>
    <n v="19.763300000000001"/>
  </r>
  <r>
    <x v="61"/>
    <x v="1"/>
    <x v="57"/>
    <x v="1"/>
    <x v="1"/>
    <x v="1"/>
    <x v="4"/>
    <n v="55.73"/>
    <n v="7"/>
    <n v="19.505500000000001"/>
    <n v="390.11"/>
    <x v="59"/>
    <x v="60"/>
    <x v="0"/>
    <n v="334.38"/>
    <n v="4.7619047620000003"/>
    <n v="55.73"/>
    <n v="7.46"/>
    <n v="96.078500000000005"/>
    <n v="19.763300000000001"/>
  </r>
  <r>
    <x v="62"/>
    <x v="2"/>
    <x v="39"/>
    <x v="2"/>
    <x v="1"/>
    <x v="0"/>
    <x v="3"/>
    <n v="55.07"/>
    <n v="13"/>
    <n v="35.795499999999997"/>
    <n v="715.91"/>
    <x v="60"/>
    <x v="61"/>
    <x v="0"/>
    <n v="495.63"/>
    <n v="4.7619047620000003"/>
    <n v="220.28"/>
    <n v="7.46"/>
    <n v="96.089100000000002"/>
    <n v="21.9588"/>
  </r>
  <r>
    <x v="63"/>
    <x v="0"/>
    <x v="58"/>
    <x v="0"/>
    <x v="1"/>
    <x v="1"/>
    <x v="3"/>
    <n v="15.81"/>
    <n v="10"/>
    <n v="7.9050000000000002"/>
    <n v="158.1"/>
    <x v="61"/>
    <x v="62"/>
    <x v="0"/>
    <n v="158.1"/>
    <n v="4.7619047620000003"/>
    <n v="0"/>
    <n v="7.46"/>
    <n v="96.173500000000004"/>
    <n v="16.840900000000001"/>
  </r>
  <r>
    <x v="64"/>
    <x v="2"/>
    <x v="21"/>
    <x v="2"/>
    <x v="1"/>
    <x v="1"/>
    <x v="0"/>
    <n v="75.739999999999995"/>
    <n v="6"/>
    <n v="22.722000000000001"/>
    <n v="454.44"/>
    <x v="62"/>
    <x v="63"/>
    <x v="0"/>
    <n v="302.95999999999998"/>
    <n v="4.7619047620000003"/>
    <n v="151.47999999999999"/>
    <n v="7.46"/>
    <n v="96.089100000000002"/>
    <n v="21.9588"/>
  </r>
  <r>
    <x v="65"/>
    <x v="0"/>
    <x v="59"/>
    <x v="0"/>
    <x v="1"/>
    <x v="1"/>
    <x v="0"/>
    <n v="15.87"/>
    <n v="10"/>
    <n v="7.9349999999999996"/>
    <n v="158.69999999999999"/>
    <x v="63"/>
    <x v="64"/>
    <x v="0"/>
    <n v="158.69999999999999"/>
    <n v="4.7619047620000003"/>
    <n v="0"/>
    <n v="7.46"/>
    <n v="96.173500000000004"/>
    <n v="16.840900000000001"/>
  </r>
  <r>
    <x v="66"/>
    <x v="1"/>
    <x v="60"/>
    <x v="1"/>
    <x v="1"/>
    <x v="0"/>
    <x v="0"/>
    <n v="33.47"/>
    <n v="2"/>
    <n v="3.347"/>
    <n v="66.94"/>
    <x v="64"/>
    <x v="65"/>
    <x v="0"/>
    <n v="66.94"/>
    <n v="4.7619047620000003"/>
    <n v="0"/>
    <n v="7.46"/>
    <n v="96.078500000000005"/>
    <n v="19.763300000000001"/>
  </r>
  <r>
    <x v="67"/>
    <x v="2"/>
    <x v="9"/>
    <x v="2"/>
    <x v="1"/>
    <x v="0"/>
    <x v="5"/>
    <n v="97.61"/>
    <n v="8"/>
    <n v="39.043999999999997"/>
    <n v="780.88"/>
    <x v="65"/>
    <x v="66"/>
    <x v="0"/>
    <n v="585.66"/>
    <n v="4.7619047620000003"/>
    <n v="195.22"/>
    <n v="7.46"/>
    <n v="96.089100000000002"/>
    <n v="21.9588"/>
  </r>
  <r>
    <x v="68"/>
    <x v="0"/>
    <x v="61"/>
    <x v="0"/>
    <x v="1"/>
    <x v="1"/>
    <x v="3"/>
    <n v="78.77"/>
    <n v="10"/>
    <n v="39.384999999999998"/>
    <n v="787.7"/>
    <x v="66"/>
    <x v="67"/>
    <x v="1"/>
    <n v="787.7"/>
    <n v="4.7619047620000003"/>
    <n v="0"/>
    <n v="7.46"/>
    <n v="96.173500000000004"/>
    <n v="16.840900000000001"/>
  </r>
  <r>
    <x v="69"/>
    <x v="0"/>
    <x v="54"/>
    <x v="0"/>
    <x v="1"/>
    <x v="0"/>
    <x v="0"/>
    <n v="18.329999999999998"/>
    <n v="1"/>
    <n v="0.91649999999999998"/>
    <n v="18.329999999999998"/>
    <x v="67"/>
    <x v="68"/>
    <x v="1"/>
    <n v="18.329999999999998"/>
    <n v="4.7619047620000003"/>
    <n v="0"/>
    <n v="7.46"/>
    <n v="96.173500000000004"/>
    <n v="16.840900000000001"/>
  </r>
  <r>
    <x v="70"/>
    <x v="1"/>
    <x v="37"/>
    <x v="1"/>
    <x v="1"/>
    <x v="1"/>
    <x v="2"/>
    <n v="89.48"/>
    <n v="12"/>
    <n v="53.688000000000002"/>
    <n v="1073.76"/>
    <x v="68"/>
    <x v="69"/>
    <x v="2"/>
    <n v="894.8"/>
    <n v="4.7619047620000003"/>
    <n v="178.96"/>
    <n v="10"/>
    <n v="96.078500000000005"/>
    <n v="19.763300000000001"/>
  </r>
  <r>
    <x v="71"/>
    <x v="1"/>
    <x v="62"/>
    <x v="1"/>
    <x v="1"/>
    <x v="1"/>
    <x v="5"/>
    <n v="62.12"/>
    <n v="12"/>
    <n v="37.271999999999998"/>
    <n v="745.44"/>
    <x v="69"/>
    <x v="15"/>
    <x v="1"/>
    <n v="621.20000000000005"/>
    <n v="4.7619047620000003"/>
    <n v="124.24"/>
    <n v="6.1950000000000003"/>
    <n v="96.078500000000005"/>
    <n v="19.763300000000001"/>
  </r>
  <r>
    <x v="72"/>
    <x v="2"/>
    <x v="63"/>
    <x v="2"/>
    <x v="1"/>
    <x v="0"/>
    <x v="2"/>
    <n v="48.52"/>
    <n v="4"/>
    <n v="9.7040000000000006"/>
    <n v="194.08"/>
    <x v="70"/>
    <x v="70"/>
    <x v="0"/>
    <n v="145.56"/>
    <n v="4.7619047620000003"/>
    <n v="48.52"/>
    <n v="4.8"/>
    <n v="96.089100000000002"/>
    <n v="21.9588"/>
  </r>
  <r>
    <x v="73"/>
    <x v="1"/>
    <x v="64"/>
    <x v="1"/>
    <x v="1"/>
    <x v="0"/>
    <x v="1"/>
    <n v="75.91"/>
    <n v="7"/>
    <n v="26.5685"/>
    <n v="531.37"/>
    <x v="25"/>
    <x v="71"/>
    <x v="1"/>
    <n v="455.46"/>
    <n v="4.7619047620000003"/>
    <n v="75.91"/>
    <n v="9.1349999999999998"/>
    <n v="96.078500000000005"/>
    <n v="19.763300000000001"/>
  </r>
  <r>
    <x v="74"/>
    <x v="0"/>
    <x v="65"/>
    <x v="0"/>
    <x v="1"/>
    <x v="1"/>
    <x v="4"/>
    <n v="74.67"/>
    <n v="9"/>
    <n v="33.601500000000001"/>
    <n v="672.03"/>
    <x v="4"/>
    <x v="60"/>
    <x v="0"/>
    <n v="672.03"/>
    <n v="4.7619047620000003"/>
    <n v="0"/>
    <n v="9.4"/>
    <n v="96.173500000000004"/>
    <n v="16.840900000000001"/>
  </r>
  <r>
    <x v="75"/>
    <x v="1"/>
    <x v="66"/>
    <x v="1"/>
    <x v="1"/>
    <x v="0"/>
    <x v="1"/>
    <n v="41.65"/>
    <n v="12"/>
    <n v="24.99"/>
    <n v="499.8"/>
    <x v="71"/>
    <x v="72"/>
    <x v="2"/>
    <n v="416.5"/>
    <n v="4.7619047620000003"/>
    <n v="83.3"/>
    <n v="5.67"/>
    <n v="96.078500000000005"/>
    <n v="19.763300000000001"/>
  </r>
  <r>
    <x v="76"/>
    <x v="1"/>
    <x v="67"/>
    <x v="1"/>
    <x v="1"/>
    <x v="1"/>
    <x v="5"/>
    <n v="49.04"/>
    <n v="11"/>
    <n v="26.972000000000001"/>
    <n v="539.44000000000005"/>
    <x v="72"/>
    <x v="73"/>
    <x v="2"/>
    <n v="441.36"/>
    <n v="4.7619047620000003"/>
    <n v="98.08"/>
    <n v="9.0299999999999994"/>
    <n v="96.078500000000005"/>
    <n v="19.763300000000001"/>
  </r>
  <r>
    <x v="77"/>
    <x v="0"/>
    <x v="68"/>
    <x v="0"/>
    <x v="1"/>
    <x v="0"/>
    <x v="5"/>
    <n v="20.010000000000002"/>
    <n v="9"/>
    <n v="9.0045000000000002"/>
    <n v="180.09"/>
    <x v="73"/>
    <x v="74"/>
    <x v="2"/>
    <n v="180.09"/>
    <n v="4.7619047620000003"/>
    <n v="0"/>
    <n v="5.7"/>
    <n v="96.173500000000004"/>
    <n v="16.840900000000001"/>
  </r>
  <r>
    <x v="78"/>
    <x v="1"/>
    <x v="43"/>
    <x v="1"/>
    <x v="1"/>
    <x v="0"/>
    <x v="2"/>
    <n v="78.31"/>
    <n v="12"/>
    <n v="46.986000000000004"/>
    <n v="939.72"/>
    <x v="74"/>
    <x v="75"/>
    <x v="0"/>
    <n v="783.1"/>
    <n v="4.7619047620000003"/>
    <n v="156.62"/>
    <n v="6.93"/>
    <n v="96.078500000000005"/>
    <n v="19.763300000000001"/>
  </r>
  <r>
    <x v="79"/>
    <x v="1"/>
    <x v="69"/>
    <x v="1"/>
    <x v="1"/>
    <x v="0"/>
    <x v="0"/>
    <n v="20.38"/>
    <n v="6"/>
    <n v="6.1140000000000008"/>
    <n v="122.28"/>
    <x v="75"/>
    <x v="76"/>
    <x v="1"/>
    <n v="101.9"/>
    <n v="4.7619047620000003"/>
    <n v="20.38"/>
    <n v="6.3"/>
    <n v="96.078500000000005"/>
    <n v="19.763300000000001"/>
  </r>
  <r>
    <x v="80"/>
    <x v="1"/>
    <x v="70"/>
    <x v="1"/>
    <x v="1"/>
    <x v="0"/>
    <x v="0"/>
    <n v="99.19"/>
    <n v="7"/>
    <n v="34.716500000000003"/>
    <n v="694.33"/>
    <x v="76"/>
    <x v="51"/>
    <x v="2"/>
    <n v="595.14"/>
    <n v="4.7619047620000003"/>
    <n v="99.19"/>
    <n v="5.7750000000000004"/>
    <n v="96.078500000000005"/>
    <n v="19.763300000000001"/>
  </r>
  <r>
    <x v="81"/>
    <x v="2"/>
    <x v="71"/>
    <x v="2"/>
    <x v="1"/>
    <x v="0"/>
    <x v="2"/>
    <n v="96.68"/>
    <n v="4"/>
    <n v="19.336000000000002"/>
    <n v="386.72"/>
    <x v="77"/>
    <x v="77"/>
    <x v="0"/>
    <n v="290.04000000000002"/>
    <n v="4.7619047620000003"/>
    <n v="96.68"/>
    <n v="7.68"/>
    <n v="96.089100000000002"/>
    <n v="21.9588"/>
  </r>
  <r>
    <x v="82"/>
    <x v="1"/>
    <x v="7"/>
    <x v="1"/>
    <x v="1"/>
    <x v="1"/>
    <x v="2"/>
    <n v="19.25"/>
    <n v="10"/>
    <n v="9.625"/>
    <n v="192.5"/>
    <x v="1"/>
    <x v="78"/>
    <x v="0"/>
    <n v="154"/>
    <n v="4.7619047620000003"/>
    <n v="38.5"/>
    <n v="6.93"/>
    <n v="96.078500000000005"/>
    <n v="19.763300000000001"/>
  </r>
  <r>
    <x v="83"/>
    <x v="1"/>
    <x v="72"/>
    <x v="1"/>
    <x v="1"/>
    <x v="0"/>
    <x v="0"/>
    <n v="80.36"/>
    <n v="5"/>
    <n v="20.090000000000003"/>
    <n v="401.8"/>
    <x v="78"/>
    <x v="40"/>
    <x v="2"/>
    <n v="321.44"/>
    <n v="4.7619047620000003"/>
    <n v="80.36"/>
    <n v="8.7149999999999999"/>
    <n v="96.078500000000005"/>
    <n v="19.763300000000001"/>
  </r>
  <r>
    <x v="84"/>
    <x v="1"/>
    <x v="73"/>
    <x v="1"/>
    <x v="1"/>
    <x v="1"/>
    <x v="0"/>
    <n v="48.91"/>
    <n v="6"/>
    <n v="14.673"/>
    <n v="293.45999999999998"/>
    <x v="74"/>
    <x v="79"/>
    <x v="1"/>
    <n v="244.55"/>
    <n v="4.7619047620000003"/>
    <n v="48.91"/>
    <n v="6.93"/>
    <n v="96.078500000000005"/>
    <n v="19.763300000000001"/>
  </r>
  <r>
    <x v="85"/>
    <x v="1"/>
    <x v="74"/>
    <x v="1"/>
    <x v="1"/>
    <x v="0"/>
    <x v="0"/>
    <n v="83.06"/>
    <n v="8"/>
    <n v="33.224000000000004"/>
    <n v="664.48"/>
    <x v="79"/>
    <x v="80"/>
    <x v="0"/>
    <n v="581.41999999999996"/>
    <n v="4.7619047620000003"/>
    <n v="83.06"/>
    <n v="4.2"/>
    <n v="96.078500000000005"/>
    <n v="19.763300000000001"/>
  </r>
  <r>
    <x v="86"/>
    <x v="1"/>
    <x v="75"/>
    <x v="1"/>
    <x v="1"/>
    <x v="1"/>
    <x v="0"/>
    <n v="76.52"/>
    <n v="6"/>
    <n v="22.956000000000003"/>
    <n v="459.12"/>
    <x v="24"/>
    <x v="81"/>
    <x v="1"/>
    <n v="382.6"/>
    <n v="4.7619047620000003"/>
    <n v="76.52"/>
    <n v="10"/>
    <n v="96.078500000000005"/>
    <n v="19.763300000000001"/>
  </r>
  <r>
    <x v="87"/>
    <x v="0"/>
    <x v="76"/>
    <x v="0"/>
    <x v="0"/>
    <x v="1"/>
    <x v="0"/>
    <n v="49.38"/>
    <n v="10"/>
    <n v="24.69"/>
    <n v="493.8"/>
    <x v="80"/>
    <x v="82"/>
    <x v="2"/>
    <n v="345.66"/>
    <n v="4.7619047620000003"/>
    <n v="148.13999999999999"/>
    <n v="7.3"/>
    <n v="96.173500000000004"/>
    <n v="16.840900000000001"/>
  </r>
  <r>
    <x v="88"/>
    <x v="0"/>
    <x v="77"/>
    <x v="0"/>
    <x v="1"/>
    <x v="1"/>
    <x v="0"/>
    <n v="42.47"/>
    <n v="1"/>
    <n v="2.1234999999999999"/>
    <n v="42.47"/>
    <x v="40"/>
    <x v="83"/>
    <x v="1"/>
    <n v="42.47"/>
    <n v="4.7619047620000003"/>
    <n v="0"/>
    <n v="5.7"/>
    <n v="96.173500000000004"/>
    <n v="16.840900000000001"/>
  </r>
  <r>
    <x v="89"/>
    <x v="2"/>
    <x v="78"/>
    <x v="2"/>
    <x v="1"/>
    <x v="0"/>
    <x v="0"/>
    <n v="76.989999999999995"/>
    <n v="8"/>
    <n v="30.795999999999999"/>
    <n v="615.91999999999996"/>
    <x v="81"/>
    <x v="84"/>
    <x v="1"/>
    <n v="461.94"/>
    <n v="4.7619047620000003"/>
    <n v="153.97999999999999"/>
    <n v="7.32"/>
    <n v="96.089100000000002"/>
    <n v="21.9588"/>
  </r>
  <r>
    <x v="90"/>
    <x v="1"/>
    <x v="79"/>
    <x v="1"/>
    <x v="0"/>
    <x v="0"/>
    <x v="4"/>
    <n v="47.38"/>
    <n v="7"/>
    <n v="16.583000000000002"/>
    <n v="331.66"/>
    <x v="82"/>
    <x v="12"/>
    <x v="1"/>
    <n v="189.52"/>
    <n v="4.7619047620000003"/>
    <n v="142.13999999999999"/>
    <n v="7.4550000000000001"/>
    <n v="96.078500000000005"/>
    <n v="19.763300000000001"/>
  </r>
  <r>
    <x v="91"/>
    <x v="1"/>
    <x v="80"/>
    <x v="1"/>
    <x v="1"/>
    <x v="0"/>
    <x v="3"/>
    <n v="44.86"/>
    <n v="12"/>
    <n v="26.916000000000004"/>
    <n v="538.32000000000005"/>
    <x v="6"/>
    <x v="85"/>
    <x v="0"/>
    <n v="448.6"/>
    <n v="4.7619047620000003"/>
    <n v="89.72"/>
    <n v="8.61"/>
    <n v="96.078500000000005"/>
    <n v="19.763300000000001"/>
  </r>
  <r>
    <x v="92"/>
    <x v="0"/>
    <x v="81"/>
    <x v="0"/>
    <x v="0"/>
    <x v="0"/>
    <x v="3"/>
    <n v="21.98"/>
    <n v="10"/>
    <n v="10.990000000000002"/>
    <n v="219.8"/>
    <x v="83"/>
    <x v="86"/>
    <x v="0"/>
    <n v="153.86000000000001"/>
    <n v="4.7619047620000003"/>
    <n v="65.94"/>
    <n v="5.0999999999999996"/>
    <n v="96.173500000000004"/>
    <n v="16.840900000000001"/>
  </r>
  <r>
    <x v="93"/>
    <x v="2"/>
    <x v="82"/>
    <x v="2"/>
    <x v="0"/>
    <x v="1"/>
    <x v="0"/>
    <n v="64.36"/>
    <n v="18"/>
    <n v="57.924000000000007"/>
    <n v="1158.48"/>
    <x v="13"/>
    <x v="87"/>
    <x v="2"/>
    <n v="579.24"/>
    <n v="4.7619047620000003"/>
    <n v="579.24"/>
    <n v="10"/>
    <n v="96.089100000000002"/>
    <n v="21.9588"/>
  </r>
  <r>
    <x v="94"/>
    <x v="1"/>
    <x v="83"/>
    <x v="1"/>
    <x v="1"/>
    <x v="1"/>
    <x v="0"/>
    <n v="89.75"/>
    <n v="1"/>
    <n v="4.4874999999999998"/>
    <n v="89.75"/>
    <x v="82"/>
    <x v="88"/>
    <x v="2"/>
    <n v="89.75"/>
    <n v="4.7619047620000003"/>
    <n v="0"/>
    <n v="6.93"/>
    <n v="96.078500000000005"/>
    <n v="19.763300000000001"/>
  </r>
  <r>
    <x v="95"/>
    <x v="0"/>
    <x v="84"/>
    <x v="0"/>
    <x v="1"/>
    <x v="1"/>
    <x v="1"/>
    <n v="97.16"/>
    <n v="1"/>
    <n v="4.8580000000000005"/>
    <n v="97.16"/>
    <x v="29"/>
    <x v="89"/>
    <x v="0"/>
    <n v="97.16"/>
    <n v="4.7619047620000003"/>
    <n v="0"/>
    <n v="7.2"/>
    <n v="96.173500000000004"/>
    <n v="16.840900000000001"/>
  </r>
  <r>
    <x v="96"/>
    <x v="2"/>
    <x v="85"/>
    <x v="2"/>
    <x v="1"/>
    <x v="1"/>
    <x v="0"/>
    <n v="87.87"/>
    <n v="14"/>
    <n v="61.509000000000007"/>
    <n v="1230.18"/>
    <x v="84"/>
    <x v="12"/>
    <x v="0"/>
    <n v="878.7"/>
    <n v="4.7619047620000003"/>
    <n v="351.48"/>
    <n v="6.12"/>
    <n v="96.089100000000002"/>
    <n v="21.9588"/>
  </r>
  <r>
    <x v="97"/>
    <x v="1"/>
    <x v="86"/>
    <x v="1"/>
    <x v="1"/>
    <x v="0"/>
    <x v="1"/>
    <n v="12.45"/>
    <n v="7"/>
    <n v="4.3575000000000008"/>
    <n v="87.15"/>
    <x v="85"/>
    <x v="90"/>
    <x v="1"/>
    <n v="74.7"/>
    <n v="4.7619047620000003"/>
    <n v="12.45"/>
    <n v="4.3049999999999997"/>
    <n v="96.078500000000005"/>
    <n v="19.763300000000001"/>
  </r>
  <r>
    <x v="98"/>
    <x v="0"/>
    <x v="87"/>
    <x v="0"/>
    <x v="1"/>
    <x v="1"/>
    <x v="2"/>
    <n v="52.75"/>
    <n v="3"/>
    <n v="7.9125000000000005"/>
    <n v="158.25"/>
    <x v="24"/>
    <x v="91"/>
    <x v="0"/>
    <n v="158.25"/>
    <n v="4.7619047620000003"/>
    <n v="0"/>
    <n v="9.3000000000000007"/>
    <n v="96.173500000000004"/>
    <n v="16.840900000000001"/>
  </r>
  <r>
    <x v="99"/>
    <x v="2"/>
    <x v="88"/>
    <x v="2"/>
    <x v="1"/>
    <x v="1"/>
    <x v="4"/>
    <n v="82.7"/>
    <n v="8"/>
    <n v="33.080000000000005"/>
    <n v="661.6"/>
    <x v="86"/>
    <x v="92"/>
    <x v="1"/>
    <n v="496.2"/>
    <n v="4.7619047620000003"/>
    <n v="165.4"/>
    <n v="8.8800000000000008"/>
    <n v="96.089100000000002"/>
    <n v="21.9588"/>
  </r>
  <r>
    <x v="100"/>
    <x v="1"/>
    <x v="89"/>
    <x v="1"/>
    <x v="0"/>
    <x v="1"/>
    <x v="5"/>
    <n v="48.71"/>
    <n v="1"/>
    <n v="2.4355000000000002"/>
    <n v="48.71"/>
    <x v="87"/>
    <x v="25"/>
    <x v="1"/>
    <n v="48.71"/>
    <n v="4.7619047620000003"/>
    <n v="0"/>
    <n v="4.3049999999999997"/>
    <n v="96.078500000000005"/>
    <n v="19.763300000000001"/>
  </r>
  <r>
    <x v="101"/>
    <x v="1"/>
    <x v="90"/>
    <x v="1"/>
    <x v="1"/>
    <x v="1"/>
    <x v="5"/>
    <n v="78.55"/>
    <n v="11"/>
    <n v="43.202500000000001"/>
    <n v="864.05"/>
    <x v="88"/>
    <x v="93"/>
    <x v="1"/>
    <n v="706.95"/>
    <n v="4.7619047620000003"/>
    <n v="157.1"/>
    <n v="7.56"/>
    <n v="96.078500000000005"/>
    <n v="19.763300000000001"/>
  </r>
  <r>
    <x v="102"/>
    <x v="1"/>
    <x v="91"/>
    <x v="1"/>
    <x v="1"/>
    <x v="0"/>
    <x v="1"/>
    <n v="23.07"/>
    <n v="11"/>
    <n v="12.688499999999999"/>
    <n v="253.77"/>
    <x v="89"/>
    <x v="94"/>
    <x v="1"/>
    <n v="207.63"/>
    <n v="4.7619047620000003"/>
    <n v="46.14"/>
    <n v="5.1449999999999996"/>
    <n v="96.078500000000005"/>
    <n v="19.763300000000001"/>
  </r>
  <r>
    <x v="103"/>
    <x v="0"/>
    <x v="92"/>
    <x v="0"/>
    <x v="1"/>
    <x v="1"/>
    <x v="2"/>
    <n v="58.26"/>
    <n v="6"/>
    <n v="17.478000000000002"/>
    <n v="349.56"/>
    <x v="90"/>
    <x v="95"/>
    <x v="1"/>
    <n v="349.56"/>
    <n v="4.7619047620000003"/>
    <n v="0"/>
    <n v="9.9"/>
    <n v="96.173500000000004"/>
    <n v="16.840900000000001"/>
  </r>
  <r>
    <x v="104"/>
    <x v="2"/>
    <x v="63"/>
    <x v="2"/>
    <x v="1"/>
    <x v="1"/>
    <x v="0"/>
    <n v="30.35"/>
    <n v="10"/>
    <n v="15.175000000000001"/>
    <n v="303.5"/>
    <x v="91"/>
    <x v="96"/>
    <x v="1"/>
    <n v="212.45"/>
    <n v="4.7619047620000003"/>
    <n v="91.05"/>
    <n v="9.6"/>
    <n v="96.089100000000002"/>
    <n v="21.9588"/>
  </r>
  <r>
    <x v="105"/>
    <x v="0"/>
    <x v="93"/>
    <x v="0"/>
    <x v="0"/>
    <x v="1"/>
    <x v="1"/>
    <n v="88.67"/>
    <n v="14"/>
    <n v="62.069000000000003"/>
    <n v="1241.3800000000001"/>
    <x v="92"/>
    <x v="97"/>
    <x v="0"/>
    <n v="886.7"/>
    <n v="4.7619047620000003"/>
    <n v="354.68"/>
    <n v="7.3"/>
    <n v="96.173500000000004"/>
    <n v="16.840900000000001"/>
  </r>
  <r>
    <x v="106"/>
    <x v="1"/>
    <x v="50"/>
    <x v="1"/>
    <x v="1"/>
    <x v="0"/>
    <x v="5"/>
    <n v="27.38"/>
    <n v="7"/>
    <n v="9.5830000000000002"/>
    <n v="191.66"/>
    <x v="93"/>
    <x v="98"/>
    <x v="2"/>
    <n v="164.28"/>
    <n v="4.7619047620000003"/>
    <n v="27.38"/>
    <n v="8.2949999999999999"/>
    <n v="96.078500000000005"/>
    <n v="19.763300000000001"/>
  </r>
  <r>
    <x v="107"/>
    <x v="0"/>
    <x v="94"/>
    <x v="0"/>
    <x v="1"/>
    <x v="0"/>
    <x v="3"/>
    <n v="62.13"/>
    <n v="6"/>
    <n v="18.638999999999999"/>
    <n v="372.78"/>
    <x v="50"/>
    <x v="99"/>
    <x v="1"/>
    <n v="372.78"/>
    <n v="4.7619047620000003"/>
    <n v="0"/>
    <n v="7.4"/>
    <n v="96.173500000000004"/>
    <n v="16.840900000000001"/>
  </r>
  <r>
    <x v="108"/>
    <x v="1"/>
    <x v="95"/>
    <x v="1"/>
    <x v="1"/>
    <x v="0"/>
    <x v="2"/>
    <n v="33.979999999999997"/>
    <n v="11"/>
    <n v="18.689"/>
    <n v="373.78"/>
    <x v="94"/>
    <x v="100"/>
    <x v="1"/>
    <n v="305.82"/>
    <n v="4.7619047620000003"/>
    <n v="67.959999999999994"/>
    <n v="4.41"/>
    <n v="96.078500000000005"/>
    <n v="19.763300000000001"/>
  </r>
  <r>
    <x v="109"/>
    <x v="1"/>
    <x v="96"/>
    <x v="1"/>
    <x v="0"/>
    <x v="0"/>
    <x v="1"/>
    <n v="81.97"/>
    <n v="17"/>
    <n v="69.674499999999995"/>
    <n v="1393.49"/>
    <x v="23"/>
    <x v="101"/>
    <x v="1"/>
    <n v="819.7"/>
    <n v="4.7619047620000003"/>
    <n v="573.79"/>
    <n v="7.46"/>
    <n v="96.078500000000005"/>
    <n v="19.763300000000001"/>
  </r>
  <r>
    <x v="110"/>
    <x v="2"/>
    <x v="30"/>
    <x v="2"/>
    <x v="0"/>
    <x v="0"/>
    <x v="3"/>
    <n v="16.489999999999998"/>
    <n v="4"/>
    <n v="3.298"/>
    <n v="65.959999999999994"/>
    <x v="51"/>
    <x v="102"/>
    <x v="0"/>
    <n v="32.979999999999997"/>
    <n v="4.7619047620000003"/>
    <n v="32.979999999999997"/>
    <n v="7.46"/>
    <n v="96.089100000000002"/>
    <n v="21.9588"/>
  </r>
  <r>
    <x v="111"/>
    <x v="1"/>
    <x v="97"/>
    <x v="1"/>
    <x v="0"/>
    <x v="0"/>
    <x v="0"/>
    <n v="98.21"/>
    <n v="6"/>
    <n v="29.463000000000001"/>
    <n v="589.26"/>
    <x v="95"/>
    <x v="103"/>
    <x v="2"/>
    <n v="294.63"/>
    <n v="4.7619047620000003"/>
    <n v="294.63"/>
    <n v="7.46"/>
    <n v="96.078500000000005"/>
    <n v="19.763300000000001"/>
  </r>
  <r>
    <x v="112"/>
    <x v="2"/>
    <x v="98"/>
    <x v="2"/>
    <x v="1"/>
    <x v="0"/>
    <x v="5"/>
    <n v="72.84"/>
    <n v="10"/>
    <n v="36.42"/>
    <n v="728.4"/>
    <x v="96"/>
    <x v="104"/>
    <x v="1"/>
    <n v="509.88"/>
    <n v="4.7619047620000003"/>
    <n v="218.52"/>
    <n v="7.46"/>
    <n v="96.089100000000002"/>
    <n v="21.9588"/>
  </r>
  <r>
    <x v="113"/>
    <x v="0"/>
    <x v="99"/>
    <x v="0"/>
    <x v="0"/>
    <x v="1"/>
    <x v="4"/>
    <n v="58.07"/>
    <n v="13"/>
    <n v="37.7455"/>
    <n v="754.91"/>
    <x v="37"/>
    <x v="105"/>
    <x v="0"/>
    <n v="522.63"/>
    <n v="4.7619047620000003"/>
    <n v="232.28"/>
    <n v="7.46"/>
    <n v="96.173500000000004"/>
    <n v="16.840900000000001"/>
  </r>
  <r>
    <x v="114"/>
    <x v="1"/>
    <x v="100"/>
    <x v="1"/>
    <x v="0"/>
    <x v="0"/>
    <x v="4"/>
    <n v="80.790000000000006"/>
    <n v="15"/>
    <n v="60.592500000000001"/>
    <n v="1211.8499999999999"/>
    <x v="97"/>
    <x v="106"/>
    <x v="2"/>
    <n v="727.11"/>
    <n v="4.7619047620000003"/>
    <n v="484.74"/>
    <n v="7.46"/>
    <n v="96.078500000000005"/>
    <n v="19.763300000000001"/>
  </r>
  <r>
    <x v="115"/>
    <x v="1"/>
    <x v="101"/>
    <x v="1"/>
    <x v="1"/>
    <x v="0"/>
    <x v="0"/>
    <n v="27.02"/>
    <n v="4"/>
    <n v="5.4039999999999999"/>
    <n v="108.08"/>
    <x v="98"/>
    <x v="39"/>
    <x v="2"/>
    <n v="81.06"/>
    <n v="4.7619047620000003"/>
    <n v="27.02"/>
    <n v="7.46"/>
    <n v="96.078500000000005"/>
    <n v="19.763300000000001"/>
  </r>
  <r>
    <x v="116"/>
    <x v="2"/>
    <x v="102"/>
    <x v="2"/>
    <x v="0"/>
    <x v="1"/>
    <x v="0"/>
    <n v="21.94"/>
    <n v="10"/>
    <n v="10.97"/>
    <n v="219.4"/>
    <x v="80"/>
    <x v="107"/>
    <x v="0"/>
    <n v="109.7"/>
    <n v="4.7619047620000003"/>
    <n v="109.7"/>
    <n v="7.46"/>
    <n v="96.089100000000002"/>
    <n v="21.9588"/>
  </r>
  <r>
    <x v="117"/>
    <x v="2"/>
    <x v="103"/>
    <x v="2"/>
    <x v="0"/>
    <x v="1"/>
    <x v="0"/>
    <n v="51.36"/>
    <n v="1"/>
    <n v="2.5680000000000001"/>
    <n v="51.36"/>
    <x v="42"/>
    <x v="108"/>
    <x v="0"/>
    <n v="51.36"/>
    <n v="4.7619047620000003"/>
    <n v="0"/>
    <n v="7.46"/>
    <n v="96.089100000000002"/>
    <n v="21.9588"/>
  </r>
  <r>
    <x v="118"/>
    <x v="0"/>
    <x v="104"/>
    <x v="0"/>
    <x v="1"/>
    <x v="0"/>
    <x v="0"/>
    <n v="10.96"/>
    <n v="10"/>
    <n v="5.48"/>
    <n v="109.6"/>
    <x v="35"/>
    <x v="109"/>
    <x v="0"/>
    <n v="109.6"/>
    <n v="4.7619047620000003"/>
    <n v="0"/>
    <n v="7.46"/>
    <n v="96.173500000000004"/>
    <n v="16.840900000000001"/>
  </r>
  <r>
    <x v="119"/>
    <x v="2"/>
    <x v="63"/>
    <x v="2"/>
    <x v="1"/>
    <x v="1"/>
    <x v="4"/>
    <n v="53.44"/>
    <n v="3"/>
    <n v="8.016"/>
    <n v="160.32"/>
    <x v="99"/>
    <x v="89"/>
    <x v="0"/>
    <n v="106.88"/>
    <n v="4.7619047620000003"/>
    <n v="53.44"/>
    <n v="7.46"/>
    <n v="96.089100000000002"/>
    <n v="21.9588"/>
  </r>
  <r>
    <x v="120"/>
    <x v="0"/>
    <x v="105"/>
    <x v="0"/>
    <x v="1"/>
    <x v="0"/>
    <x v="1"/>
    <n v="99.56"/>
    <n v="8"/>
    <n v="39.823999999999998"/>
    <n v="796.48"/>
    <x v="85"/>
    <x v="11"/>
    <x v="2"/>
    <n v="796.48"/>
    <n v="4.7619047620000003"/>
    <n v="0"/>
    <n v="7.46"/>
    <n v="96.173500000000004"/>
    <n v="16.840900000000001"/>
  </r>
  <r>
    <x v="121"/>
    <x v="1"/>
    <x v="48"/>
    <x v="1"/>
    <x v="1"/>
    <x v="1"/>
    <x v="3"/>
    <n v="57.12"/>
    <n v="8"/>
    <n v="22.847999999999999"/>
    <n v="456.96"/>
    <x v="100"/>
    <x v="110"/>
    <x v="2"/>
    <n v="399.84"/>
    <n v="4.7619047620000003"/>
    <n v="57.12"/>
    <n v="7.46"/>
    <n v="96.078500000000005"/>
    <n v="19.763300000000001"/>
  </r>
  <r>
    <x v="122"/>
    <x v="2"/>
    <x v="106"/>
    <x v="2"/>
    <x v="1"/>
    <x v="1"/>
    <x v="3"/>
    <n v="99.96"/>
    <n v="13"/>
    <n v="64.974000000000004"/>
    <n v="1299.48"/>
    <x v="101"/>
    <x v="111"/>
    <x v="2"/>
    <n v="899.64"/>
    <n v="4.7619047620000003"/>
    <n v="399.84"/>
    <n v="7.46"/>
    <n v="96.089100000000002"/>
    <n v="21.9588"/>
  </r>
  <r>
    <x v="123"/>
    <x v="1"/>
    <x v="107"/>
    <x v="1"/>
    <x v="1"/>
    <x v="1"/>
    <x v="4"/>
    <n v="63.91"/>
    <n v="10"/>
    <n v="31.954999999999998"/>
    <n v="639.1"/>
    <x v="102"/>
    <x v="112"/>
    <x v="2"/>
    <n v="511.28"/>
    <n v="4.7619047620000003"/>
    <n v="127.82"/>
    <n v="7.46"/>
    <n v="96.078500000000005"/>
    <n v="19.763300000000001"/>
  </r>
  <r>
    <x v="124"/>
    <x v="2"/>
    <x v="11"/>
    <x v="2"/>
    <x v="1"/>
    <x v="0"/>
    <x v="5"/>
    <n v="56.47"/>
    <n v="11"/>
    <n v="31.058499999999999"/>
    <n v="621.16999999999996"/>
    <x v="103"/>
    <x v="113"/>
    <x v="0"/>
    <n v="451.76"/>
    <n v="4.7619047620000003"/>
    <n v="169.41"/>
    <n v="7.46"/>
    <n v="96.089100000000002"/>
    <n v="21.9588"/>
  </r>
  <r>
    <x v="125"/>
    <x v="0"/>
    <x v="59"/>
    <x v="0"/>
    <x v="1"/>
    <x v="0"/>
    <x v="4"/>
    <n v="93.69"/>
    <n v="7"/>
    <n v="32.791500000000006"/>
    <n v="655.83"/>
    <x v="104"/>
    <x v="114"/>
    <x v="2"/>
    <n v="655.83"/>
    <n v="4.7619047620000003"/>
    <n v="0"/>
    <n v="7.46"/>
    <n v="96.173500000000004"/>
    <n v="16.840900000000001"/>
  </r>
  <r>
    <x v="126"/>
    <x v="0"/>
    <x v="108"/>
    <x v="0"/>
    <x v="1"/>
    <x v="0"/>
    <x v="3"/>
    <n v="32.25"/>
    <n v="5"/>
    <n v="8.0625"/>
    <n v="161.25"/>
    <x v="105"/>
    <x v="115"/>
    <x v="1"/>
    <n v="161.25"/>
    <n v="4.7619047620000003"/>
    <n v="0"/>
    <n v="9"/>
    <n v="96.173500000000004"/>
    <n v="16.840900000000001"/>
  </r>
  <r>
    <x v="127"/>
    <x v="1"/>
    <x v="109"/>
    <x v="1"/>
    <x v="1"/>
    <x v="0"/>
    <x v="5"/>
    <n v="31.73"/>
    <n v="11"/>
    <n v="17.451499999999999"/>
    <n v="349.03"/>
    <x v="106"/>
    <x v="116"/>
    <x v="2"/>
    <n v="285.57"/>
    <n v="4.7619047620000003"/>
    <n v="63.46"/>
    <n v="6.1950000000000003"/>
    <n v="96.078500000000005"/>
    <n v="19.763300000000001"/>
  </r>
  <r>
    <x v="128"/>
    <x v="1"/>
    <x v="110"/>
    <x v="1"/>
    <x v="1"/>
    <x v="0"/>
    <x v="2"/>
    <n v="68.540000000000006"/>
    <n v="10"/>
    <n v="34.270000000000003"/>
    <n v="685.4"/>
    <x v="107"/>
    <x v="117"/>
    <x v="0"/>
    <n v="548.32000000000005"/>
    <n v="4.7619047620000003"/>
    <n v="137.08000000000001"/>
    <n v="8.9250000000000007"/>
    <n v="96.078500000000005"/>
    <n v="19.763300000000001"/>
  </r>
  <r>
    <x v="129"/>
    <x v="2"/>
    <x v="111"/>
    <x v="2"/>
    <x v="1"/>
    <x v="0"/>
    <x v="3"/>
    <n v="90.28"/>
    <n v="13"/>
    <n v="58.682000000000009"/>
    <n v="1173.6400000000001"/>
    <x v="4"/>
    <x v="23"/>
    <x v="0"/>
    <n v="812.52"/>
    <n v="4.7619047620000003"/>
    <n v="361.12"/>
    <n v="8.64"/>
    <n v="96.089100000000002"/>
    <n v="21.9588"/>
  </r>
  <r>
    <x v="130"/>
    <x v="2"/>
    <x v="112"/>
    <x v="2"/>
    <x v="1"/>
    <x v="0"/>
    <x v="5"/>
    <n v="39.619999999999997"/>
    <n v="10"/>
    <n v="19.810000000000002"/>
    <n v="396.2"/>
    <x v="49"/>
    <x v="118"/>
    <x v="0"/>
    <n v="277.33999999999997"/>
    <n v="4.7619047620000003"/>
    <n v="118.86"/>
    <n v="9"/>
    <n v="96.089100000000002"/>
    <n v="21.9588"/>
  </r>
  <r>
    <x v="131"/>
    <x v="0"/>
    <x v="113"/>
    <x v="0"/>
    <x v="1"/>
    <x v="0"/>
    <x v="3"/>
    <n v="92.13"/>
    <n v="6"/>
    <n v="27.638999999999999"/>
    <n v="552.78"/>
    <x v="108"/>
    <x v="119"/>
    <x v="0"/>
    <n v="552.78"/>
    <n v="4.7619047620000003"/>
    <n v="0"/>
    <n v="8.3000000000000007"/>
    <n v="96.173500000000004"/>
    <n v="16.840900000000001"/>
  </r>
  <r>
    <x v="132"/>
    <x v="2"/>
    <x v="114"/>
    <x v="2"/>
    <x v="1"/>
    <x v="0"/>
    <x v="3"/>
    <n v="34.840000000000003"/>
    <n v="6"/>
    <n v="10.452"/>
    <n v="209.04"/>
    <x v="44"/>
    <x v="120"/>
    <x v="0"/>
    <n v="139.36000000000001"/>
    <n v="4.7619047620000003"/>
    <n v="69.680000000000007"/>
    <n v="8.8800000000000008"/>
    <n v="96.089100000000002"/>
    <n v="21.9588"/>
  </r>
  <r>
    <x v="133"/>
    <x v="2"/>
    <x v="115"/>
    <x v="2"/>
    <x v="1"/>
    <x v="1"/>
    <x v="1"/>
    <n v="87.45"/>
    <n v="8"/>
    <n v="34.980000000000004"/>
    <n v="699.6"/>
    <x v="45"/>
    <x v="121"/>
    <x v="0"/>
    <n v="524.70000000000005"/>
    <n v="4.7619047620000003"/>
    <n v="174.9"/>
    <n v="10"/>
    <n v="96.089100000000002"/>
    <n v="21.9588"/>
  </r>
  <r>
    <x v="134"/>
    <x v="1"/>
    <x v="116"/>
    <x v="1"/>
    <x v="1"/>
    <x v="0"/>
    <x v="0"/>
    <n v="81.3"/>
    <n v="7"/>
    <n v="28.455000000000002"/>
    <n v="569.1"/>
    <x v="109"/>
    <x v="122"/>
    <x v="0"/>
    <n v="487.8"/>
    <n v="4.7619047620000003"/>
    <n v="81.3"/>
    <n v="5.5650000000000004"/>
    <n v="96.078500000000005"/>
    <n v="19.763300000000001"/>
  </r>
  <r>
    <x v="135"/>
    <x v="1"/>
    <x v="10"/>
    <x v="1"/>
    <x v="1"/>
    <x v="1"/>
    <x v="5"/>
    <n v="90.22"/>
    <n v="4"/>
    <n v="18.044"/>
    <n v="360.88"/>
    <x v="110"/>
    <x v="30"/>
    <x v="0"/>
    <n v="270.66000000000003"/>
    <n v="4.7619047620000003"/>
    <n v="90.22"/>
    <n v="6.51"/>
    <n v="96.078500000000005"/>
    <n v="19.763300000000001"/>
  </r>
  <r>
    <x v="136"/>
    <x v="0"/>
    <x v="77"/>
    <x v="0"/>
    <x v="1"/>
    <x v="0"/>
    <x v="1"/>
    <n v="26.31"/>
    <n v="5"/>
    <n v="6.5775000000000006"/>
    <n v="131.55000000000001"/>
    <x v="111"/>
    <x v="123"/>
    <x v="0"/>
    <n v="131.55000000000001"/>
    <n v="4.7619047620000003"/>
    <n v="0"/>
    <n v="8.8000000000000007"/>
    <n v="96.173500000000004"/>
    <n v="16.840900000000001"/>
  </r>
  <r>
    <x v="137"/>
    <x v="0"/>
    <x v="117"/>
    <x v="0"/>
    <x v="1"/>
    <x v="0"/>
    <x v="4"/>
    <n v="34.42"/>
    <n v="6"/>
    <n v="10.326000000000001"/>
    <n v="206.52"/>
    <x v="112"/>
    <x v="124"/>
    <x v="0"/>
    <n v="206.52"/>
    <n v="4.7619047620000003"/>
    <n v="0"/>
    <n v="9.8000000000000007"/>
    <n v="96.173500000000004"/>
    <n v="16.840900000000001"/>
  </r>
  <r>
    <x v="138"/>
    <x v="2"/>
    <x v="118"/>
    <x v="2"/>
    <x v="1"/>
    <x v="1"/>
    <x v="3"/>
    <n v="51.91"/>
    <n v="14"/>
    <n v="36.337000000000003"/>
    <n v="726.74"/>
    <x v="44"/>
    <x v="125"/>
    <x v="1"/>
    <n v="519.1"/>
    <n v="4.7619047620000003"/>
    <n v="207.64"/>
    <n v="9.84"/>
    <n v="96.089100000000002"/>
    <n v="21.9588"/>
  </r>
  <r>
    <x v="139"/>
    <x v="0"/>
    <x v="105"/>
    <x v="0"/>
    <x v="1"/>
    <x v="1"/>
    <x v="3"/>
    <n v="72.5"/>
    <n v="8"/>
    <n v="29"/>
    <n v="580"/>
    <x v="113"/>
    <x v="126"/>
    <x v="0"/>
    <n v="580"/>
    <n v="4.7619047620000003"/>
    <n v="0"/>
    <n v="9.1999999999999993"/>
    <n v="96.173500000000004"/>
    <n v="16.840900000000001"/>
  </r>
  <r>
    <x v="140"/>
    <x v="1"/>
    <x v="119"/>
    <x v="1"/>
    <x v="1"/>
    <x v="0"/>
    <x v="3"/>
    <n v="89.8"/>
    <n v="12"/>
    <n v="53.88"/>
    <n v="1077.5999999999999"/>
    <x v="114"/>
    <x v="127"/>
    <x v="2"/>
    <n v="898"/>
    <n v="4.7619047620000003"/>
    <n v="179.6"/>
    <n v="5.67"/>
    <n v="96.078500000000005"/>
    <n v="19.763300000000001"/>
  </r>
  <r>
    <x v="141"/>
    <x v="1"/>
    <x v="120"/>
    <x v="1"/>
    <x v="1"/>
    <x v="1"/>
    <x v="0"/>
    <n v="90.5"/>
    <n v="12"/>
    <n v="54.3"/>
    <n v="1086"/>
    <x v="115"/>
    <x v="128"/>
    <x v="1"/>
    <n v="905"/>
    <n v="4.7619047620000003"/>
    <n v="181"/>
    <n v="8.5050000000000008"/>
    <n v="96.078500000000005"/>
    <n v="19.763300000000001"/>
  </r>
  <r>
    <x v="142"/>
    <x v="1"/>
    <x v="121"/>
    <x v="1"/>
    <x v="1"/>
    <x v="0"/>
    <x v="0"/>
    <n v="68.599999999999994"/>
    <n v="12"/>
    <n v="41.16"/>
    <n v="823.2"/>
    <x v="14"/>
    <x v="129"/>
    <x v="1"/>
    <n v="686"/>
    <n v="4.7619047620000003"/>
    <n v="137.19999999999999"/>
    <n v="9.5549999999999997"/>
    <n v="96.078500000000005"/>
    <n v="19.763300000000001"/>
  </r>
  <r>
    <x v="143"/>
    <x v="1"/>
    <x v="122"/>
    <x v="1"/>
    <x v="0"/>
    <x v="0"/>
    <x v="2"/>
    <n v="30.41"/>
    <n v="1"/>
    <n v="1.5205"/>
    <n v="30.41"/>
    <x v="116"/>
    <x v="130"/>
    <x v="2"/>
    <n v="30.41"/>
    <n v="4.7619047620000003"/>
    <n v="0"/>
    <n v="8.82"/>
    <n v="96.078500000000005"/>
    <n v="19.763300000000001"/>
  </r>
  <r>
    <x v="144"/>
    <x v="0"/>
    <x v="123"/>
    <x v="0"/>
    <x v="1"/>
    <x v="0"/>
    <x v="4"/>
    <n v="77.95"/>
    <n v="6"/>
    <n v="23.385000000000002"/>
    <n v="467.7"/>
    <x v="117"/>
    <x v="131"/>
    <x v="0"/>
    <n v="467.7"/>
    <n v="4.7619047620000003"/>
    <n v="0"/>
    <n v="8"/>
    <n v="96.173500000000004"/>
    <n v="16.840900000000001"/>
  </r>
  <r>
    <x v="145"/>
    <x v="1"/>
    <x v="124"/>
    <x v="1"/>
    <x v="1"/>
    <x v="0"/>
    <x v="0"/>
    <n v="46.26"/>
    <n v="7"/>
    <n v="16.190999999999999"/>
    <n v="323.82"/>
    <x v="53"/>
    <x v="132"/>
    <x v="2"/>
    <n v="277.56"/>
    <n v="4.7619047620000003"/>
    <n v="46.26"/>
    <n v="9.9749999999999996"/>
    <n v="96.078500000000005"/>
    <n v="19.763300000000001"/>
  </r>
  <r>
    <x v="146"/>
    <x v="0"/>
    <x v="125"/>
    <x v="0"/>
    <x v="0"/>
    <x v="0"/>
    <x v="5"/>
    <n v="30.14"/>
    <n v="14"/>
    <n v="21.097999999999999"/>
    <n v="421.96"/>
    <x v="106"/>
    <x v="35"/>
    <x v="0"/>
    <n v="301.39999999999998"/>
    <n v="4.7619047620000003"/>
    <n v="120.56"/>
    <n v="9.1999999999999993"/>
    <n v="96.173500000000004"/>
    <n v="16.840900000000001"/>
  </r>
  <r>
    <x v="147"/>
    <x v="1"/>
    <x v="126"/>
    <x v="1"/>
    <x v="1"/>
    <x v="1"/>
    <x v="0"/>
    <n v="66.14"/>
    <n v="5"/>
    <n v="16.535"/>
    <n v="330.7"/>
    <x v="118"/>
    <x v="69"/>
    <x v="2"/>
    <n v="264.56"/>
    <n v="4.7619047620000003"/>
    <n v="66.14"/>
    <n v="5.88"/>
    <n v="96.078500000000005"/>
    <n v="19.763300000000001"/>
  </r>
  <r>
    <x v="148"/>
    <x v="2"/>
    <x v="78"/>
    <x v="2"/>
    <x v="0"/>
    <x v="1"/>
    <x v="4"/>
    <n v="71.86"/>
    <n v="15"/>
    <n v="53.895000000000003"/>
    <n v="1077.9000000000001"/>
    <x v="119"/>
    <x v="133"/>
    <x v="2"/>
    <n v="574.88"/>
    <n v="4.7619047620000003"/>
    <n v="503.02"/>
    <n v="7.44"/>
    <n v="96.089100000000002"/>
    <n v="21.9588"/>
  </r>
  <r>
    <x v="149"/>
    <x v="0"/>
    <x v="127"/>
    <x v="0"/>
    <x v="1"/>
    <x v="1"/>
    <x v="0"/>
    <n v="32.46"/>
    <n v="8"/>
    <n v="12.984"/>
    <n v="259.68"/>
    <x v="120"/>
    <x v="128"/>
    <x v="2"/>
    <n v="259.68"/>
    <n v="4.7619047620000003"/>
    <n v="0"/>
    <n v="4.9000000000000004"/>
    <n v="96.173500000000004"/>
    <n v="16.840900000000001"/>
  </r>
  <r>
    <x v="150"/>
    <x v="2"/>
    <x v="128"/>
    <x v="2"/>
    <x v="0"/>
    <x v="0"/>
    <x v="0"/>
    <n v="91.54"/>
    <n v="8"/>
    <n v="36.616000000000007"/>
    <n v="732.32"/>
    <x v="69"/>
    <x v="25"/>
    <x v="2"/>
    <n v="366.16"/>
    <n v="4.7619047620000003"/>
    <n v="366.16"/>
    <n v="5.76"/>
    <n v="96.089100000000002"/>
    <n v="21.9588"/>
  </r>
  <r>
    <x v="151"/>
    <x v="1"/>
    <x v="129"/>
    <x v="1"/>
    <x v="0"/>
    <x v="1"/>
    <x v="0"/>
    <n v="34.56"/>
    <n v="11"/>
    <n v="19.008000000000003"/>
    <n v="380.16"/>
    <x v="11"/>
    <x v="134"/>
    <x v="2"/>
    <n v="241.92"/>
    <n v="4.7619047620000003"/>
    <n v="138.24"/>
    <n v="7.665"/>
    <n v="96.078500000000005"/>
    <n v="19.763300000000001"/>
  </r>
  <r>
    <x v="152"/>
    <x v="0"/>
    <x v="65"/>
    <x v="0"/>
    <x v="1"/>
    <x v="1"/>
    <x v="0"/>
    <n v="83.24"/>
    <n v="9"/>
    <n v="37.457999999999998"/>
    <n v="749.16"/>
    <x v="121"/>
    <x v="135"/>
    <x v="2"/>
    <n v="749.16"/>
    <n v="4.7619047620000003"/>
    <n v="0"/>
    <n v="7.4"/>
    <n v="96.173500000000004"/>
    <n v="16.840900000000001"/>
  </r>
  <r>
    <x v="153"/>
    <x v="1"/>
    <x v="130"/>
    <x v="1"/>
    <x v="1"/>
    <x v="0"/>
    <x v="0"/>
    <n v="16.48"/>
    <n v="7"/>
    <n v="5.7680000000000007"/>
    <n v="115.36"/>
    <x v="122"/>
    <x v="136"/>
    <x v="0"/>
    <n v="98.88"/>
    <n v="4.7619047620000003"/>
    <n v="16.48"/>
    <n v="10"/>
    <n v="96.078500000000005"/>
    <n v="19.763300000000001"/>
  </r>
  <r>
    <x v="154"/>
    <x v="1"/>
    <x v="97"/>
    <x v="1"/>
    <x v="1"/>
    <x v="0"/>
    <x v="0"/>
    <n v="80.97"/>
    <n v="10"/>
    <n v="40.485000000000007"/>
    <n v="809.7"/>
    <x v="2"/>
    <x v="137"/>
    <x v="1"/>
    <n v="647.76"/>
    <n v="4.7619047620000003"/>
    <n v="161.94"/>
    <n v="9.7650000000000006"/>
    <n v="96.078500000000005"/>
    <n v="19.763300000000001"/>
  </r>
  <r>
    <x v="155"/>
    <x v="0"/>
    <x v="131"/>
    <x v="0"/>
    <x v="0"/>
    <x v="1"/>
    <x v="0"/>
    <n v="92.29"/>
    <n v="7"/>
    <n v="32.301499999999997"/>
    <n v="646.03"/>
    <x v="123"/>
    <x v="57"/>
    <x v="2"/>
    <n v="461.45"/>
    <n v="4.7619047620000003"/>
    <n v="184.58"/>
    <n v="9"/>
    <n v="96.173500000000004"/>
    <n v="16.840900000000001"/>
  </r>
  <r>
    <x v="156"/>
    <x v="2"/>
    <x v="132"/>
    <x v="2"/>
    <x v="0"/>
    <x v="1"/>
    <x v="0"/>
    <n v="72.17"/>
    <n v="1"/>
    <n v="3.6085000000000003"/>
    <n v="72.17"/>
    <x v="124"/>
    <x v="138"/>
    <x v="1"/>
    <n v="72.17"/>
    <n v="4.7619047620000003"/>
    <n v="0"/>
    <n v="7.32"/>
    <n v="96.089100000000002"/>
    <n v="21.9588"/>
  </r>
  <r>
    <x v="157"/>
    <x v="2"/>
    <x v="46"/>
    <x v="2"/>
    <x v="1"/>
    <x v="1"/>
    <x v="0"/>
    <n v="50.28"/>
    <n v="7"/>
    <n v="17.597999999999999"/>
    <n v="351.96"/>
    <x v="125"/>
    <x v="139"/>
    <x v="0"/>
    <n v="251.4"/>
    <n v="4.7619047620000003"/>
    <n v="100.56"/>
    <n v="10"/>
    <n v="96.089100000000002"/>
    <n v="21.9588"/>
  </r>
  <r>
    <x v="158"/>
    <x v="2"/>
    <x v="133"/>
    <x v="2"/>
    <x v="0"/>
    <x v="1"/>
    <x v="0"/>
    <n v="97.22"/>
    <n v="18"/>
    <n v="87.498000000000005"/>
    <n v="1749.96"/>
    <x v="126"/>
    <x v="140"/>
    <x v="0"/>
    <n v="874.98"/>
    <n v="4.7619047620000003"/>
    <n v="874.98"/>
    <n v="7.2"/>
    <n v="96.089100000000002"/>
    <n v="21.9588"/>
  </r>
  <r>
    <x v="159"/>
    <x v="2"/>
    <x v="134"/>
    <x v="2"/>
    <x v="1"/>
    <x v="1"/>
    <x v="0"/>
    <n v="93.39"/>
    <n v="8"/>
    <n v="37.356000000000002"/>
    <n v="747.12"/>
    <x v="115"/>
    <x v="141"/>
    <x v="0"/>
    <n v="560.34"/>
    <n v="4.7619047620000003"/>
    <n v="186.78"/>
    <n v="10"/>
    <n v="96.089100000000002"/>
    <n v="21.9588"/>
  </r>
  <r>
    <x v="160"/>
    <x v="1"/>
    <x v="135"/>
    <x v="1"/>
    <x v="1"/>
    <x v="0"/>
    <x v="0"/>
    <n v="43.18"/>
    <n v="10"/>
    <n v="21.59"/>
    <n v="431.8"/>
    <x v="127"/>
    <x v="30"/>
    <x v="2"/>
    <n v="345.44"/>
    <n v="4.7619047620000003"/>
    <n v="86.36"/>
    <n v="8.7149999999999999"/>
    <n v="96.078500000000005"/>
    <n v="19.763300000000001"/>
  </r>
  <r>
    <x v="161"/>
    <x v="0"/>
    <x v="136"/>
    <x v="0"/>
    <x v="1"/>
    <x v="1"/>
    <x v="0"/>
    <n v="63.69"/>
    <n v="1"/>
    <n v="3.1844999999999999"/>
    <n v="63.69"/>
    <x v="110"/>
    <x v="142"/>
    <x v="1"/>
    <n v="63.69"/>
    <n v="4.7619047620000003"/>
    <n v="0"/>
    <n v="6"/>
    <n v="96.173500000000004"/>
    <n v="16.840900000000001"/>
  </r>
  <r>
    <x v="162"/>
    <x v="0"/>
    <x v="137"/>
    <x v="0"/>
    <x v="1"/>
    <x v="1"/>
    <x v="0"/>
    <n v="45.79"/>
    <n v="7"/>
    <n v="16.026499999999999"/>
    <n v="320.52999999999997"/>
    <x v="128"/>
    <x v="143"/>
    <x v="2"/>
    <n v="320.52999999999997"/>
    <n v="4.7619047620000003"/>
    <n v="0"/>
    <n v="7"/>
    <n v="96.173500000000004"/>
    <n v="16.840900000000001"/>
  </r>
  <r>
    <x v="163"/>
    <x v="1"/>
    <x v="138"/>
    <x v="1"/>
    <x v="1"/>
    <x v="1"/>
    <x v="0"/>
    <n v="76.400000000000006"/>
    <n v="2"/>
    <n v="7.64"/>
    <n v="152.80000000000001"/>
    <x v="49"/>
    <x v="144"/>
    <x v="0"/>
    <n v="152.80000000000001"/>
    <n v="4.7619047620000003"/>
    <n v="0"/>
    <n v="6.8250000000000002"/>
    <n v="96.078500000000005"/>
    <n v="19.763300000000001"/>
  </r>
  <r>
    <x v="164"/>
    <x v="2"/>
    <x v="139"/>
    <x v="2"/>
    <x v="1"/>
    <x v="1"/>
    <x v="0"/>
    <n v="39.9"/>
    <n v="14"/>
    <n v="27.93"/>
    <n v="558.6"/>
    <x v="129"/>
    <x v="145"/>
    <x v="2"/>
    <n v="399"/>
    <n v="4.7619047620000003"/>
    <n v="159.6"/>
    <n v="7.08"/>
    <n v="96.089100000000002"/>
    <n v="21.9588"/>
  </r>
  <r>
    <x v="165"/>
    <x v="2"/>
    <x v="140"/>
    <x v="2"/>
    <x v="0"/>
    <x v="1"/>
    <x v="0"/>
    <n v="42.57"/>
    <n v="15"/>
    <n v="31.927499999999998"/>
    <n v="638.54999999999995"/>
    <x v="130"/>
    <x v="146"/>
    <x v="0"/>
    <n v="340.56"/>
    <n v="4.7619047620000003"/>
    <n v="297.99"/>
    <n v="6.72"/>
    <n v="96.089100000000002"/>
    <n v="21.9588"/>
  </r>
  <r>
    <x v="166"/>
    <x v="1"/>
    <x v="141"/>
    <x v="1"/>
    <x v="1"/>
    <x v="1"/>
    <x v="0"/>
    <n v="95.58"/>
    <n v="12"/>
    <n v="57.347999999999999"/>
    <n v="1146.96"/>
    <x v="5"/>
    <x v="147"/>
    <x v="1"/>
    <n v="955.8"/>
    <n v="4.7619047620000003"/>
    <n v="191.16"/>
    <n v="5.04"/>
    <n v="96.078500000000005"/>
    <n v="19.763300000000001"/>
  </r>
  <r>
    <x v="167"/>
    <x v="0"/>
    <x v="142"/>
    <x v="0"/>
    <x v="1"/>
    <x v="1"/>
    <x v="0"/>
    <n v="98.98"/>
    <n v="10"/>
    <n v="49.49"/>
    <n v="989.8"/>
    <x v="127"/>
    <x v="148"/>
    <x v="2"/>
    <n v="989.8"/>
    <n v="4.7619047620000003"/>
    <n v="0"/>
    <n v="8.6999999999999993"/>
    <n v="96.173500000000004"/>
    <n v="16.840900000000001"/>
  </r>
  <r>
    <x v="168"/>
    <x v="0"/>
    <x v="143"/>
    <x v="0"/>
    <x v="1"/>
    <x v="1"/>
    <x v="0"/>
    <n v="51.28"/>
    <n v="6"/>
    <n v="15.384"/>
    <n v="307.68"/>
    <x v="131"/>
    <x v="149"/>
    <x v="1"/>
    <n v="307.68"/>
    <n v="4.7619047620000003"/>
    <n v="0"/>
    <n v="6.5"/>
    <n v="96.173500000000004"/>
    <n v="16.840900000000001"/>
  </r>
  <r>
    <x v="169"/>
    <x v="0"/>
    <x v="143"/>
    <x v="0"/>
    <x v="0"/>
    <x v="1"/>
    <x v="0"/>
    <n v="69.52"/>
    <n v="10"/>
    <n v="34.76"/>
    <n v="695.2"/>
    <x v="132"/>
    <x v="50"/>
    <x v="2"/>
    <n v="486.64"/>
    <n v="4.7619047620000003"/>
    <n v="208.56"/>
    <n v="8.5"/>
    <n v="96.173500000000004"/>
    <n v="16.840900000000001"/>
  </r>
  <r>
    <x v="170"/>
    <x v="0"/>
    <x v="144"/>
    <x v="0"/>
    <x v="1"/>
    <x v="1"/>
    <x v="0"/>
    <n v="70.010000000000005"/>
    <n v="5"/>
    <n v="17.502500000000001"/>
    <n v="350.05"/>
    <x v="133"/>
    <x v="150"/>
    <x v="0"/>
    <n v="350.05"/>
    <n v="4.7619047620000003"/>
    <n v="0"/>
    <n v="5.5"/>
    <n v="96.173500000000004"/>
    <n v="16.840900000000001"/>
  </r>
  <r>
    <x v="171"/>
    <x v="2"/>
    <x v="145"/>
    <x v="2"/>
    <x v="0"/>
    <x v="1"/>
    <x v="0"/>
    <n v="80.05"/>
    <n v="10"/>
    <n v="40.024999999999999"/>
    <n v="800.5"/>
    <x v="134"/>
    <x v="47"/>
    <x v="2"/>
    <n v="400.25"/>
    <n v="4.7619047620000003"/>
    <n v="400.25"/>
    <n v="10"/>
    <n v="96.089100000000002"/>
    <n v="21.9588"/>
  </r>
  <r>
    <x v="172"/>
    <x v="1"/>
    <x v="146"/>
    <x v="1"/>
    <x v="1"/>
    <x v="1"/>
    <x v="0"/>
    <n v="20.85"/>
    <n v="10"/>
    <n v="10.425000000000001"/>
    <n v="208.5"/>
    <x v="121"/>
    <x v="151"/>
    <x v="1"/>
    <n v="166.8"/>
    <n v="4.7619047620000003"/>
    <n v="41.7"/>
    <n v="6.6150000000000002"/>
    <n v="96.078500000000005"/>
    <n v="19.763300000000001"/>
  </r>
  <r>
    <x v="173"/>
    <x v="2"/>
    <x v="21"/>
    <x v="2"/>
    <x v="1"/>
    <x v="1"/>
    <x v="0"/>
    <n v="52.89"/>
    <n v="8"/>
    <n v="21.155999999999999"/>
    <n v="423.12"/>
    <x v="128"/>
    <x v="152"/>
    <x v="2"/>
    <n v="317.33999999999997"/>
    <n v="4.7619047620000003"/>
    <n v="105.78"/>
    <n v="10"/>
    <n v="96.089100000000002"/>
    <n v="21.9588"/>
  </r>
  <r>
    <x v="174"/>
    <x v="2"/>
    <x v="147"/>
    <x v="2"/>
    <x v="1"/>
    <x v="1"/>
    <x v="0"/>
    <n v="19.79"/>
    <n v="11"/>
    <n v="10.884499999999999"/>
    <n v="217.69"/>
    <x v="86"/>
    <x v="153"/>
    <x v="0"/>
    <n v="158.32"/>
    <n v="4.7619047620000003"/>
    <n v="59.37"/>
    <n v="10"/>
    <n v="96.089100000000002"/>
    <n v="21.9588"/>
  </r>
  <r>
    <x v="175"/>
    <x v="0"/>
    <x v="148"/>
    <x v="0"/>
    <x v="1"/>
    <x v="1"/>
    <x v="0"/>
    <n v="33.840000000000003"/>
    <n v="9"/>
    <n v="15.228000000000002"/>
    <n v="304.56"/>
    <x v="28"/>
    <x v="142"/>
    <x v="0"/>
    <n v="304.56"/>
    <n v="4.7619047620000003"/>
    <n v="0"/>
    <n v="8.8000000000000007"/>
    <n v="96.173500000000004"/>
    <n v="16.840900000000001"/>
  </r>
  <r>
    <x v="176"/>
    <x v="0"/>
    <x v="149"/>
    <x v="0"/>
    <x v="1"/>
    <x v="1"/>
    <x v="0"/>
    <n v="22.17"/>
    <n v="8"/>
    <n v="8.8680000000000003"/>
    <n v="177.36"/>
    <x v="135"/>
    <x v="154"/>
    <x v="2"/>
    <n v="177.36"/>
    <n v="4.7619047620000003"/>
    <n v="0"/>
    <n v="9.6"/>
    <n v="96.173500000000004"/>
    <n v="16.840900000000001"/>
  </r>
  <r>
    <x v="177"/>
    <x v="1"/>
    <x v="150"/>
    <x v="1"/>
    <x v="1"/>
    <x v="0"/>
    <x v="0"/>
    <n v="22.51"/>
    <n v="8"/>
    <n v="9.0040000000000013"/>
    <n v="180.08"/>
    <x v="62"/>
    <x v="155"/>
    <x v="2"/>
    <n v="157.57"/>
    <n v="4.7619047620000003"/>
    <n v="22.51"/>
    <n v="5.04"/>
    <n v="96.078500000000005"/>
    <n v="19.763300000000001"/>
  </r>
  <r>
    <x v="178"/>
    <x v="0"/>
    <x v="151"/>
    <x v="0"/>
    <x v="1"/>
    <x v="1"/>
    <x v="0"/>
    <n v="73.88"/>
    <n v="6"/>
    <n v="22.164000000000001"/>
    <n v="443.28"/>
    <x v="136"/>
    <x v="156"/>
    <x v="0"/>
    <n v="443.28"/>
    <n v="4.7619047620000003"/>
    <n v="0"/>
    <n v="4.4000000000000004"/>
    <n v="96.173500000000004"/>
    <n v="16.840900000000001"/>
  </r>
  <r>
    <x v="179"/>
    <x v="0"/>
    <x v="152"/>
    <x v="1"/>
    <x v="1"/>
    <x v="1"/>
    <x v="0"/>
    <n v="86.8"/>
    <n v="4"/>
    <n v="17.36"/>
    <n v="347.2"/>
    <x v="20"/>
    <x v="157"/>
    <x v="0"/>
    <n v="260.39999999999998"/>
    <n v="4.7619047620000003"/>
    <n v="86.8"/>
    <n v="7.46"/>
    <n v="96.078500000000005"/>
    <n v="19.763300000000001"/>
  </r>
  <r>
    <x v="180"/>
    <x v="0"/>
    <x v="67"/>
    <x v="1"/>
    <x v="1"/>
    <x v="0"/>
    <x v="0"/>
    <n v="64.260000000000005"/>
    <n v="8"/>
    <n v="25.704000000000004"/>
    <n v="514.08000000000004"/>
    <x v="82"/>
    <x v="158"/>
    <x v="1"/>
    <n v="449.82"/>
    <n v="4.7619047620000003"/>
    <n v="64.260000000000005"/>
    <n v="7.46"/>
    <n v="96.078500000000005"/>
    <n v="19.763300000000001"/>
  </r>
  <r>
    <x v="181"/>
    <x v="0"/>
    <x v="153"/>
    <x v="1"/>
    <x v="1"/>
    <x v="0"/>
    <x v="0"/>
    <n v="38.47"/>
    <n v="10"/>
    <n v="19.234999999999999"/>
    <n v="384.7"/>
    <x v="35"/>
    <x v="159"/>
    <x v="1"/>
    <n v="307.76"/>
    <n v="4.7619047620000003"/>
    <n v="76.94"/>
    <n v="7.46"/>
    <n v="96.078500000000005"/>
    <n v="19.763300000000001"/>
  </r>
  <r>
    <x v="182"/>
    <x v="0"/>
    <x v="154"/>
    <x v="0"/>
    <x v="1"/>
    <x v="0"/>
    <x v="0"/>
    <n v="15.5"/>
    <n v="10"/>
    <n v="7.75"/>
    <n v="155"/>
    <x v="137"/>
    <x v="60"/>
    <x v="0"/>
    <n v="155"/>
    <n v="4.7619047620000003"/>
    <n v="0"/>
    <n v="7.46"/>
    <n v="96.173500000000004"/>
    <n v="16.840900000000001"/>
  </r>
  <r>
    <x v="183"/>
    <x v="0"/>
    <x v="155"/>
    <x v="1"/>
    <x v="1"/>
    <x v="0"/>
    <x v="0"/>
    <n v="34.31"/>
    <n v="10"/>
    <n v="17.155000000000001"/>
    <n v="343.1"/>
    <x v="138"/>
    <x v="160"/>
    <x v="0"/>
    <n v="274.48"/>
    <n v="4.7619047620000003"/>
    <n v="68.62"/>
    <n v="7.46"/>
    <n v="96.078500000000005"/>
    <n v="19.763300000000001"/>
  </r>
  <r>
    <x v="184"/>
    <x v="0"/>
    <x v="156"/>
    <x v="0"/>
    <x v="1"/>
    <x v="0"/>
    <x v="0"/>
    <n v="12.34"/>
    <n v="7"/>
    <n v="4.319"/>
    <n v="86.38"/>
    <x v="139"/>
    <x v="161"/>
    <x v="2"/>
    <n v="86.38"/>
    <n v="4.7619047620000003"/>
    <n v="0"/>
    <n v="7.46"/>
    <n v="96.173500000000004"/>
    <n v="16.840900000000001"/>
  </r>
  <r>
    <x v="185"/>
    <x v="0"/>
    <x v="157"/>
    <x v="2"/>
    <x v="1"/>
    <x v="1"/>
    <x v="0"/>
    <n v="18.079999999999998"/>
    <n v="4"/>
    <n v="3.6159999999999997"/>
    <n v="72.319999999999993"/>
    <x v="140"/>
    <x v="162"/>
    <x v="0"/>
    <n v="54.24"/>
    <n v="4.7619047620000003"/>
    <n v="18.079999999999998"/>
    <n v="7.46"/>
    <n v="96.089100000000002"/>
    <n v="21.9588"/>
  </r>
  <r>
    <x v="186"/>
    <x v="0"/>
    <x v="134"/>
    <x v="2"/>
    <x v="1"/>
    <x v="0"/>
    <x v="0"/>
    <n v="94.49"/>
    <n v="11"/>
    <n v="51.969500000000011"/>
    <n v="1039.3900000000001"/>
    <x v="141"/>
    <x v="163"/>
    <x v="0"/>
    <n v="755.92"/>
    <n v="4.7619047620000003"/>
    <n v="283.47000000000003"/>
    <n v="7.46"/>
    <n v="96.089100000000002"/>
    <n v="21.9588"/>
  </r>
  <r>
    <x v="187"/>
    <x v="0"/>
    <x v="158"/>
    <x v="2"/>
    <x v="0"/>
    <x v="1"/>
    <x v="0"/>
    <n v="46.47"/>
    <n v="8"/>
    <n v="18.588000000000001"/>
    <n v="371.76"/>
    <x v="142"/>
    <x v="164"/>
    <x v="1"/>
    <n v="185.88"/>
    <n v="4.7619047620000003"/>
    <n v="185.88"/>
    <n v="7.46"/>
    <n v="96.089100000000002"/>
    <n v="21.9588"/>
  </r>
  <r>
    <x v="188"/>
    <x v="0"/>
    <x v="159"/>
    <x v="0"/>
    <x v="1"/>
    <x v="1"/>
    <x v="0"/>
    <n v="74.069999999999993"/>
    <n v="1"/>
    <n v="3.7035"/>
    <n v="74.069999999999993"/>
    <x v="143"/>
    <x v="165"/>
    <x v="0"/>
    <n v="74.069999999999993"/>
    <n v="4.7619047620000003"/>
    <n v="0"/>
    <n v="7.46"/>
    <n v="96.173500000000004"/>
    <n v="16.840900000000001"/>
  </r>
  <r>
    <x v="189"/>
    <x v="1"/>
    <x v="160"/>
    <x v="1"/>
    <x v="1"/>
    <x v="0"/>
    <x v="0"/>
    <n v="69.81"/>
    <n v="5"/>
    <n v="17.452500000000001"/>
    <n v="349.05"/>
    <x v="144"/>
    <x v="166"/>
    <x v="2"/>
    <n v="279.24"/>
    <n v="4.7619047620000003"/>
    <n v="69.81"/>
    <n v="7.46"/>
    <n v="96.078500000000005"/>
    <n v="19.763300000000001"/>
  </r>
  <r>
    <x v="190"/>
    <x v="2"/>
    <x v="28"/>
    <x v="2"/>
    <x v="1"/>
    <x v="0"/>
    <x v="0"/>
    <n v="77.040000000000006"/>
    <n v="4"/>
    <n v="15.407999999999999"/>
    <n v="308.16000000000003"/>
    <x v="145"/>
    <x v="17"/>
    <x v="2"/>
    <n v="231.12"/>
    <n v="4.7619047620000003"/>
    <n v="77.040000000000006"/>
    <n v="8.64"/>
    <n v="96.089100000000002"/>
    <n v="21.9588"/>
  </r>
  <r>
    <x v="191"/>
    <x v="2"/>
    <x v="161"/>
    <x v="2"/>
    <x v="1"/>
    <x v="0"/>
    <x v="0"/>
    <n v="73.52"/>
    <n v="3"/>
    <n v="11.028"/>
    <n v="220.56"/>
    <x v="146"/>
    <x v="167"/>
    <x v="0"/>
    <n v="147.04"/>
    <n v="4.7619047620000003"/>
    <n v="73.52"/>
    <n v="5.52"/>
    <n v="96.089100000000002"/>
    <n v="21.9588"/>
  </r>
  <r>
    <x v="192"/>
    <x v="1"/>
    <x v="162"/>
    <x v="1"/>
    <x v="1"/>
    <x v="0"/>
    <x v="0"/>
    <n v="87.8"/>
    <n v="11"/>
    <n v="48.29"/>
    <n v="965.8"/>
    <x v="147"/>
    <x v="168"/>
    <x v="1"/>
    <n v="790.2"/>
    <n v="4.7619047620000003"/>
    <n v="175.6"/>
    <n v="9.66"/>
    <n v="96.078500000000005"/>
    <n v="19.763300000000001"/>
  </r>
  <r>
    <x v="193"/>
    <x v="2"/>
    <x v="32"/>
    <x v="2"/>
    <x v="1"/>
    <x v="1"/>
    <x v="0"/>
    <n v="25.55"/>
    <n v="6"/>
    <n v="7.665"/>
    <n v="153.30000000000001"/>
    <x v="148"/>
    <x v="169"/>
    <x v="0"/>
    <n v="102.2"/>
    <n v="4.7619047620000003"/>
    <n v="51.1"/>
    <n v="6.84"/>
    <n v="96.089100000000002"/>
    <n v="21.9588"/>
  </r>
  <r>
    <x v="194"/>
    <x v="0"/>
    <x v="163"/>
    <x v="0"/>
    <x v="1"/>
    <x v="1"/>
    <x v="0"/>
    <n v="32.71"/>
    <n v="5"/>
    <n v="8.1775000000000002"/>
    <n v="163.55000000000001"/>
    <x v="25"/>
    <x v="170"/>
    <x v="2"/>
    <n v="163.55000000000001"/>
    <n v="4.7619047620000003"/>
    <n v="0"/>
    <n v="9.9"/>
    <n v="96.173500000000004"/>
    <n v="16.840900000000001"/>
  </r>
  <r>
    <x v="195"/>
    <x v="1"/>
    <x v="164"/>
    <x v="1"/>
    <x v="0"/>
    <x v="0"/>
    <x v="0"/>
    <n v="74.290000000000006"/>
    <n v="1"/>
    <n v="3.7145000000000001"/>
    <n v="74.290000000000006"/>
    <x v="127"/>
    <x v="171"/>
    <x v="1"/>
    <n v="74.290000000000006"/>
    <n v="4.7619047620000003"/>
    <n v="0"/>
    <n v="5.25"/>
    <n v="96.078500000000005"/>
    <n v="19.763300000000001"/>
  </r>
  <r>
    <x v="196"/>
    <x v="1"/>
    <x v="165"/>
    <x v="1"/>
    <x v="0"/>
    <x v="1"/>
    <x v="0"/>
    <n v="43.7"/>
    <n v="3"/>
    <n v="6.5549999999999997"/>
    <n v="131.1"/>
    <x v="149"/>
    <x v="172"/>
    <x v="1"/>
    <n v="87.4"/>
    <n v="4.7619047620000003"/>
    <n v="43.7"/>
    <n v="5.1449999999999996"/>
    <n v="96.078500000000005"/>
    <n v="19.763300000000001"/>
  </r>
  <r>
    <x v="197"/>
    <x v="0"/>
    <x v="166"/>
    <x v="0"/>
    <x v="1"/>
    <x v="0"/>
    <x v="0"/>
    <n v="25.29"/>
    <n v="1"/>
    <n v="1.2645"/>
    <n v="25.29"/>
    <x v="50"/>
    <x v="173"/>
    <x v="0"/>
    <n v="25.29"/>
    <n v="4.7619047620000003"/>
    <n v="0"/>
    <n v="6.1"/>
    <n v="96.173500000000004"/>
    <n v="16.840900000000001"/>
  </r>
  <r>
    <x v="198"/>
    <x v="1"/>
    <x v="167"/>
    <x v="1"/>
    <x v="1"/>
    <x v="1"/>
    <x v="0"/>
    <n v="41.5"/>
    <n v="5"/>
    <n v="10.375"/>
    <n v="207.5"/>
    <x v="150"/>
    <x v="174"/>
    <x v="2"/>
    <n v="166"/>
    <n v="4.7619047620000003"/>
    <n v="41.5"/>
    <n v="8.61"/>
    <n v="96.078500000000005"/>
    <n v="19.763300000000001"/>
  </r>
  <r>
    <x v="199"/>
    <x v="1"/>
    <x v="168"/>
    <x v="1"/>
    <x v="1"/>
    <x v="0"/>
    <x v="0"/>
    <n v="71.39"/>
    <n v="6"/>
    <n v="21.417000000000002"/>
    <n v="428.34"/>
    <x v="151"/>
    <x v="129"/>
    <x v="2"/>
    <n v="356.95"/>
    <n v="4.7619047620000003"/>
    <n v="71.39"/>
    <n v="5.7750000000000004"/>
    <n v="96.078500000000005"/>
    <n v="19.763300000000001"/>
  </r>
  <r>
    <x v="200"/>
    <x v="1"/>
    <x v="138"/>
    <x v="1"/>
    <x v="1"/>
    <x v="0"/>
    <x v="0"/>
    <n v="19.149999999999999"/>
    <n v="7"/>
    <n v="6.7024999999999997"/>
    <n v="134.05000000000001"/>
    <x v="152"/>
    <x v="175"/>
    <x v="2"/>
    <n v="114.9"/>
    <n v="4.7619047620000003"/>
    <n v="19.149999999999999"/>
    <n v="7.14"/>
    <n v="96.078500000000005"/>
    <n v="19.763300000000001"/>
  </r>
  <r>
    <x v="201"/>
    <x v="2"/>
    <x v="114"/>
    <x v="2"/>
    <x v="1"/>
    <x v="0"/>
    <x v="0"/>
    <n v="57.49"/>
    <n v="6"/>
    <n v="17.247"/>
    <n v="344.94"/>
    <x v="3"/>
    <x v="176"/>
    <x v="1"/>
    <n v="229.96"/>
    <n v="4.7619047620000003"/>
    <n v="114.98"/>
    <n v="7.92"/>
    <n v="96.089100000000002"/>
    <n v="21.9588"/>
  </r>
  <r>
    <x v="202"/>
    <x v="1"/>
    <x v="169"/>
    <x v="1"/>
    <x v="1"/>
    <x v="1"/>
    <x v="0"/>
    <n v="61.41"/>
    <n v="8"/>
    <n v="24.564"/>
    <n v="491.28"/>
    <x v="153"/>
    <x v="177"/>
    <x v="1"/>
    <n v="429.87"/>
    <n v="4.7619047620000003"/>
    <n v="61.41"/>
    <n v="10"/>
    <n v="96.078500000000005"/>
    <n v="19.763300000000001"/>
  </r>
  <r>
    <x v="203"/>
    <x v="2"/>
    <x v="134"/>
    <x v="2"/>
    <x v="0"/>
    <x v="1"/>
    <x v="0"/>
    <n v="25.9"/>
    <n v="20"/>
    <n v="25.9"/>
    <n v="518"/>
    <x v="29"/>
    <x v="178"/>
    <x v="0"/>
    <n v="259"/>
    <n v="4.7619047620000003"/>
    <n v="259"/>
    <n v="10"/>
    <n v="96.089100000000002"/>
    <n v="21.9588"/>
  </r>
  <r>
    <x v="204"/>
    <x v="2"/>
    <x v="32"/>
    <x v="2"/>
    <x v="0"/>
    <x v="1"/>
    <x v="0"/>
    <n v="17.77"/>
    <n v="10"/>
    <n v="8.8849999999999998"/>
    <n v="177.7"/>
    <x v="154"/>
    <x v="179"/>
    <x v="2"/>
    <n v="88.85"/>
    <n v="4.7619047620000003"/>
    <n v="88.85"/>
    <n v="6.48"/>
    <n v="96.089100000000002"/>
    <n v="21.9588"/>
  </r>
  <r>
    <x v="205"/>
    <x v="0"/>
    <x v="170"/>
    <x v="0"/>
    <x v="1"/>
    <x v="0"/>
    <x v="0"/>
    <n v="23.03"/>
    <n v="9"/>
    <n v="10.3635"/>
    <n v="207.27"/>
    <x v="155"/>
    <x v="110"/>
    <x v="0"/>
    <n v="207.27"/>
    <n v="4.7619047620000003"/>
    <n v="0"/>
    <n v="7.9"/>
    <n v="96.173500000000004"/>
    <n v="16.840900000000001"/>
  </r>
  <r>
    <x v="206"/>
    <x v="1"/>
    <x v="171"/>
    <x v="1"/>
    <x v="0"/>
    <x v="0"/>
    <x v="0"/>
    <n v="66.650000000000006"/>
    <n v="15"/>
    <n v="49.987500000000004"/>
    <n v="999.75"/>
    <x v="156"/>
    <x v="96"/>
    <x v="2"/>
    <n v="599.85"/>
    <n v="4.7619047620000003"/>
    <n v="399.9"/>
    <n v="10"/>
    <n v="96.078500000000005"/>
    <n v="19.763300000000001"/>
  </r>
  <r>
    <x v="207"/>
    <x v="1"/>
    <x v="172"/>
    <x v="1"/>
    <x v="0"/>
    <x v="0"/>
    <x v="0"/>
    <n v="28.53"/>
    <n v="17"/>
    <n v="24.250500000000002"/>
    <n v="485.01"/>
    <x v="157"/>
    <x v="180"/>
    <x v="0"/>
    <n v="285.3"/>
    <n v="4.7619047620000003"/>
    <n v="199.71"/>
    <n v="8.19"/>
    <n v="96.078500000000005"/>
    <n v="19.763300000000001"/>
  </r>
  <r>
    <x v="208"/>
    <x v="2"/>
    <x v="45"/>
    <x v="2"/>
    <x v="1"/>
    <x v="0"/>
    <x v="0"/>
    <n v="30.37"/>
    <n v="4"/>
    <n v="6.0740000000000007"/>
    <n v="121.48"/>
    <x v="158"/>
    <x v="167"/>
    <x v="0"/>
    <n v="91.11"/>
    <n v="4.7619047620000003"/>
    <n v="30.37"/>
    <n v="6.12"/>
    <n v="96.089100000000002"/>
    <n v="21.9588"/>
  </r>
  <r>
    <x v="209"/>
    <x v="2"/>
    <x v="15"/>
    <x v="2"/>
    <x v="1"/>
    <x v="0"/>
    <x v="0"/>
    <n v="99.73"/>
    <n v="13"/>
    <n v="64.8245"/>
    <n v="1296.49"/>
    <x v="159"/>
    <x v="144"/>
    <x v="2"/>
    <n v="897.57"/>
    <n v="4.7619047620000003"/>
    <n v="398.92"/>
    <n v="7.8"/>
    <n v="96.089100000000002"/>
    <n v="21.9588"/>
  </r>
  <r>
    <x v="210"/>
    <x v="0"/>
    <x v="131"/>
    <x v="0"/>
    <x v="1"/>
    <x v="1"/>
    <x v="0"/>
    <n v="26.23"/>
    <n v="9"/>
    <n v="11.8035"/>
    <n v="236.07"/>
    <x v="160"/>
    <x v="181"/>
    <x v="0"/>
    <n v="236.07"/>
    <n v="4.7619047620000003"/>
    <n v="0"/>
    <n v="5.9"/>
    <n v="96.173500000000004"/>
    <n v="16.840900000000001"/>
  </r>
  <r>
    <x v="211"/>
    <x v="1"/>
    <x v="173"/>
    <x v="1"/>
    <x v="1"/>
    <x v="0"/>
    <x v="0"/>
    <n v="93.26"/>
    <n v="11"/>
    <n v="51.292999999999999"/>
    <n v="1025.8599999999999"/>
    <x v="161"/>
    <x v="182"/>
    <x v="1"/>
    <n v="839.34"/>
    <n v="4.7619047620000003"/>
    <n v="186.52"/>
    <n v="9.24"/>
    <n v="96.078500000000005"/>
    <n v="19.763300000000001"/>
  </r>
  <r>
    <x v="212"/>
    <x v="2"/>
    <x v="174"/>
    <x v="2"/>
    <x v="1"/>
    <x v="1"/>
    <x v="0"/>
    <n v="92.36"/>
    <n v="7"/>
    <n v="32.326000000000001"/>
    <n v="646.52"/>
    <x v="162"/>
    <x v="151"/>
    <x v="0"/>
    <n v="461.8"/>
    <n v="4.7619047620000003"/>
    <n v="184.72"/>
    <n v="5.88"/>
    <n v="96.089100000000002"/>
    <n v="21.9588"/>
  </r>
  <r>
    <x v="213"/>
    <x v="2"/>
    <x v="175"/>
    <x v="2"/>
    <x v="1"/>
    <x v="1"/>
    <x v="0"/>
    <n v="46.42"/>
    <n v="4"/>
    <n v="9.2840000000000007"/>
    <n v="185.68"/>
    <x v="154"/>
    <x v="38"/>
    <x v="2"/>
    <n v="139.26"/>
    <n v="4.7619047620000003"/>
    <n v="46.42"/>
    <n v="5.28"/>
    <n v="96.089100000000002"/>
    <n v="21.9588"/>
  </r>
  <r>
    <x v="214"/>
    <x v="2"/>
    <x v="176"/>
    <x v="2"/>
    <x v="0"/>
    <x v="0"/>
    <x v="0"/>
    <n v="29.61"/>
    <n v="14"/>
    <n v="20.727"/>
    <n v="414.54"/>
    <x v="163"/>
    <x v="183"/>
    <x v="1"/>
    <n v="207.27"/>
    <n v="4.7619047620000003"/>
    <n v="207.27"/>
    <n v="7.8"/>
    <n v="96.089100000000002"/>
    <n v="21.9588"/>
  </r>
  <r>
    <x v="215"/>
    <x v="0"/>
    <x v="177"/>
    <x v="0"/>
    <x v="1"/>
    <x v="1"/>
    <x v="0"/>
    <n v="18.28"/>
    <n v="1"/>
    <n v="0.91400000000000003"/>
    <n v="18.28"/>
    <x v="164"/>
    <x v="184"/>
    <x v="2"/>
    <n v="18.28"/>
    <n v="4.7619047620000003"/>
    <n v="0"/>
    <n v="8.3000000000000007"/>
    <n v="96.173500000000004"/>
    <n v="16.840900000000001"/>
  </r>
  <r>
    <x v="216"/>
    <x v="2"/>
    <x v="147"/>
    <x v="2"/>
    <x v="1"/>
    <x v="0"/>
    <x v="0"/>
    <n v="24.77"/>
    <n v="7"/>
    <n v="8.6694999999999993"/>
    <n v="173.39"/>
    <x v="165"/>
    <x v="185"/>
    <x v="1"/>
    <n v="123.85"/>
    <n v="4.7619047620000003"/>
    <n v="49.54"/>
    <n v="10"/>
    <n v="96.089100000000002"/>
    <n v="21.9588"/>
  </r>
  <r>
    <x v="217"/>
    <x v="0"/>
    <x v="178"/>
    <x v="0"/>
    <x v="0"/>
    <x v="0"/>
    <x v="0"/>
    <n v="94.64"/>
    <n v="4"/>
    <n v="18.928000000000001"/>
    <n v="378.56"/>
    <x v="166"/>
    <x v="186"/>
    <x v="1"/>
    <n v="283.92"/>
    <n v="4.7619047620000003"/>
    <n v="94.64"/>
    <n v="5.5"/>
    <n v="96.173500000000004"/>
    <n v="16.840900000000001"/>
  </r>
  <r>
    <x v="218"/>
    <x v="2"/>
    <x v="179"/>
    <x v="2"/>
    <x v="1"/>
    <x v="1"/>
    <x v="0"/>
    <n v="94.87"/>
    <n v="11"/>
    <n v="52.1785"/>
    <n v="1043.57"/>
    <x v="66"/>
    <x v="187"/>
    <x v="0"/>
    <n v="758.96"/>
    <n v="4.7619047620000003"/>
    <n v="284.61"/>
    <n v="10"/>
    <n v="96.089100000000002"/>
    <n v="21.9588"/>
  </r>
  <r>
    <x v="219"/>
    <x v="2"/>
    <x v="102"/>
    <x v="2"/>
    <x v="1"/>
    <x v="0"/>
    <x v="0"/>
    <n v="57.34"/>
    <n v="4"/>
    <n v="11.468"/>
    <n v="229.36"/>
    <x v="157"/>
    <x v="188"/>
    <x v="2"/>
    <n v="172.02"/>
    <n v="4.7619047620000003"/>
    <n v="57.34"/>
    <n v="9.48"/>
    <n v="96.089100000000002"/>
    <n v="21.9588"/>
  </r>
  <r>
    <x v="220"/>
    <x v="2"/>
    <x v="180"/>
    <x v="2"/>
    <x v="1"/>
    <x v="1"/>
    <x v="0"/>
    <n v="45.35"/>
    <n v="8"/>
    <n v="18.14"/>
    <n v="362.8"/>
    <x v="162"/>
    <x v="189"/>
    <x v="0"/>
    <n v="272.10000000000002"/>
    <n v="4.7619047620000003"/>
    <n v="90.7"/>
    <n v="7.32"/>
    <n v="96.089100000000002"/>
    <n v="21.9588"/>
  </r>
  <r>
    <x v="221"/>
    <x v="2"/>
    <x v="44"/>
    <x v="2"/>
    <x v="1"/>
    <x v="1"/>
    <x v="0"/>
    <n v="62.08"/>
    <n v="10"/>
    <n v="31.04"/>
    <n v="620.79999999999995"/>
    <x v="167"/>
    <x v="190"/>
    <x v="0"/>
    <n v="434.56"/>
    <n v="4.7619047620000003"/>
    <n v="186.24"/>
    <n v="6.48"/>
    <n v="96.089100000000002"/>
    <n v="21.9588"/>
  </r>
  <r>
    <x v="222"/>
    <x v="1"/>
    <x v="181"/>
    <x v="1"/>
    <x v="1"/>
    <x v="1"/>
    <x v="0"/>
    <n v="11.81"/>
    <n v="6"/>
    <n v="3.5430000000000001"/>
    <n v="70.86"/>
    <x v="168"/>
    <x v="191"/>
    <x v="1"/>
    <n v="59.05"/>
    <n v="4.7619047620000003"/>
    <n v="11.81"/>
    <n v="9.8699999999999992"/>
    <n v="96.078500000000005"/>
    <n v="19.763300000000001"/>
  </r>
  <r>
    <x v="223"/>
    <x v="1"/>
    <x v="182"/>
    <x v="1"/>
    <x v="0"/>
    <x v="0"/>
    <x v="0"/>
    <n v="12.54"/>
    <n v="1"/>
    <n v="0.627"/>
    <n v="12.54"/>
    <x v="169"/>
    <x v="192"/>
    <x v="1"/>
    <n v="12.54"/>
    <n v="4.7619047620000003"/>
    <n v="0"/>
    <n v="8.61"/>
    <n v="96.078500000000005"/>
    <n v="19.763300000000001"/>
  </r>
  <r>
    <x v="224"/>
    <x v="0"/>
    <x v="183"/>
    <x v="0"/>
    <x v="1"/>
    <x v="1"/>
    <x v="0"/>
    <n v="43.25"/>
    <n v="2"/>
    <n v="4.3250000000000002"/>
    <n v="86.5"/>
    <x v="170"/>
    <x v="193"/>
    <x v="1"/>
    <n v="86.5"/>
    <n v="4.7619047620000003"/>
    <n v="0"/>
    <n v="6.2"/>
    <n v="96.173500000000004"/>
    <n v="16.840900000000001"/>
  </r>
  <r>
    <x v="225"/>
    <x v="1"/>
    <x v="184"/>
    <x v="1"/>
    <x v="0"/>
    <x v="0"/>
    <x v="0"/>
    <n v="87.16"/>
    <n v="3"/>
    <n v="13.074"/>
    <n v="261.48"/>
    <x v="133"/>
    <x v="194"/>
    <x v="2"/>
    <n v="174.32"/>
    <n v="4.7619047620000003"/>
    <n v="87.16"/>
    <n v="10"/>
    <n v="96.078500000000005"/>
    <n v="19.763300000000001"/>
  </r>
  <r>
    <x v="226"/>
    <x v="2"/>
    <x v="147"/>
    <x v="2"/>
    <x v="0"/>
    <x v="1"/>
    <x v="0"/>
    <n v="69.37"/>
    <n v="18"/>
    <n v="62.433"/>
    <n v="1248.6600000000001"/>
    <x v="72"/>
    <x v="195"/>
    <x v="0"/>
    <n v="624.33000000000004"/>
    <n v="4.7619047620000003"/>
    <n v="624.33000000000004"/>
    <n v="4.8"/>
    <n v="96.089100000000002"/>
    <n v="21.9588"/>
  </r>
  <r>
    <x v="227"/>
    <x v="1"/>
    <x v="185"/>
    <x v="1"/>
    <x v="0"/>
    <x v="1"/>
    <x v="0"/>
    <n v="37.06"/>
    <n v="7"/>
    <n v="12.971"/>
    <n v="259.42"/>
    <x v="47"/>
    <x v="75"/>
    <x v="0"/>
    <n v="148.24"/>
    <n v="4.7619047620000003"/>
    <n v="111.18"/>
    <n v="7.46"/>
    <n v="96.078500000000005"/>
    <n v="19.763300000000001"/>
  </r>
  <r>
    <x v="228"/>
    <x v="2"/>
    <x v="186"/>
    <x v="2"/>
    <x v="0"/>
    <x v="0"/>
    <x v="0"/>
    <n v="90.7"/>
    <n v="11"/>
    <n v="49.884999999999998"/>
    <n v="997.7"/>
    <x v="171"/>
    <x v="196"/>
    <x v="1"/>
    <n v="544.20000000000005"/>
    <n v="4.7619047620000003"/>
    <n v="453.5"/>
    <n v="7.46"/>
    <n v="96.089100000000002"/>
    <n v="21.9588"/>
  </r>
  <r>
    <x v="229"/>
    <x v="0"/>
    <x v="36"/>
    <x v="0"/>
    <x v="1"/>
    <x v="0"/>
    <x v="0"/>
    <n v="63.42"/>
    <n v="8"/>
    <n v="25.367999999999999"/>
    <n v="507.36"/>
    <x v="15"/>
    <x v="197"/>
    <x v="0"/>
    <n v="507.36"/>
    <n v="4.7619047620000003"/>
    <n v="0"/>
    <n v="7.46"/>
    <n v="96.173500000000004"/>
    <n v="16.840900000000001"/>
  </r>
  <r>
    <x v="230"/>
    <x v="2"/>
    <x v="32"/>
    <x v="2"/>
    <x v="1"/>
    <x v="0"/>
    <x v="0"/>
    <n v="81.37"/>
    <n v="3"/>
    <n v="12.205500000000001"/>
    <n v="244.11"/>
    <x v="172"/>
    <x v="198"/>
    <x v="1"/>
    <n v="162.74"/>
    <n v="4.7619047620000003"/>
    <n v="81.37"/>
    <n v="7.46"/>
    <n v="96.089100000000002"/>
    <n v="21.9588"/>
  </r>
  <r>
    <x v="231"/>
    <x v="2"/>
    <x v="187"/>
    <x v="2"/>
    <x v="0"/>
    <x v="0"/>
    <x v="0"/>
    <n v="10.59"/>
    <n v="6"/>
    <n v="3.177"/>
    <n v="63.54"/>
    <x v="58"/>
    <x v="199"/>
    <x v="2"/>
    <n v="31.77"/>
    <n v="4.7619047620000003"/>
    <n v="31.77"/>
    <n v="7.46"/>
    <n v="96.089100000000002"/>
    <n v="21.9588"/>
  </r>
  <r>
    <x v="232"/>
    <x v="2"/>
    <x v="9"/>
    <x v="2"/>
    <x v="1"/>
    <x v="0"/>
    <x v="0"/>
    <n v="84.09"/>
    <n v="13"/>
    <n v="54.658499999999997"/>
    <n v="1093.17"/>
    <x v="14"/>
    <x v="200"/>
    <x v="1"/>
    <n v="756.81"/>
    <n v="4.7619047620000003"/>
    <n v="336.36"/>
    <n v="7.46"/>
    <n v="96.089100000000002"/>
    <n v="21.9588"/>
  </r>
  <r>
    <x v="233"/>
    <x v="2"/>
    <x v="82"/>
    <x v="2"/>
    <x v="0"/>
    <x v="1"/>
    <x v="0"/>
    <n v="73.819999999999993"/>
    <n v="8"/>
    <n v="29.527999999999999"/>
    <n v="590.55999999999995"/>
    <x v="173"/>
    <x v="201"/>
    <x v="1"/>
    <n v="295.27999999999997"/>
    <n v="4.7619047620000003"/>
    <n v="295.27999999999997"/>
    <n v="7.46"/>
    <n v="96.089100000000002"/>
    <n v="21.9588"/>
  </r>
  <r>
    <x v="234"/>
    <x v="0"/>
    <x v="188"/>
    <x v="0"/>
    <x v="1"/>
    <x v="1"/>
    <x v="0"/>
    <n v="51.94"/>
    <n v="10"/>
    <n v="25.97"/>
    <n v="519.4"/>
    <x v="26"/>
    <x v="202"/>
    <x v="0"/>
    <n v="519.4"/>
    <n v="4.7619047620000003"/>
    <n v="0"/>
    <n v="7.46"/>
    <n v="96.173500000000004"/>
    <n v="16.840900000000001"/>
  </r>
  <r>
    <x v="235"/>
    <x v="0"/>
    <x v="189"/>
    <x v="0"/>
    <x v="1"/>
    <x v="0"/>
    <x v="0"/>
    <n v="93.14"/>
    <n v="2"/>
    <n v="9.3140000000000001"/>
    <n v="186.28"/>
    <x v="153"/>
    <x v="203"/>
    <x v="0"/>
    <n v="186.28"/>
    <n v="4.7619047620000003"/>
    <n v="0"/>
    <n v="7.46"/>
    <n v="96.173500000000004"/>
    <n v="16.840900000000001"/>
  </r>
  <r>
    <x v="236"/>
    <x v="1"/>
    <x v="190"/>
    <x v="1"/>
    <x v="1"/>
    <x v="1"/>
    <x v="0"/>
    <n v="17.41"/>
    <n v="6"/>
    <n v="5.2229999999999999"/>
    <n v="104.46"/>
    <x v="174"/>
    <x v="204"/>
    <x v="2"/>
    <n v="87.05"/>
    <n v="4.7619047620000003"/>
    <n v="17.41"/>
    <n v="7.46"/>
    <n v="96.078500000000005"/>
    <n v="19.763300000000001"/>
  </r>
  <r>
    <x v="237"/>
    <x v="1"/>
    <x v="74"/>
    <x v="1"/>
    <x v="1"/>
    <x v="0"/>
    <x v="0"/>
    <n v="44.22"/>
    <n v="6"/>
    <n v="13.266"/>
    <n v="265.32"/>
    <x v="175"/>
    <x v="205"/>
    <x v="2"/>
    <n v="221.1"/>
    <n v="4.7619047620000003"/>
    <n v="44.22"/>
    <n v="7.46"/>
    <n v="96.078500000000005"/>
    <n v="19.763300000000001"/>
  </r>
  <r>
    <x v="238"/>
    <x v="2"/>
    <x v="191"/>
    <x v="2"/>
    <x v="1"/>
    <x v="0"/>
    <x v="0"/>
    <n v="13.22"/>
    <n v="7"/>
    <n v="4.6269999999999998"/>
    <n v="92.54"/>
    <x v="176"/>
    <x v="206"/>
    <x v="1"/>
    <n v="66.099999999999994"/>
    <n v="4.7619047620000003"/>
    <n v="26.44"/>
    <n v="5.16"/>
    <n v="96.089100000000002"/>
    <n v="21.9588"/>
  </r>
  <r>
    <x v="239"/>
    <x v="0"/>
    <x v="25"/>
    <x v="0"/>
    <x v="1"/>
    <x v="1"/>
    <x v="0"/>
    <n v="89.69"/>
    <n v="1"/>
    <n v="4.4844999999999997"/>
    <n v="89.69"/>
    <x v="177"/>
    <x v="207"/>
    <x v="0"/>
    <n v="89.69"/>
    <n v="4.7619047620000003"/>
    <n v="0"/>
    <n v="4.9000000000000004"/>
    <n v="96.173500000000004"/>
    <n v="16.840900000000001"/>
  </r>
  <r>
    <x v="240"/>
    <x v="0"/>
    <x v="192"/>
    <x v="0"/>
    <x v="1"/>
    <x v="1"/>
    <x v="0"/>
    <n v="24.94"/>
    <n v="9"/>
    <n v="11.223000000000001"/>
    <n v="224.46"/>
    <x v="7"/>
    <x v="208"/>
    <x v="2"/>
    <n v="224.46"/>
    <n v="4.7619047620000003"/>
    <n v="0"/>
    <n v="5.6"/>
    <n v="96.173500000000004"/>
    <n v="16.840900000000001"/>
  </r>
  <r>
    <x v="241"/>
    <x v="0"/>
    <x v="12"/>
    <x v="0"/>
    <x v="1"/>
    <x v="1"/>
    <x v="0"/>
    <n v="59.77"/>
    <n v="2"/>
    <n v="5.9770000000000003"/>
    <n v="119.54"/>
    <x v="178"/>
    <x v="209"/>
    <x v="2"/>
    <n v="119.54"/>
    <n v="4.7619047620000003"/>
    <n v="0"/>
    <n v="5.8"/>
    <n v="96.173500000000004"/>
    <n v="16.840900000000001"/>
  </r>
  <r>
    <x v="242"/>
    <x v="1"/>
    <x v="193"/>
    <x v="1"/>
    <x v="1"/>
    <x v="1"/>
    <x v="0"/>
    <n v="93.2"/>
    <n v="2"/>
    <n v="9.32"/>
    <n v="186.4"/>
    <x v="179"/>
    <x v="78"/>
    <x v="2"/>
    <n v="186.4"/>
    <n v="4.7619047620000003"/>
    <n v="0"/>
    <n v="6.3"/>
    <n v="96.078500000000005"/>
    <n v="19.763300000000001"/>
  </r>
  <r>
    <x v="243"/>
    <x v="0"/>
    <x v="194"/>
    <x v="0"/>
    <x v="1"/>
    <x v="1"/>
    <x v="0"/>
    <n v="62.65"/>
    <n v="4"/>
    <n v="12.53"/>
    <n v="250.6"/>
    <x v="180"/>
    <x v="210"/>
    <x v="1"/>
    <n v="250.6"/>
    <n v="4.7619047620000003"/>
    <n v="0"/>
    <n v="4.2"/>
    <n v="96.173500000000004"/>
    <n v="16.840900000000001"/>
  </r>
  <r>
    <x v="244"/>
    <x v="2"/>
    <x v="195"/>
    <x v="2"/>
    <x v="1"/>
    <x v="1"/>
    <x v="0"/>
    <n v="93.87"/>
    <n v="11"/>
    <n v="51.628500000000003"/>
    <n v="1032.57"/>
    <x v="5"/>
    <x v="211"/>
    <x v="2"/>
    <n v="750.96"/>
    <n v="4.7619047620000003"/>
    <n v="281.61"/>
    <n v="9.9600000000000009"/>
    <n v="96.089100000000002"/>
    <n v="21.9588"/>
  </r>
  <r>
    <x v="245"/>
    <x v="0"/>
    <x v="196"/>
    <x v="0"/>
    <x v="1"/>
    <x v="1"/>
    <x v="0"/>
    <n v="47.59"/>
    <n v="8"/>
    <n v="19.036000000000001"/>
    <n v="380.72"/>
    <x v="116"/>
    <x v="212"/>
    <x v="1"/>
    <n v="380.72"/>
    <n v="4.7619047620000003"/>
    <n v="0"/>
    <n v="5.7"/>
    <n v="96.173500000000004"/>
    <n v="16.840900000000001"/>
  </r>
  <r>
    <x v="246"/>
    <x v="2"/>
    <x v="133"/>
    <x v="2"/>
    <x v="1"/>
    <x v="0"/>
    <x v="0"/>
    <n v="81.400000000000006"/>
    <n v="4"/>
    <n v="16.28"/>
    <n v="325.60000000000002"/>
    <x v="133"/>
    <x v="213"/>
    <x v="1"/>
    <n v="244.2"/>
    <n v="4.7619047620000003"/>
    <n v="81.400000000000006"/>
    <n v="5.76"/>
    <n v="96.089100000000002"/>
    <n v="21.9588"/>
  </r>
  <r>
    <x v="247"/>
    <x v="0"/>
    <x v="197"/>
    <x v="0"/>
    <x v="1"/>
    <x v="1"/>
    <x v="0"/>
    <n v="17.940000000000001"/>
    <n v="5"/>
    <n v="4.4850000000000003"/>
    <n v="89.7"/>
    <x v="99"/>
    <x v="214"/>
    <x v="0"/>
    <n v="89.7"/>
    <n v="4.7619047620000003"/>
    <n v="0"/>
    <n v="6.8"/>
    <n v="96.173500000000004"/>
    <n v="16.840900000000001"/>
  </r>
  <r>
    <x v="248"/>
    <x v="0"/>
    <x v="198"/>
    <x v="0"/>
    <x v="1"/>
    <x v="0"/>
    <x v="0"/>
    <n v="77.72"/>
    <n v="4"/>
    <n v="15.544"/>
    <n v="310.88"/>
    <x v="181"/>
    <x v="215"/>
    <x v="2"/>
    <n v="310.88"/>
    <n v="4.7619047620000003"/>
    <n v="0"/>
    <n v="8.8000000000000007"/>
    <n v="96.173500000000004"/>
    <n v="16.840900000000001"/>
  </r>
  <r>
    <x v="249"/>
    <x v="2"/>
    <x v="22"/>
    <x v="2"/>
    <x v="1"/>
    <x v="0"/>
    <x v="0"/>
    <n v="73.06"/>
    <n v="10"/>
    <n v="36.53"/>
    <n v="730.6"/>
    <x v="21"/>
    <x v="216"/>
    <x v="2"/>
    <n v="511.42"/>
    <n v="4.7619047620000003"/>
    <n v="219.18"/>
    <n v="5.04"/>
    <n v="96.089100000000002"/>
    <n v="21.9588"/>
  </r>
  <r>
    <x v="250"/>
    <x v="0"/>
    <x v="199"/>
    <x v="2"/>
    <x v="1"/>
    <x v="0"/>
    <x v="0"/>
    <n v="46.55"/>
    <n v="13"/>
    <n v="30.2575"/>
    <n v="605.15"/>
    <x v="154"/>
    <x v="217"/>
    <x v="0"/>
    <n v="418.95"/>
    <n v="4.7619047620000003"/>
    <n v="186.2"/>
    <n v="7.68"/>
    <n v="96.089100000000002"/>
    <n v="21.9588"/>
  </r>
  <r>
    <x v="251"/>
    <x v="0"/>
    <x v="200"/>
    <x v="1"/>
    <x v="1"/>
    <x v="1"/>
    <x v="0"/>
    <n v="35.19"/>
    <n v="12"/>
    <n v="21.114000000000001"/>
    <n v="422.28"/>
    <x v="109"/>
    <x v="216"/>
    <x v="2"/>
    <n v="351.9"/>
    <n v="4.7619047620000003"/>
    <n v="70.38"/>
    <n v="8.82"/>
    <n v="96.078500000000005"/>
    <n v="19.763300000000001"/>
  </r>
  <r>
    <x v="252"/>
    <x v="0"/>
    <x v="201"/>
    <x v="1"/>
    <x v="1"/>
    <x v="0"/>
    <x v="0"/>
    <n v="14.39"/>
    <n v="2"/>
    <n v="1.4390000000000001"/>
    <n v="28.78"/>
    <x v="182"/>
    <x v="143"/>
    <x v="2"/>
    <n v="28.78"/>
    <n v="4.7619047620000003"/>
    <n v="0"/>
    <n v="7.56"/>
    <n v="96.078500000000005"/>
    <n v="19.763300000000001"/>
  </r>
  <r>
    <x v="253"/>
    <x v="0"/>
    <x v="202"/>
    <x v="0"/>
    <x v="1"/>
    <x v="1"/>
    <x v="0"/>
    <n v="23.75"/>
    <n v="4"/>
    <n v="4.75"/>
    <n v="95"/>
    <x v="53"/>
    <x v="218"/>
    <x v="1"/>
    <n v="95"/>
    <n v="4.7619047620000003"/>
    <n v="0"/>
    <n v="5.2"/>
    <n v="96.173500000000004"/>
    <n v="16.840900000000001"/>
  </r>
  <r>
    <x v="254"/>
    <x v="0"/>
    <x v="125"/>
    <x v="0"/>
    <x v="1"/>
    <x v="1"/>
    <x v="0"/>
    <n v="58.9"/>
    <n v="8"/>
    <n v="23.56"/>
    <n v="471.2"/>
    <x v="183"/>
    <x v="219"/>
    <x v="1"/>
    <n v="471.2"/>
    <n v="4.7619047620000003"/>
    <n v="0"/>
    <n v="8.9"/>
    <n v="96.173500000000004"/>
    <n v="16.840900000000001"/>
  </r>
  <r>
    <x v="255"/>
    <x v="0"/>
    <x v="203"/>
    <x v="2"/>
    <x v="1"/>
    <x v="1"/>
    <x v="0"/>
    <n v="32.619999999999997"/>
    <n v="6"/>
    <n v="9.7859999999999996"/>
    <n v="195.72"/>
    <x v="150"/>
    <x v="146"/>
    <x v="1"/>
    <n v="130.47999999999999"/>
    <n v="4.7619047620000003"/>
    <n v="65.239999999999995"/>
    <n v="10"/>
    <n v="96.089100000000002"/>
    <n v="21.9588"/>
  </r>
  <r>
    <x v="256"/>
    <x v="0"/>
    <x v="204"/>
    <x v="0"/>
    <x v="1"/>
    <x v="1"/>
    <x v="0"/>
    <n v="66.349999999999994"/>
    <n v="1"/>
    <n v="3.3174999999999999"/>
    <n v="66.349999999999994"/>
    <x v="184"/>
    <x v="220"/>
    <x v="2"/>
    <n v="66.349999999999994"/>
    <n v="4.7619047620000003"/>
    <n v="0"/>
    <n v="9.6999999999999993"/>
    <n v="96.173500000000004"/>
    <n v="16.840900000000001"/>
  </r>
  <r>
    <x v="257"/>
    <x v="0"/>
    <x v="205"/>
    <x v="0"/>
    <x v="1"/>
    <x v="1"/>
    <x v="0"/>
    <n v="25.91"/>
    <n v="6"/>
    <n v="7.7729999999999997"/>
    <n v="155.46"/>
    <x v="185"/>
    <x v="91"/>
    <x v="0"/>
    <n v="155.46"/>
    <n v="4.7619047620000003"/>
    <n v="0"/>
    <n v="8.6999999999999993"/>
    <n v="96.173500000000004"/>
    <n v="16.840900000000001"/>
  </r>
  <r>
    <x v="258"/>
    <x v="0"/>
    <x v="206"/>
    <x v="0"/>
    <x v="1"/>
    <x v="1"/>
    <x v="0"/>
    <n v="32.25"/>
    <n v="4"/>
    <n v="6.45"/>
    <n v="129"/>
    <x v="186"/>
    <x v="192"/>
    <x v="0"/>
    <n v="129"/>
    <n v="4.7619047620000003"/>
    <n v="0"/>
    <n v="6.5"/>
    <n v="96.173500000000004"/>
    <n v="16.840900000000001"/>
  </r>
  <r>
    <x v="259"/>
    <x v="1"/>
    <x v="207"/>
    <x v="1"/>
    <x v="1"/>
    <x v="1"/>
    <x v="0"/>
    <n v="65.94"/>
    <n v="5"/>
    <n v="16.484999999999999"/>
    <n v="329.7"/>
    <x v="187"/>
    <x v="137"/>
    <x v="2"/>
    <n v="263.76"/>
    <n v="4.7619047620000003"/>
    <n v="65.94"/>
    <n v="7.2450000000000001"/>
    <n v="96.078500000000005"/>
    <n v="19.763300000000001"/>
  </r>
  <r>
    <x v="260"/>
    <x v="0"/>
    <x v="58"/>
    <x v="0"/>
    <x v="1"/>
    <x v="0"/>
    <x v="0"/>
    <n v="75.06"/>
    <n v="9"/>
    <n v="33.777000000000001"/>
    <n v="675.54"/>
    <x v="130"/>
    <x v="221"/>
    <x v="0"/>
    <n v="675.54"/>
    <n v="4.7619047620000003"/>
    <n v="0"/>
    <n v="6.2"/>
    <n v="96.173500000000004"/>
    <n v="16.840900000000001"/>
  </r>
  <r>
    <x v="261"/>
    <x v="1"/>
    <x v="208"/>
    <x v="1"/>
    <x v="1"/>
    <x v="0"/>
    <x v="0"/>
    <n v="16.45"/>
    <n v="5"/>
    <n v="4.1124999999999998"/>
    <n v="82.25"/>
    <x v="184"/>
    <x v="222"/>
    <x v="0"/>
    <n v="65.8"/>
    <n v="4.7619047620000003"/>
    <n v="16.45"/>
    <n v="5.88"/>
    <n v="96.078500000000005"/>
    <n v="19.763300000000001"/>
  </r>
  <r>
    <x v="262"/>
    <x v="2"/>
    <x v="10"/>
    <x v="2"/>
    <x v="1"/>
    <x v="0"/>
    <x v="0"/>
    <n v="38.299999999999997"/>
    <n v="6"/>
    <n v="11.49"/>
    <n v="229.8"/>
    <x v="188"/>
    <x v="223"/>
    <x v="1"/>
    <n v="153.19999999999999"/>
    <n v="4.7619047620000003"/>
    <n v="76.599999999999994"/>
    <n v="6.84"/>
    <n v="96.089100000000002"/>
    <n v="21.9588"/>
  </r>
  <r>
    <x v="263"/>
    <x v="0"/>
    <x v="209"/>
    <x v="0"/>
    <x v="0"/>
    <x v="0"/>
    <x v="0"/>
    <n v="22.24"/>
    <n v="14"/>
    <n v="15.568"/>
    <n v="311.36"/>
    <x v="43"/>
    <x v="224"/>
    <x v="1"/>
    <n v="222.4"/>
    <n v="4.7619047620000003"/>
    <n v="88.96"/>
    <n v="4.2"/>
    <n v="96.173500000000004"/>
    <n v="16.840900000000001"/>
  </r>
  <r>
    <x v="264"/>
    <x v="2"/>
    <x v="210"/>
    <x v="2"/>
    <x v="1"/>
    <x v="1"/>
    <x v="0"/>
    <n v="54.45"/>
    <n v="1"/>
    <n v="2.7225000000000001"/>
    <n v="54.45"/>
    <x v="189"/>
    <x v="225"/>
    <x v="0"/>
    <n v="54.45"/>
    <n v="4.7619047620000003"/>
    <n v="0"/>
    <n v="9.48"/>
    <n v="96.089100000000002"/>
    <n v="21.9588"/>
  </r>
  <r>
    <x v="265"/>
    <x v="0"/>
    <x v="211"/>
    <x v="0"/>
    <x v="0"/>
    <x v="0"/>
    <x v="3"/>
    <n v="98.4"/>
    <n v="10"/>
    <n v="49.2"/>
    <n v="984"/>
    <x v="190"/>
    <x v="31"/>
    <x v="2"/>
    <n v="688.8"/>
    <n v="4.7619047620000003"/>
    <n v="295.2"/>
    <n v="8.6999999999999993"/>
    <n v="96.173500000000004"/>
    <n v="16.840900000000001"/>
  </r>
  <r>
    <x v="266"/>
    <x v="1"/>
    <x v="208"/>
    <x v="1"/>
    <x v="1"/>
    <x v="1"/>
    <x v="4"/>
    <n v="35.47"/>
    <n v="5"/>
    <n v="8.8674999999999997"/>
    <n v="177.35"/>
    <x v="191"/>
    <x v="226"/>
    <x v="2"/>
    <n v="141.88"/>
    <n v="4.7619047620000003"/>
    <n v="35.47"/>
    <n v="7.2450000000000001"/>
    <n v="96.078500000000005"/>
    <n v="19.763300000000001"/>
  </r>
  <r>
    <x v="267"/>
    <x v="2"/>
    <x v="132"/>
    <x v="2"/>
    <x v="0"/>
    <x v="0"/>
    <x v="2"/>
    <n v="74.599999999999994"/>
    <n v="20"/>
    <n v="74.599999999999994"/>
    <n v="1492"/>
    <x v="31"/>
    <x v="227"/>
    <x v="1"/>
    <n v="746"/>
    <n v="4.7619047620000003"/>
    <n v="746"/>
    <n v="10"/>
    <n v="96.089100000000002"/>
    <n v="21.9588"/>
  </r>
  <r>
    <x v="268"/>
    <x v="0"/>
    <x v="212"/>
    <x v="0"/>
    <x v="0"/>
    <x v="1"/>
    <x v="4"/>
    <n v="70.739999999999995"/>
    <n v="6"/>
    <n v="21.222000000000001"/>
    <n v="424.44"/>
    <x v="192"/>
    <x v="228"/>
    <x v="2"/>
    <n v="282.95999999999998"/>
    <n v="4.7619047620000003"/>
    <n v="141.47999999999999"/>
    <n v="4.4000000000000004"/>
    <n v="96.173500000000004"/>
    <n v="16.840900000000001"/>
  </r>
  <r>
    <x v="269"/>
    <x v="0"/>
    <x v="99"/>
    <x v="0"/>
    <x v="0"/>
    <x v="0"/>
    <x v="4"/>
    <n v="35.54"/>
    <n v="14"/>
    <n v="24.878"/>
    <n v="497.56"/>
    <x v="84"/>
    <x v="229"/>
    <x v="0"/>
    <n v="355.4"/>
    <n v="4.7619047620000003"/>
    <n v="142.16"/>
    <n v="7"/>
    <n v="96.173500000000004"/>
    <n v="16.840900000000001"/>
  </r>
  <r>
    <x v="270"/>
    <x v="2"/>
    <x v="46"/>
    <x v="2"/>
    <x v="1"/>
    <x v="0"/>
    <x v="3"/>
    <n v="67.430000000000007"/>
    <n v="7"/>
    <n v="23.6005"/>
    <n v="472.01"/>
    <x v="37"/>
    <x v="230"/>
    <x v="0"/>
    <n v="337.15"/>
    <n v="4.7619047620000003"/>
    <n v="134.86000000000001"/>
    <n v="7.56"/>
    <n v="96.089100000000002"/>
    <n v="21.9588"/>
  </r>
  <r>
    <x v="271"/>
    <x v="1"/>
    <x v="213"/>
    <x v="1"/>
    <x v="0"/>
    <x v="0"/>
    <x v="0"/>
    <n v="21.12"/>
    <n v="3"/>
    <n v="3.1680000000000001"/>
    <n v="63.36"/>
    <x v="76"/>
    <x v="151"/>
    <x v="1"/>
    <n v="42.24"/>
    <n v="4.7619047620000003"/>
    <n v="21.12"/>
    <n v="10"/>
    <n v="96.078500000000005"/>
    <n v="19.763300000000001"/>
  </r>
  <r>
    <x v="272"/>
    <x v="0"/>
    <x v="214"/>
    <x v="0"/>
    <x v="0"/>
    <x v="0"/>
    <x v="4"/>
    <n v="21.54"/>
    <n v="13"/>
    <n v="14.000999999999999"/>
    <n v="280.02"/>
    <x v="193"/>
    <x v="231"/>
    <x v="2"/>
    <n v="193.86"/>
    <n v="4.7619047620000003"/>
    <n v="86.16"/>
    <n v="8.8000000000000007"/>
    <n v="96.173500000000004"/>
    <n v="16.840900000000001"/>
  </r>
  <r>
    <x v="273"/>
    <x v="0"/>
    <x v="178"/>
    <x v="0"/>
    <x v="1"/>
    <x v="0"/>
    <x v="4"/>
    <n v="12.03"/>
    <n v="2"/>
    <n v="1.2030000000000001"/>
    <n v="24.06"/>
    <x v="194"/>
    <x v="232"/>
    <x v="1"/>
    <n v="24.06"/>
    <n v="4.7619047620000003"/>
    <n v="0"/>
    <n v="5.0999999999999996"/>
    <n v="96.173500000000004"/>
    <n v="16.840900000000001"/>
  </r>
  <r>
    <x v="274"/>
    <x v="2"/>
    <x v="215"/>
    <x v="2"/>
    <x v="1"/>
    <x v="0"/>
    <x v="0"/>
    <n v="99.71"/>
    <n v="8"/>
    <n v="39.884"/>
    <n v="797.68"/>
    <x v="85"/>
    <x v="233"/>
    <x v="0"/>
    <n v="598.26"/>
    <n v="4.7619047620000003"/>
    <n v="199.42"/>
    <n v="9.48"/>
    <n v="96.089100000000002"/>
    <n v="21.9588"/>
  </r>
  <r>
    <x v="275"/>
    <x v="2"/>
    <x v="216"/>
    <x v="2"/>
    <x v="1"/>
    <x v="1"/>
    <x v="5"/>
    <n v="47.97"/>
    <n v="10"/>
    <n v="23.984999999999999"/>
    <n v="479.7"/>
    <x v="195"/>
    <x v="234"/>
    <x v="1"/>
    <n v="335.79"/>
    <n v="4.7619047620000003"/>
    <n v="143.91"/>
    <n v="7.44"/>
    <n v="96.089100000000002"/>
    <n v="21.9588"/>
  </r>
  <r>
    <x v="276"/>
    <x v="1"/>
    <x v="70"/>
    <x v="1"/>
    <x v="0"/>
    <x v="0"/>
    <x v="4"/>
    <n v="21.82"/>
    <n v="17"/>
    <n v="18.547000000000001"/>
    <n v="370.94"/>
    <x v="167"/>
    <x v="24"/>
    <x v="1"/>
    <n v="218.2"/>
    <n v="4.7619047620000003"/>
    <n v="152.74"/>
    <n v="7.4550000000000001"/>
    <n v="96.078500000000005"/>
    <n v="19.763300000000001"/>
  </r>
  <r>
    <x v="277"/>
    <x v="1"/>
    <x v="217"/>
    <x v="1"/>
    <x v="1"/>
    <x v="0"/>
    <x v="5"/>
    <n v="95.42"/>
    <n v="5"/>
    <n v="23.855"/>
    <n v="477.1"/>
    <x v="40"/>
    <x v="2"/>
    <x v="0"/>
    <n v="381.68"/>
    <n v="4.7619047620000003"/>
    <n v="95.42"/>
    <n v="6.72"/>
    <n v="96.078500000000005"/>
    <n v="19.763300000000001"/>
  </r>
  <r>
    <x v="278"/>
    <x v="1"/>
    <x v="218"/>
    <x v="1"/>
    <x v="0"/>
    <x v="1"/>
    <x v="5"/>
    <n v="70.989999999999995"/>
    <n v="17"/>
    <n v="60.341499999999996"/>
    <n v="1206.83"/>
    <x v="35"/>
    <x v="235"/>
    <x v="1"/>
    <n v="709.9"/>
    <n v="4.7619047620000003"/>
    <n v="496.93"/>
    <n v="5.9850000000000003"/>
    <n v="96.078500000000005"/>
    <n v="19.763300000000001"/>
  </r>
  <r>
    <x v="279"/>
    <x v="0"/>
    <x v="219"/>
    <x v="0"/>
    <x v="0"/>
    <x v="1"/>
    <x v="3"/>
    <n v="44.02"/>
    <n v="14"/>
    <n v="30.814"/>
    <n v="616.28"/>
    <x v="196"/>
    <x v="129"/>
    <x v="2"/>
    <n v="440.2"/>
    <n v="4.7619047620000003"/>
    <n v="176.08"/>
    <n v="9.6"/>
    <n v="96.173500000000004"/>
    <n v="16.840900000000001"/>
  </r>
  <r>
    <x v="280"/>
    <x v="0"/>
    <x v="220"/>
    <x v="0"/>
    <x v="1"/>
    <x v="0"/>
    <x v="4"/>
    <n v="69.959999999999994"/>
    <n v="8"/>
    <n v="27.984000000000002"/>
    <n v="559.67999999999995"/>
    <x v="197"/>
    <x v="154"/>
    <x v="2"/>
    <n v="559.67999999999995"/>
    <n v="4.7619047620000003"/>
    <n v="0"/>
    <n v="6.4"/>
    <n v="96.173500000000004"/>
    <n v="16.840900000000001"/>
  </r>
  <r>
    <x v="281"/>
    <x v="1"/>
    <x v="110"/>
    <x v="1"/>
    <x v="1"/>
    <x v="1"/>
    <x v="4"/>
    <n v="37"/>
    <n v="1"/>
    <n v="1.85"/>
    <n v="37"/>
    <x v="170"/>
    <x v="236"/>
    <x v="2"/>
    <n v="37"/>
    <n v="4.7619047620000003"/>
    <n v="0"/>
    <n v="8.2949999999999999"/>
    <n v="96.078500000000005"/>
    <n v="19.763300000000001"/>
  </r>
  <r>
    <x v="282"/>
    <x v="0"/>
    <x v="221"/>
    <x v="0"/>
    <x v="1"/>
    <x v="0"/>
    <x v="0"/>
    <n v="15.34"/>
    <n v="1"/>
    <n v="0.76700000000000002"/>
    <n v="15.34"/>
    <x v="93"/>
    <x v="237"/>
    <x v="1"/>
    <n v="15.34"/>
    <n v="4.7619047620000003"/>
    <n v="0"/>
    <n v="6.5"/>
    <n v="96.173500000000004"/>
    <n v="16.840900000000001"/>
  </r>
  <r>
    <x v="283"/>
    <x v="0"/>
    <x v="156"/>
    <x v="0"/>
    <x v="0"/>
    <x v="1"/>
    <x v="0"/>
    <n v="99.83"/>
    <n v="8"/>
    <n v="39.932000000000002"/>
    <n v="798.64"/>
    <x v="198"/>
    <x v="238"/>
    <x v="0"/>
    <n v="598.98"/>
    <n v="4.7619047620000003"/>
    <n v="199.66"/>
    <n v="8.5"/>
    <n v="96.173500000000004"/>
    <n v="16.840900000000001"/>
  </r>
  <r>
    <x v="284"/>
    <x v="0"/>
    <x v="222"/>
    <x v="0"/>
    <x v="0"/>
    <x v="0"/>
    <x v="0"/>
    <n v="47.67"/>
    <n v="6"/>
    <n v="14.301"/>
    <n v="286.02"/>
    <x v="199"/>
    <x v="239"/>
    <x v="1"/>
    <n v="190.68"/>
    <n v="4.7619047620000003"/>
    <n v="95.34"/>
    <n v="9.1"/>
    <n v="96.173500000000004"/>
    <n v="16.840900000000001"/>
  </r>
  <r>
    <x v="285"/>
    <x v="2"/>
    <x v="51"/>
    <x v="2"/>
    <x v="1"/>
    <x v="1"/>
    <x v="0"/>
    <n v="66.680000000000007"/>
    <n v="7"/>
    <n v="23.338000000000001"/>
    <n v="466.76"/>
    <x v="200"/>
    <x v="240"/>
    <x v="1"/>
    <n v="333.4"/>
    <n v="4.7619047620000003"/>
    <n v="133.36000000000001"/>
    <n v="9.1199999999999992"/>
    <n v="96.089100000000002"/>
    <n v="21.9588"/>
  </r>
  <r>
    <x v="286"/>
    <x v="1"/>
    <x v="223"/>
    <x v="1"/>
    <x v="0"/>
    <x v="1"/>
    <x v="0"/>
    <n v="74.86"/>
    <n v="1"/>
    <n v="3.7429999999999999"/>
    <n v="74.86"/>
    <x v="142"/>
    <x v="32"/>
    <x v="1"/>
    <n v="74.86"/>
    <n v="4.7619047620000003"/>
    <n v="0"/>
    <n v="7.2450000000000001"/>
    <n v="96.078500000000005"/>
    <n v="19.763300000000001"/>
  </r>
  <r>
    <x v="287"/>
    <x v="1"/>
    <x v="74"/>
    <x v="1"/>
    <x v="1"/>
    <x v="0"/>
    <x v="0"/>
    <n v="23.75"/>
    <n v="11"/>
    <n v="13.0625"/>
    <n v="261.25"/>
    <x v="201"/>
    <x v="110"/>
    <x v="1"/>
    <n v="213.75"/>
    <n v="4.7619047620000003"/>
    <n v="47.5"/>
    <n v="9.9749999999999996"/>
    <n v="96.078500000000005"/>
    <n v="19.763300000000001"/>
  </r>
  <r>
    <x v="288"/>
    <x v="2"/>
    <x v="63"/>
    <x v="2"/>
    <x v="1"/>
    <x v="0"/>
    <x v="0"/>
    <n v="48.51"/>
    <n v="10"/>
    <n v="24.254999999999999"/>
    <n v="485.1"/>
    <x v="142"/>
    <x v="241"/>
    <x v="2"/>
    <n v="339.57"/>
    <n v="4.7619047620000003"/>
    <n v="145.53"/>
    <n v="6.24"/>
    <n v="96.089100000000002"/>
    <n v="21.9588"/>
  </r>
  <r>
    <x v="289"/>
    <x v="0"/>
    <x v="2"/>
    <x v="0"/>
    <x v="0"/>
    <x v="0"/>
    <x v="0"/>
    <n v="94.88"/>
    <n v="10"/>
    <n v="47.44"/>
    <n v="948.8"/>
    <x v="8"/>
    <x v="242"/>
    <x v="1"/>
    <n v="664.16"/>
    <n v="4.7619047620000003"/>
    <n v="284.64"/>
    <n v="4.2"/>
    <n v="96.173500000000004"/>
    <n v="16.840900000000001"/>
  </r>
  <r>
    <x v="290"/>
    <x v="2"/>
    <x v="49"/>
    <x v="2"/>
    <x v="0"/>
    <x v="1"/>
    <x v="0"/>
    <n v="40.299999999999997"/>
    <n v="20"/>
    <n v="40.299999999999997"/>
    <n v="806"/>
    <x v="39"/>
    <x v="243"/>
    <x v="2"/>
    <n v="403"/>
    <n v="4.7619047620000003"/>
    <n v="403"/>
    <n v="8.4"/>
    <n v="96.089100000000002"/>
    <n v="21.9588"/>
  </r>
  <r>
    <x v="291"/>
    <x v="1"/>
    <x v="224"/>
    <x v="1"/>
    <x v="1"/>
    <x v="1"/>
    <x v="0"/>
    <n v="27.85"/>
    <n v="8"/>
    <n v="11.14"/>
    <n v="222.8"/>
    <x v="140"/>
    <x v="244"/>
    <x v="0"/>
    <n v="194.95"/>
    <n v="4.7619047620000003"/>
    <n v="27.85"/>
    <n v="6.3"/>
    <n v="96.078500000000005"/>
    <n v="19.763300000000001"/>
  </r>
  <r>
    <x v="292"/>
    <x v="0"/>
    <x v="225"/>
    <x v="0"/>
    <x v="0"/>
    <x v="0"/>
    <x v="0"/>
    <n v="62.48"/>
    <n v="1"/>
    <n v="3.1240000000000001"/>
    <n v="62.48"/>
    <x v="202"/>
    <x v="245"/>
    <x v="1"/>
    <n v="62.48"/>
    <n v="4.7619047620000003"/>
    <n v="0"/>
    <n v="4.7"/>
    <n v="96.173500000000004"/>
    <n v="16.840900000000001"/>
  </r>
  <r>
    <x v="293"/>
    <x v="0"/>
    <x v="226"/>
    <x v="0"/>
    <x v="0"/>
    <x v="0"/>
    <x v="0"/>
    <n v="36.36"/>
    <n v="3"/>
    <n v="5.4539999999999997"/>
    <n v="109.08"/>
    <x v="203"/>
    <x v="158"/>
    <x v="1"/>
    <n v="72.72"/>
    <n v="4.7619047620000003"/>
    <n v="36.36"/>
    <n v="7.1"/>
    <n v="96.173500000000004"/>
    <n v="16.840900000000001"/>
  </r>
  <r>
    <x v="294"/>
    <x v="2"/>
    <x v="132"/>
    <x v="2"/>
    <x v="1"/>
    <x v="1"/>
    <x v="0"/>
    <n v="18.11"/>
    <n v="14"/>
    <n v="12.677"/>
    <n v="253.54"/>
    <x v="74"/>
    <x v="246"/>
    <x v="0"/>
    <n v="181.1"/>
    <n v="4.7619047620000003"/>
    <n v="72.44"/>
    <n v="7.08"/>
    <n v="96.089100000000002"/>
    <n v="21.9588"/>
  </r>
  <r>
    <x v="295"/>
    <x v="1"/>
    <x v="121"/>
    <x v="1"/>
    <x v="0"/>
    <x v="0"/>
    <x v="1"/>
    <n v="51.92"/>
    <n v="8"/>
    <n v="20.768000000000001"/>
    <n v="415.36"/>
    <x v="204"/>
    <x v="247"/>
    <x v="1"/>
    <n v="259.60000000000002"/>
    <n v="4.7619047620000003"/>
    <n v="155.76"/>
    <n v="7.875"/>
    <n v="96.078500000000005"/>
    <n v="19.763300000000001"/>
  </r>
  <r>
    <x v="296"/>
    <x v="1"/>
    <x v="227"/>
    <x v="1"/>
    <x v="1"/>
    <x v="1"/>
    <x v="1"/>
    <n v="28.84"/>
    <n v="5"/>
    <n v="7.21"/>
    <n v="144.19999999999999"/>
    <x v="202"/>
    <x v="248"/>
    <x v="1"/>
    <n v="115.36"/>
    <n v="4.7619047620000003"/>
    <n v="28.84"/>
    <n v="6.72"/>
    <n v="96.078500000000005"/>
    <n v="19.763300000000001"/>
  </r>
  <r>
    <x v="297"/>
    <x v="0"/>
    <x v="144"/>
    <x v="0"/>
    <x v="0"/>
    <x v="1"/>
    <x v="4"/>
    <n v="78.38"/>
    <n v="8"/>
    <n v="31.352"/>
    <n v="627.04"/>
    <x v="126"/>
    <x v="249"/>
    <x v="0"/>
    <n v="470.28"/>
    <n v="4.7619047620000003"/>
    <n v="156.76"/>
    <n v="5.8"/>
    <n v="96.173500000000004"/>
    <n v="16.840900000000001"/>
  </r>
  <r>
    <x v="298"/>
    <x v="0"/>
    <x v="228"/>
    <x v="0"/>
    <x v="0"/>
    <x v="1"/>
    <x v="4"/>
    <n v="60.01"/>
    <n v="6"/>
    <n v="18.003"/>
    <n v="360.06"/>
    <x v="152"/>
    <x v="250"/>
    <x v="1"/>
    <n v="240.04"/>
    <n v="4.7619047620000003"/>
    <n v="120.02"/>
    <n v="4.5"/>
    <n v="96.173500000000004"/>
    <n v="16.840900000000001"/>
  </r>
  <r>
    <x v="299"/>
    <x v="0"/>
    <x v="55"/>
    <x v="1"/>
    <x v="0"/>
    <x v="0"/>
    <x v="4"/>
    <n v="88.61"/>
    <n v="1"/>
    <n v="4.4305000000000003"/>
    <n v="88.61"/>
    <x v="94"/>
    <x v="251"/>
    <x v="1"/>
    <n v="88.61"/>
    <n v="4.7619047620000003"/>
    <n v="0"/>
    <n v="8.0850000000000009"/>
    <n v="96.078500000000005"/>
    <n v="19.763300000000001"/>
  </r>
  <r>
    <x v="300"/>
    <x v="0"/>
    <x v="229"/>
    <x v="1"/>
    <x v="1"/>
    <x v="1"/>
    <x v="5"/>
    <n v="99.82"/>
    <n v="2"/>
    <n v="9.9819999999999993"/>
    <n v="199.64"/>
    <x v="205"/>
    <x v="203"/>
    <x v="2"/>
    <n v="199.64"/>
    <n v="4.7619047620000003"/>
    <n v="0"/>
    <n v="7.0350000000000001"/>
    <n v="96.078500000000005"/>
    <n v="19.763300000000001"/>
  </r>
  <r>
    <x v="301"/>
    <x v="0"/>
    <x v="180"/>
    <x v="2"/>
    <x v="0"/>
    <x v="1"/>
    <x v="0"/>
    <n v="39.01"/>
    <n v="1"/>
    <n v="1.9504999999999999"/>
    <n v="39.01"/>
    <x v="206"/>
    <x v="252"/>
    <x v="2"/>
    <n v="39.01"/>
    <n v="4.7619047620000003"/>
    <n v="0"/>
    <n v="5.64"/>
    <n v="96.089100000000002"/>
    <n v="21.9588"/>
  </r>
  <r>
    <x v="302"/>
    <x v="0"/>
    <x v="153"/>
    <x v="1"/>
    <x v="1"/>
    <x v="1"/>
    <x v="2"/>
    <n v="48.61"/>
    <n v="1"/>
    <n v="2.4305000000000003"/>
    <n v="48.61"/>
    <x v="41"/>
    <x v="26"/>
    <x v="1"/>
    <n v="48.61"/>
    <n v="4.7619047620000003"/>
    <n v="0"/>
    <n v="4.62"/>
    <n v="96.078500000000005"/>
    <n v="19.763300000000001"/>
  </r>
  <r>
    <x v="303"/>
    <x v="0"/>
    <x v="230"/>
    <x v="0"/>
    <x v="1"/>
    <x v="0"/>
    <x v="1"/>
    <n v="51.19"/>
    <n v="4"/>
    <n v="10.238"/>
    <n v="204.76"/>
    <x v="207"/>
    <x v="8"/>
    <x v="2"/>
    <n v="204.76"/>
    <n v="4.7619047620000003"/>
    <n v="0"/>
    <n v="7.46"/>
    <n v="96.173500000000004"/>
    <n v="16.840900000000001"/>
  </r>
  <r>
    <x v="304"/>
    <x v="2"/>
    <x v="231"/>
    <x v="2"/>
    <x v="1"/>
    <x v="0"/>
    <x v="1"/>
    <n v="14.96"/>
    <n v="11"/>
    <n v="8.2279999999999998"/>
    <n v="164.56"/>
    <x v="128"/>
    <x v="107"/>
    <x v="1"/>
    <n v="119.68"/>
    <n v="4.7619047620000003"/>
    <n v="44.88"/>
    <n v="7.46"/>
    <n v="96.089100000000002"/>
    <n v="21.9588"/>
  </r>
  <r>
    <x v="305"/>
    <x v="0"/>
    <x v="232"/>
    <x v="0"/>
    <x v="1"/>
    <x v="1"/>
    <x v="1"/>
    <n v="72.2"/>
    <n v="7"/>
    <n v="25.27"/>
    <n v="505.4"/>
    <x v="85"/>
    <x v="253"/>
    <x v="0"/>
    <n v="505.4"/>
    <n v="4.7619047620000003"/>
    <n v="0"/>
    <n v="7.46"/>
    <n v="96.173500000000004"/>
    <n v="16.840900000000001"/>
  </r>
  <r>
    <x v="306"/>
    <x v="0"/>
    <x v="81"/>
    <x v="0"/>
    <x v="1"/>
    <x v="0"/>
    <x v="3"/>
    <n v="40.229999999999997"/>
    <n v="7"/>
    <n v="14.080500000000001"/>
    <n v="281.61"/>
    <x v="32"/>
    <x v="93"/>
    <x v="1"/>
    <n v="281.61"/>
    <n v="4.7619047620000003"/>
    <n v="0"/>
    <n v="7.46"/>
    <n v="96.173500000000004"/>
    <n v="16.840900000000001"/>
  </r>
  <r>
    <x v="307"/>
    <x v="0"/>
    <x v="233"/>
    <x v="0"/>
    <x v="0"/>
    <x v="0"/>
    <x v="4"/>
    <n v="88.79"/>
    <n v="11"/>
    <n v="48.834500000000006"/>
    <n v="976.69"/>
    <x v="98"/>
    <x v="254"/>
    <x v="1"/>
    <n v="710.32"/>
    <n v="4.7619047620000003"/>
    <n v="266.37"/>
    <n v="7.46"/>
    <n v="96.173500000000004"/>
    <n v="16.840900000000001"/>
  </r>
  <r>
    <x v="308"/>
    <x v="0"/>
    <x v="117"/>
    <x v="0"/>
    <x v="0"/>
    <x v="0"/>
    <x v="1"/>
    <n v="26.48"/>
    <n v="4"/>
    <n v="5.2960000000000003"/>
    <n v="105.92"/>
    <x v="55"/>
    <x v="21"/>
    <x v="0"/>
    <n v="79.44"/>
    <n v="4.7619047620000003"/>
    <n v="26.48"/>
    <n v="7.46"/>
    <n v="96.173500000000004"/>
    <n v="16.840900000000001"/>
  </r>
  <r>
    <x v="309"/>
    <x v="0"/>
    <x v="234"/>
    <x v="0"/>
    <x v="1"/>
    <x v="0"/>
    <x v="5"/>
    <n v="81.91"/>
    <n v="2"/>
    <n v="8.1910000000000007"/>
    <n v="163.82"/>
    <x v="208"/>
    <x v="255"/>
    <x v="1"/>
    <n v="163.82"/>
    <n v="4.7619047620000003"/>
    <n v="0"/>
    <n v="7.46"/>
    <n v="96.173500000000004"/>
    <n v="16.840900000000001"/>
  </r>
  <r>
    <x v="310"/>
    <x v="2"/>
    <x v="103"/>
    <x v="2"/>
    <x v="0"/>
    <x v="1"/>
    <x v="3"/>
    <n v="79.930000000000007"/>
    <n v="11"/>
    <n v="43.961500000000001"/>
    <n v="879.23"/>
    <x v="80"/>
    <x v="214"/>
    <x v="1"/>
    <n v="479.58"/>
    <n v="4.7619047620000003"/>
    <n v="399.65"/>
    <n v="7.46"/>
    <n v="96.089100000000002"/>
    <n v="21.9588"/>
  </r>
  <r>
    <x v="311"/>
    <x v="1"/>
    <x v="43"/>
    <x v="1"/>
    <x v="0"/>
    <x v="1"/>
    <x v="5"/>
    <n v="69.33"/>
    <n v="3"/>
    <n v="10.3995"/>
    <n v="207.99"/>
    <x v="45"/>
    <x v="256"/>
    <x v="0"/>
    <n v="138.66"/>
    <n v="4.7619047620000003"/>
    <n v="69.33"/>
    <n v="10"/>
    <n v="96.078500000000005"/>
    <n v="19.763300000000001"/>
  </r>
  <r>
    <x v="312"/>
    <x v="0"/>
    <x v="235"/>
    <x v="0"/>
    <x v="0"/>
    <x v="0"/>
    <x v="2"/>
    <n v="14.23"/>
    <n v="7"/>
    <n v="4.9805000000000001"/>
    <n v="99.61"/>
    <x v="20"/>
    <x v="257"/>
    <x v="2"/>
    <n v="71.150000000000006"/>
    <n v="4.7619047620000003"/>
    <n v="28.46"/>
    <n v="4.4000000000000004"/>
    <n v="96.173500000000004"/>
    <n v="16.840900000000001"/>
  </r>
  <r>
    <x v="313"/>
    <x v="0"/>
    <x v="236"/>
    <x v="0"/>
    <x v="0"/>
    <x v="0"/>
    <x v="0"/>
    <n v="15.55"/>
    <n v="13"/>
    <n v="10.1075"/>
    <n v="202.15"/>
    <x v="101"/>
    <x v="258"/>
    <x v="1"/>
    <n v="139.94999999999999"/>
    <n v="4.7619047620000003"/>
    <n v="62.2"/>
    <n v="5"/>
    <n v="96.173500000000004"/>
    <n v="16.840900000000001"/>
  </r>
  <r>
    <x v="314"/>
    <x v="1"/>
    <x v="101"/>
    <x v="1"/>
    <x v="0"/>
    <x v="0"/>
    <x v="0"/>
    <n v="78.13"/>
    <n v="17"/>
    <n v="66.410499999999999"/>
    <n v="1328.21"/>
    <x v="42"/>
    <x v="259"/>
    <x v="1"/>
    <n v="781.3"/>
    <n v="4.7619047620000003"/>
    <n v="546.91"/>
    <n v="4.62"/>
    <n v="96.078500000000005"/>
    <n v="19.763300000000001"/>
  </r>
  <r>
    <x v="315"/>
    <x v="1"/>
    <x v="237"/>
    <x v="1"/>
    <x v="0"/>
    <x v="1"/>
    <x v="0"/>
    <n v="99.37"/>
    <n v="3"/>
    <n v="14.9055"/>
    <n v="298.11"/>
    <x v="209"/>
    <x v="260"/>
    <x v="1"/>
    <n v="198.74"/>
    <n v="4.7619047620000003"/>
    <n v="99.37"/>
    <n v="5.46"/>
    <n v="96.078500000000005"/>
    <n v="19.763300000000001"/>
  </r>
  <r>
    <x v="316"/>
    <x v="1"/>
    <x v="238"/>
    <x v="1"/>
    <x v="0"/>
    <x v="0"/>
    <x v="0"/>
    <n v="21.08"/>
    <n v="6"/>
    <n v="6.3239999999999998"/>
    <n v="126.48"/>
    <x v="210"/>
    <x v="12"/>
    <x v="1"/>
    <n v="63.24"/>
    <n v="4.7619047620000003"/>
    <n v="63.24"/>
    <n v="7.665"/>
    <n v="96.078500000000005"/>
    <n v="19.763300000000001"/>
  </r>
  <r>
    <x v="317"/>
    <x v="1"/>
    <x v="239"/>
    <x v="1"/>
    <x v="0"/>
    <x v="1"/>
    <x v="0"/>
    <n v="74.790000000000006"/>
    <n v="8"/>
    <n v="29.916"/>
    <n v="598.32000000000005"/>
    <x v="211"/>
    <x v="261"/>
    <x v="1"/>
    <n v="373.95"/>
    <n v="4.7619047620000003"/>
    <n v="224.37"/>
    <n v="5.1449999999999996"/>
    <n v="96.078500000000005"/>
    <n v="19.763300000000001"/>
  </r>
  <r>
    <x v="318"/>
    <x v="1"/>
    <x v="240"/>
    <x v="1"/>
    <x v="1"/>
    <x v="0"/>
    <x v="0"/>
    <n v="29.67"/>
    <n v="8"/>
    <n v="11.868"/>
    <n v="237.36"/>
    <x v="60"/>
    <x v="262"/>
    <x v="2"/>
    <n v="207.69"/>
    <n v="4.7619047620000003"/>
    <n v="29.67"/>
    <n v="8.5050000000000008"/>
    <n v="96.078500000000005"/>
    <n v="19.763300000000001"/>
  </r>
  <r>
    <x v="319"/>
    <x v="1"/>
    <x v="241"/>
    <x v="1"/>
    <x v="1"/>
    <x v="1"/>
    <x v="0"/>
    <n v="44.07"/>
    <n v="5"/>
    <n v="11.0175"/>
    <n v="220.35"/>
    <x v="212"/>
    <x v="235"/>
    <x v="0"/>
    <n v="176.28"/>
    <n v="4.7619047620000003"/>
    <n v="44.07"/>
    <n v="8.82"/>
    <n v="96.078500000000005"/>
    <n v="19.763300000000001"/>
  </r>
  <r>
    <x v="320"/>
    <x v="1"/>
    <x v="48"/>
    <x v="1"/>
    <x v="1"/>
    <x v="0"/>
    <x v="0"/>
    <n v="22.93"/>
    <n v="11"/>
    <n v="12.611499999999999"/>
    <n v="252.23"/>
    <x v="75"/>
    <x v="263"/>
    <x v="1"/>
    <n v="206.37"/>
    <n v="4.7619047620000003"/>
    <n v="45.86"/>
    <n v="5.7750000000000004"/>
    <n v="96.078500000000005"/>
    <n v="19.763300000000001"/>
  </r>
  <r>
    <x v="321"/>
    <x v="1"/>
    <x v="73"/>
    <x v="1"/>
    <x v="1"/>
    <x v="0"/>
    <x v="0"/>
    <n v="39.42"/>
    <n v="1"/>
    <n v="1.9710000000000001"/>
    <n v="39.42"/>
    <x v="128"/>
    <x v="264"/>
    <x v="1"/>
    <n v="39.42"/>
    <n v="4.7619047620000003"/>
    <n v="0"/>
    <n v="8.82"/>
    <n v="96.078500000000005"/>
    <n v="19.763300000000001"/>
  </r>
  <r>
    <x v="322"/>
    <x v="0"/>
    <x v="242"/>
    <x v="0"/>
    <x v="1"/>
    <x v="1"/>
    <x v="0"/>
    <n v="15.26"/>
    <n v="6"/>
    <n v="4.5780000000000003"/>
    <n v="91.56"/>
    <x v="159"/>
    <x v="172"/>
    <x v="0"/>
    <n v="91.56"/>
    <n v="4.7619047620000003"/>
    <n v="0"/>
    <n v="9.8000000000000007"/>
    <n v="96.173500000000004"/>
    <n v="16.840900000000001"/>
  </r>
  <r>
    <x v="323"/>
    <x v="0"/>
    <x v="243"/>
    <x v="0"/>
    <x v="1"/>
    <x v="0"/>
    <x v="5"/>
    <n v="61.77"/>
    <n v="5"/>
    <n v="15.442500000000001"/>
    <n v="308.85000000000002"/>
    <x v="213"/>
    <x v="265"/>
    <x v="1"/>
    <n v="308.85000000000002"/>
    <n v="4.7619047620000003"/>
    <n v="0"/>
    <n v="6.7"/>
    <n v="96.173500000000004"/>
    <n v="16.840900000000001"/>
  </r>
  <r>
    <x v="324"/>
    <x v="0"/>
    <x v="244"/>
    <x v="0"/>
    <x v="1"/>
    <x v="1"/>
    <x v="4"/>
    <n v="21.52"/>
    <n v="6"/>
    <n v="6.4560000000000004"/>
    <n v="129.12"/>
    <x v="62"/>
    <x v="266"/>
    <x v="2"/>
    <n v="129.12"/>
    <n v="4.7619047620000003"/>
    <n v="0"/>
    <n v="9.4"/>
    <n v="96.173500000000004"/>
    <n v="16.840900000000001"/>
  </r>
  <r>
    <x v="325"/>
    <x v="2"/>
    <x v="44"/>
    <x v="2"/>
    <x v="1"/>
    <x v="1"/>
    <x v="3"/>
    <n v="97.74"/>
    <n v="6"/>
    <n v="29.321999999999999"/>
    <n v="586.44000000000005"/>
    <x v="17"/>
    <x v="267"/>
    <x v="0"/>
    <n v="390.96"/>
    <n v="4.7619047620000003"/>
    <n v="195.48"/>
    <n v="7.68"/>
    <n v="96.089100000000002"/>
    <n v="21.9588"/>
  </r>
  <r>
    <x v="326"/>
    <x v="0"/>
    <x v="245"/>
    <x v="0"/>
    <x v="1"/>
    <x v="1"/>
    <x v="2"/>
    <n v="99.78"/>
    <n v="5"/>
    <n v="24.945"/>
    <n v="498.9"/>
    <x v="23"/>
    <x v="268"/>
    <x v="1"/>
    <n v="498.9"/>
    <n v="4.7619047620000003"/>
    <n v="0"/>
    <n v="5.4"/>
    <n v="96.173500000000004"/>
    <n v="16.840900000000001"/>
  </r>
  <r>
    <x v="327"/>
    <x v="1"/>
    <x v="246"/>
    <x v="1"/>
    <x v="1"/>
    <x v="1"/>
    <x v="2"/>
    <n v="94.26"/>
    <n v="5"/>
    <n v="23.565000000000001"/>
    <n v="471.3"/>
    <x v="150"/>
    <x v="269"/>
    <x v="1"/>
    <n v="377.04"/>
    <n v="4.7619047620000003"/>
    <n v="94.26"/>
    <n v="9.0299999999999994"/>
    <n v="96.078500000000005"/>
    <n v="19.763300000000001"/>
  </r>
  <r>
    <x v="328"/>
    <x v="2"/>
    <x v="30"/>
    <x v="2"/>
    <x v="1"/>
    <x v="1"/>
    <x v="0"/>
    <n v="51.13"/>
    <n v="6"/>
    <n v="15.339"/>
    <n v="306.77999999999997"/>
    <x v="214"/>
    <x v="41"/>
    <x v="2"/>
    <n v="204.52"/>
    <n v="4.7619047620000003"/>
    <n v="102.26"/>
    <n v="4.8"/>
    <n v="96.089100000000002"/>
    <n v="21.9588"/>
  </r>
  <r>
    <x v="329"/>
    <x v="0"/>
    <x v="247"/>
    <x v="0"/>
    <x v="1"/>
    <x v="1"/>
    <x v="1"/>
    <n v="36.36"/>
    <n v="4"/>
    <n v="7.2720000000000002"/>
    <n v="145.44"/>
    <x v="215"/>
    <x v="270"/>
    <x v="1"/>
    <n v="145.44"/>
    <n v="4.7619047620000003"/>
    <n v="0"/>
    <n v="7.6"/>
    <n v="96.173500000000004"/>
    <n v="16.840900000000001"/>
  </r>
  <r>
    <x v="330"/>
    <x v="2"/>
    <x v="128"/>
    <x v="2"/>
    <x v="1"/>
    <x v="1"/>
    <x v="4"/>
    <n v="22.02"/>
    <n v="13"/>
    <n v="14.313000000000001"/>
    <n v="286.26"/>
    <x v="0"/>
    <x v="271"/>
    <x v="1"/>
    <n v="198.18"/>
    <n v="4.7619047620000003"/>
    <n v="88.08"/>
    <n v="8.16"/>
    <n v="96.089100000000002"/>
    <n v="21.9588"/>
  </r>
  <r>
    <x v="331"/>
    <x v="0"/>
    <x v="154"/>
    <x v="0"/>
    <x v="1"/>
    <x v="1"/>
    <x v="0"/>
    <n v="32.9"/>
    <n v="3"/>
    <n v="4.9349999999999996"/>
    <n v="98.7"/>
    <x v="198"/>
    <x v="272"/>
    <x v="2"/>
    <n v="98.7"/>
    <n v="4.7619047620000003"/>
    <n v="0"/>
    <n v="9.1"/>
    <n v="96.173500000000004"/>
    <n v="16.840900000000001"/>
  </r>
  <r>
    <x v="332"/>
    <x v="0"/>
    <x v="248"/>
    <x v="0"/>
    <x v="1"/>
    <x v="1"/>
    <x v="0"/>
    <n v="77.02"/>
    <n v="5"/>
    <n v="19.254999999999999"/>
    <n v="385.1"/>
    <x v="154"/>
    <x v="273"/>
    <x v="1"/>
    <n v="385.1"/>
    <n v="4.7619047620000003"/>
    <n v="0"/>
    <n v="5.5"/>
    <n v="96.173500000000004"/>
    <n v="16.840900000000001"/>
  </r>
  <r>
    <x v="333"/>
    <x v="0"/>
    <x v="249"/>
    <x v="0"/>
    <x v="1"/>
    <x v="1"/>
    <x v="0"/>
    <n v="23.48"/>
    <n v="2"/>
    <n v="2.3480000000000003"/>
    <n v="46.96"/>
    <x v="83"/>
    <x v="274"/>
    <x v="2"/>
    <n v="46.96"/>
    <n v="4.7619047620000003"/>
    <n v="0"/>
    <n v="7.9"/>
    <n v="96.173500000000004"/>
    <n v="16.840900000000001"/>
  </r>
  <r>
    <x v="334"/>
    <x v="1"/>
    <x v="95"/>
    <x v="1"/>
    <x v="0"/>
    <x v="1"/>
    <x v="0"/>
    <n v="14.7"/>
    <n v="8"/>
    <n v="5.88"/>
    <n v="117.6"/>
    <x v="89"/>
    <x v="128"/>
    <x v="0"/>
    <n v="73.5"/>
    <n v="4.7619047620000003"/>
    <n v="44.1"/>
    <n v="8.9250000000000007"/>
    <n v="96.078500000000005"/>
    <n v="19.763300000000001"/>
  </r>
  <r>
    <x v="335"/>
    <x v="0"/>
    <x v="250"/>
    <x v="0"/>
    <x v="0"/>
    <x v="0"/>
    <x v="0"/>
    <n v="28.45"/>
    <n v="7"/>
    <n v="9.9575000000000014"/>
    <n v="199.15"/>
    <x v="216"/>
    <x v="79"/>
    <x v="2"/>
    <n v="142.25"/>
    <n v="4.7619047620000003"/>
    <n v="56.9"/>
    <n v="9.1"/>
    <n v="96.173500000000004"/>
    <n v="16.840900000000001"/>
  </r>
  <r>
    <x v="336"/>
    <x v="0"/>
    <x v="251"/>
    <x v="0"/>
    <x v="1"/>
    <x v="1"/>
    <x v="0"/>
    <n v="76.400000000000006"/>
    <n v="9"/>
    <n v="34.380000000000003"/>
    <n v="687.6"/>
    <x v="217"/>
    <x v="275"/>
    <x v="0"/>
    <n v="687.6"/>
    <n v="4.7619047620000003"/>
    <n v="0"/>
    <n v="7.5"/>
    <n v="96.173500000000004"/>
    <n v="16.840900000000001"/>
  </r>
  <r>
    <x v="337"/>
    <x v="2"/>
    <x v="252"/>
    <x v="2"/>
    <x v="1"/>
    <x v="0"/>
    <x v="0"/>
    <n v="57.95"/>
    <n v="8"/>
    <n v="23.180000000000003"/>
    <n v="463.6"/>
    <x v="218"/>
    <x v="276"/>
    <x v="1"/>
    <n v="347.7"/>
    <n v="4.7619047620000003"/>
    <n v="115.9"/>
    <n v="6.24"/>
    <n v="96.089100000000002"/>
    <n v="21.9588"/>
  </r>
  <r>
    <x v="338"/>
    <x v="1"/>
    <x v="253"/>
    <x v="1"/>
    <x v="1"/>
    <x v="0"/>
    <x v="0"/>
    <n v="47.65"/>
    <n v="4"/>
    <n v="9.5299999999999994"/>
    <n v="190.6"/>
    <x v="83"/>
    <x v="187"/>
    <x v="2"/>
    <n v="142.94999999999999"/>
    <n v="4.7619047620000003"/>
    <n v="47.65"/>
    <n v="9.9749999999999996"/>
    <n v="96.078500000000005"/>
    <n v="19.763300000000001"/>
  </r>
  <r>
    <x v="339"/>
    <x v="2"/>
    <x v="254"/>
    <x v="2"/>
    <x v="0"/>
    <x v="0"/>
    <x v="0"/>
    <n v="42.82"/>
    <n v="18"/>
    <n v="38.537999999999997"/>
    <n v="770.76"/>
    <x v="192"/>
    <x v="108"/>
    <x v="2"/>
    <n v="385.38"/>
    <n v="4.7619047620000003"/>
    <n v="385.38"/>
    <n v="10"/>
    <n v="96.089100000000002"/>
    <n v="21.9588"/>
  </r>
  <r>
    <x v="340"/>
    <x v="2"/>
    <x v="179"/>
    <x v="2"/>
    <x v="0"/>
    <x v="1"/>
    <x v="0"/>
    <n v="48.09"/>
    <n v="6"/>
    <n v="14.427"/>
    <n v="288.54000000000002"/>
    <x v="122"/>
    <x v="136"/>
    <x v="2"/>
    <n v="144.27000000000001"/>
    <n v="4.7619047620000003"/>
    <n v="144.27000000000001"/>
    <n v="9.36"/>
    <n v="96.089100000000002"/>
    <n v="21.9588"/>
  </r>
  <r>
    <x v="341"/>
    <x v="2"/>
    <x v="255"/>
    <x v="2"/>
    <x v="0"/>
    <x v="0"/>
    <x v="0"/>
    <n v="55.97"/>
    <n v="14"/>
    <n v="39.179000000000002"/>
    <n v="783.58"/>
    <x v="219"/>
    <x v="216"/>
    <x v="0"/>
    <n v="391.79"/>
    <n v="4.7619047620000003"/>
    <n v="391.79"/>
    <n v="10"/>
    <n v="96.089100000000002"/>
    <n v="21.9588"/>
  </r>
  <r>
    <x v="342"/>
    <x v="2"/>
    <x v="145"/>
    <x v="2"/>
    <x v="0"/>
    <x v="0"/>
    <x v="0"/>
    <n v="76.900000000000006"/>
    <n v="14"/>
    <n v="53.83"/>
    <n v="1076.5999999999999"/>
    <x v="220"/>
    <x v="277"/>
    <x v="1"/>
    <n v="538.29999999999995"/>
    <n v="4.7619047620000003"/>
    <n v="538.29999999999995"/>
    <n v="9.24"/>
    <n v="96.089100000000002"/>
    <n v="21.9588"/>
  </r>
  <r>
    <x v="343"/>
    <x v="1"/>
    <x v="256"/>
    <x v="1"/>
    <x v="1"/>
    <x v="0"/>
    <x v="2"/>
    <n v="97.03"/>
    <n v="6"/>
    <n v="29.109000000000002"/>
    <n v="582.17999999999995"/>
    <x v="101"/>
    <x v="75"/>
    <x v="0"/>
    <n v="485.15"/>
    <n v="4.7619047620000003"/>
    <n v="97.03"/>
    <n v="9.7650000000000006"/>
    <n v="96.078500000000005"/>
    <n v="19.763300000000001"/>
  </r>
  <r>
    <x v="344"/>
    <x v="0"/>
    <x v="257"/>
    <x v="0"/>
    <x v="1"/>
    <x v="1"/>
    <x v="3"/>
    <n v="44.65"/>
    <n v="3"/>
    <n v="6.6974999999999998"/>
    <n v="133.94999999999999"/>
    <x v="221"/>
    <x v="278"/>
    <x v="1"/>
    <n v="133.94999999999999"/>
    <n v="4.7619047620000003"/>
    <n v="0"/>
    <n v="6.2"/>
    <n v="96.173500000000004"/>
    <n v="16.840900000000001"/>
  </r>
  <r>
    <x v="345"/>
    <x v="0"/>
    <x v="258"/>
    <x v="0"/>
    <x v="1"/>
    <x v="0"/>
    <x v="5"/>
    <n v="77.930000000000007"/>
    <n v="9"/>
    <n v="35.0685"/>
    <n v="701.37"/>
    <x v="206"/>
    <x v="279"/>
    <x v="0"/>
    <n v="701.37"/>
    <n v="4.7619047620000003"/>
    <n v="0"/>
    <n v="7.6"/>
    <n v="96.173500000000004"/>
    <n v="16.840900000000001"/>
  </r>
  <r>
    <x v="346"/>
    <x v="0"/>
    <x v="259"/>
    <x v="0"/>
    <x v="0"/>
    <x v="1"/>
    <x v="1"/>
    <n v="71.95"/>
    <n v="1"/>
    <n v="3.5975000000000001"/>
    <n v="71.95"/>
    <x v="183"/>
    <x v="280"/>
    <x v="1"/>
    <n v="71.95"/>
    <n v="4.7619047620000003"/>
    <n v="0"/>
    <n v="7.3"/>
    <n v="96.173500000000004"/>
    <n v="16.840900000000001"/>
  </r>
  <r>
    <x v="347"/>
    <x v="1"/>
    <x v="62"/>
    <x v="1"/>
    <x v="0"/>
    <x v="0"/>
    <x v="4"/>
    <n v="89.25"/>
    <n v="14"/>
    <n v="62.475000000000001"/>
    <n v="1249.5"/>
    <x v="222"/>
    <x v="173"/>
    <x v="1"/>
    <n v="714"/>
    <n v="4.7619047620000003"/>
    <n v="535.5"/>
    <n v="4.9349999999999996"/>
    <n v="96.078500000000005"/>
    <n v="19.763300000000001"/>
  </r>
  <r>
    <x v="348"/>
    <x v="0"/>
    <x v="18"/>
    <x v="0"/>
    <x v="1"/>
    <x v="1"/>
    <x v="1"/>
    <n v="26.02"/>
    <n v="7"/>
    <n v="9.1069999999999993"/>
    <n v="182.14"/>
    <x v="223"/>
    <x v="180"/>
    <x v="1"/>
    <n v="182.14"/>
    <n v="4.7619047620000003"/>
    <n v="0"/>
    <n v="5.0999999999999996"/>
    <n v="96.173500000000004"/>
    <n v="16.840900000000001"/>
  </r>
  <r>
    <x v="349"/>
    <x v="2"/>
    <x v="260"/>
    <x v="2"/>
    <x v="1"/>
    <x v="0"/>
    <x v="0"/>
    <n v="13.5"/>
    <n v="14"/>
    <n v="9.4499999999999993"/>
    <n v="189"/>
    <x v="224"/>
    <x v="281"/>
    <x v="2"/>
    <n v="135"/>
    <n v="4.7619047620000003"/>
    <n v="54"/>
    <n v="5.76"/>
    <n v="96.089100000000002"/>
    <n v="21.9588"/>
  </r>
  <r>
    <x v="350"/>
    <x v="1"/>
    <x v="261"/>
    <x v="1"/>
    <x v="0"/>
    <x v="0"/>
    <x v="5"/>
    <n v="99.3"/>
    <n v="17"/>
    <n v="84.405000000000001"/>
    <n v="1688.1"/>
    <x v="97"/>
    <x v="222"/>
    <x v="2"/>
    <n v="993"/>
    <n v="4.7619047620000003"/>
    <n v="695.1"/>
    <n v="6.93"/>
    <n v="96.078500000000005"/>
    <n v="19.763300000000001"/>
  </r>
  <r>
    <x v="351"/>
    <x v="0"/>
    <x v="262"/>
    <x v="0"/>
    <x v="1"/>
    <x v="1"/>
    <x v="1"/>
    <n v="51.69"/>
    <n v="7"/>
    <n v="18.0915"/>
    <n v="361.83"/>
    <x v="225"/>
    <x v="282"/>
    <x v="1"/>
    <n v="361.83"/>
    <n v="4.7619047620000003"/>
    <n v="0"/>
    <n v="5.5"/>
    <n v="96.173500000000004"/>
    <n v="16.840900000000001"/>
  </r>
  <r>
    <x v="352"/>
    <x v="2"/>
    <x v="46"/>
    <x v="2"/>
    <x v="0"/>
    <x v="0"/>
    <x v="5"/>
    <n v="54.73"/>
    <n v="14"/>
    <n v="38.311"/>
    <n v="766.22"/>
    <x v="94"/>
    <x v="283"/>
    <x v="2"/>
    <n v="383.11"/>
    <n v="4.7619047620000003"/>
    <n v="383.11"/>
    <n v="10"/>
    <n v="96.089100000000002"/>
    <n v="21.9588"/>
  </r>
  <r>
    <x v="353"/>
    <x v="0"/>
    <x v="263"/>
    <x v="2"/>
    <x v="0"/>
    <x v="1"/>
    <x v="4"/>
    <n v="27"/>
    <n v="18"/>
    <n v="24.3"/>
    <n v="486"/>
    <x v="226"/>
    <x v="249"/>
    <x v="1"/>
    <n v="243"/>
    <n v="4.7619047620000003"/>
    <n v="243"/>
    <n v="5.76"/>
    <n v="96.089100000000002"/>
    <n v="21.9588"/>
  </r>
  <r>
    <x v="354"/>
    <x v="0"/>
    <x v="264"/>
    <x v="1"/>
    <x v="1"/>
    <x v="0"/>
    <x v="1"/>
    <n v="30.24"/>
    <n v="1"/>
    <n v="1.512"/>
    <n v="30.24"/>
    <x v="227"/>
    <x v="284"/>
    <x v="1"/>
    <n v="30.24"/>
    <n v="4.7619047620000003"/>
    <n v="0"/>
    <n v="8.82"/>
    <n v="96.078500000000005"/>
    <n v="19.763300000000001"/>
  </r>
  <r>
    <x v="355"/>
    <x v="0"/>
    <x v="41"/>
    <x v="2"/>
    <x v="0"/>
    <x v="0"/>
    <x v="2"/>
    <n v="89.14"/>
    <n v="8"/>
    <n v="35.655999999999999"/>
    <n v="713.12"/>
    <x v="189"/>
    <x v="22"/>
    <x v="2"/>
    <n v="356.56"/>
    <n v="4.7619047620000003"/>
    <n v="356.56"/>
    <n v="9.36"/>
    <n v="96.089100000000002"/>
    <n v="21.9588"/>
  </r>
  <r>
    <x v="356"/>
    <x v="0"/>
    <x v="34"/>
    <x v="1"/>
    <x v="1"/>
    <x v="0"/>
    <x v="5"/>
    <n v="37.549999999999997"/>
    <n v="12"/>
    <n v="22.53"/>
    <n v="450.6"/>
    <x v="205"/>
    <x v="285"/>
    <x v="2"/>
    <n v="375.5"/>
    <n v="4.7619047620000003"/>
    <n v="75.099999999999994"/>
    <n v="9.7650000000000006"/>
    <n v="96.078500000000005"/>
    <n v="19.763300000000001"/>
  </r>
  <r>
    <x v="357"/>
    <x v="0"/>
    <x v="265"/>
    <x v="1"/>
    <x v="1"/>
    <x v="0"/>
    <x v="3"/>
    <n v="95.44"/>
    <n v="12"/>
    <n v="57.264000000000003"/>
    <n v="1145.28"/>
    <x v="176"/>
    <x v="286"/>
    <x v="1"/>
    <n v="954.4"/>
    <n v="4.7619047620000003"/>
    <n v="190.88"/>
    <n v="5.46"/>
    <n v="96.078500000000005"/>
    <n v="19.763300000000001"/>
  </r>
  <r>
    <x v="358"/>
    <x v="0"/>
    <x v="106"/>
    <x v="2"/>
    <x v="1"/>
    <x v="1"/>
    <x v="1"/>
    <n v="27.5"/>
    <n v="4"/>
    <n v="5.5"/>
    <n v="110"/>
    <x v="228"/>
    <x v="287"/>
    <x v="0"/>
    <n v="82.5"/>
    <n v="4.7619047620000003"/>
    <n v="27.5"/>
    <n v="7.8"/>
    <n v="96.089100000000002"/>
    <n v="21.9588"/>
  </r>
  <r>
    <x v="359"/>
    <x v="0"/>
    <x v="266"/>
    <x v="2"/>
    <x v="1"/>
    <x v="1"/>
    <x v="3"/>
    <n v="74.97"/>
    <n v="1"/>
    <n v="3.7484999999999999"/>
    <n v="74.97"/>
    <x v="229"/>
    <x v="288"/>
    <x v="1"/>
    <n v="74.97"/>
    <n v="4.7619047620000003"/>
    <n v="0"/>
    <n v="6.72"/>
    <n v="96.089100000000002"/>
    <n v="21.9588"/>
  </r>
  <r>
    <x v="360"/>
    <x v="0"/>
    <x v="104"/>
    <x v="0"/>
    <x v="0"/>
    <x v="1"/>
    <x v="2"/>
    <n v="80.959999999999994"/>
    <n v="11"/>
    <n v="44.527999999999999"/>
    <n v="890.56"/>
    <x v="216"/>
    <x v="289"/>
    <x v="2"/>
    <n v="647.67999999999995"/>
    <n v="4.7619047620000003"/>
    <n v="242.88"/>
    <n v="7.4"/>
    <n v="96.173500000000004"/>
    <n v="16.840900000000001"/>
  </r>
  <r>
    <x v="361"/>
    <x v="0"/>
    <x v="267"/>
    <x v="1"/>
    <x v="1"/>
    <x v="0"/>
    <x v="2"/>
    <n v="94.47"/>
    <n v="10"/>
    <n v="47.234999999999999"/>
    <n v="944.7"/>
    <x v="201"/>
    <x v="290"/>
    <x v="1"/>
    <n v="755.76"/>
    <n v="4.7619047620000003"/>
    <n v="188.94"/>
    <n v="9.5549999999999997"/>
    <n v="96.078500000000005"/>
    <n v="19.763300000000001"/>
  </r>
  <r>
    <x v="362"/>
    <x v="0"/>
    <x v="268"/>
    <x v="1"/>
    <x v="1"/>
    <x v="1"/>
    <x v="2"/>
    <n v="99.79"/>
    <n v="2"/>
    <n v="9.9789999999999992"/>
    <n v="199.58"/>
    <x v="228"/>
    <x v="291"/>
    <x v="0"/>
    <n v="199.58"/>
    <n v="4.7619047620000003"/>
    <n v="0"/>
    <n v="8.4"/>
    <n v="96.078500000000005"/>
    <n v="19.763300000000001"/>
  </r>
  <r>
    <x v="363"/>
    <x v="0"/>
    <x v="269"/>
    <x v="0"/>
    <x v="1"/>
    <x v="1"/>
    <x v="4"/>
    <n v="73.22"/>
    <n v="6"/>
    <n v="21.966000000000001"/>
    <n v="439.32"/>
    <x v="230"/>
    <x v="292"/>
    <x v="1"/>
    <n v="439.32"/>
    <n v="4.7619047620000003"/>
    <n v="0"/>
    <n v="7.2"/>
    <n v="96.173500000000004"/>
    <n v="16.840900000000001"/>
  </r>
  <r>
    <x v="364"/>
    <x v="0"/>
    <x v="190"/>
    <x v="1"/>
    <x v="1"/>
    <x v="0"/>
    <x v="2"/>
    <n v="41.24"/>
    <n v="5"/>
    <n v="10.31"/>
    <n v="206.2"/>
    <x v="33"/>
    <x v="293"/>
    <x v="1"/>
    <n v="164.96"/>
    <n v="4.7619047620000003"/>
    <n v="41.24"/>
    <n v="7.4550000000000001"/>
    <n v="96.078500000000005"/>
    <n v="19.763300000000001"/>
  </r>
  <r>
    <x v="365"/>
    <x v="0"/>
    <x v="270"/>
    <x v="1"/>
    <x v="1"/>
    <x v="0"/>
    <x v="5"/>
    <n v="81.680000000000007"/>
    <n v="5"/>
    <n v="20.420000000000002"/>
    <n v="408.4"/>
    <x v="231"/>
    <x v="294"/>
    <x v="1"/>
    <n v="326.72000000000003"/>
    <n v="4.7619047620000003"/>
    <n v="81.680000000000007"/>
    <n v="9.5549999999999997"/>
    <n v="96.078500000000005"/>
    <n v="19.763300000000001"/>
  </r>
  <r>
    <x v="366"/>
    <x v="0"/>
    <x v="150"/>
    <x v="1"/>
    <x v="1"/>
    <x v="0"/>
    <x v="1"/>
    <n v="51.32"/>
    <n v="11"/>
    <n v="28.225999999999999"/>
    <n v="564.52"/>
    <x v="0"/>
    <x v="295"/>
    <x v="1"/>
    <n v="461.88"/>
    <n v="4.7619047620000003"/>
    <n v="102.64"/>
    <n v="5.88"/>
    <n v="96.078500000000005"/>
    <n v="19.763300000000001"/>
  </r>
  <r>
    <x v="367"/>
    <x v="0"/>
    <x v="234"/>
    <x v="0"/>
    <x v="0"/>
    <x v="1"/>
    <x v="4"/>
    <n v="65.94"/>
    <n v="6"/>
    <n v="19.782"/>
    <n v="395.64"/>
    <x v="232"/>
    <x v="1"/>
    <x v="1"/>
    <n v="263.76"/>
    <n v="4.7619047620000003"/>
    <n v="131.88"/>
    <n v="6"/>
    <n v="96.173500000000004"/>
    <n v="16.840900000000001"/>
  </r>
  <r>
    <x v="368"/>
    <x v="0"/>
    <x v="86"/>
    <x v="1"/>
    <x v="1"/>
    <x v="0"/>
    <x v="3"/>
    <n v="14.36"/>
    <n v="12"/>
    <n v="8.6159999999999997"/>
    <n v="172.32"/>
    <x v="170"/>
    <x v="296"/>
    <x v="1"/>
    <n v="143.6"/>
    <n v="4.7619047620000003"/>
    <n v="28.72"/>
    <n v="5.67"/>
    <n v="96.078500000000005"/>
    <n v="19.763300000000001"/>
  </r>
  <r>
    <x v="369"/>
    <x v="0"/>
    <x v="271"/>
    <x v="0"/>
    <x v="0"/>
    <x v="1"/>
    <x v="1"/>
    <n v="21.5"/>
    <n v="13"/>
    <n v="13.975"/>
    <n v="279.5"/>
    <x v="233"/>
    <x v="69"/>
    <x v="2"/>
    <n v="193.5"/>
    <n v="4.7619047620000003"/>
    <n v="86"/>
    <n v="7.8"/>
    <n v="96.173500000000004"/>
    <n v="16.840900000000001"/>
  </r>
  <r>
    <x v="370"/>
    <x v="0"/>
    <x v="31"/>
    <x v="2"/>
    <x v="0"/>
    <x v="0"/>
    <x v="1"/>
    <n v="26.26"/>
    <n v="14"/>
    <n v="18.382000000000001"/>
    <n v="367.64"/>
    <x v="22"/>
    <x v="138"/>
    <x v="1"/>
    <n v="183.82"/>
    <n v="4.7619047620000003"/>
    <n v="183.82"/>
    <n v="10"/>
    <n v="96.089100000000002"/>
    <n v="21.9588"/>
  </r>
  <r>
    <x v="371"/>
    <x v="0"/>
    <x v="22"/>
    <x v="2"/>
    <x v="1"/>
    <x v="0"/>
    <x v="5"/>
    <n v="60.96"/>
    <n v="3"/>
    <n v="9.1440000000000001"/>
    <n v="182.88"/>
    <x v="108"/>
    <x v="30"/>
    <x v="2"/>
    <n v="121.92"/>
    <n v="4.7619047620000003"/>
    <n v="60.96"/>
    <n v="5.88"/>
    <n v="96.089100000000002"/>
    <n v="21.9588"/>
  </r>
  <r>
    <x v="372"/>
    <x v="0"/>
    <x v="7"/>
    <x v="1"/>
    <x v="1"/>
    <x v="0"/>
    <x v="4"/>
    <n v="70.11"/>
    <n v="7"/>
    <n v="24.538499999999999"/>
    <n v="490.77"/>
    <x v="167"/>
    <x v="297"/>
    <x v="0"/>
    <n v="420.66"/>
    <n v="4.7619047620000003"/>
    <n v="70.11"/>
    <n v="5.46"/>
    <n v="96.078500000000005"/>
    <n v="19.763300000000001"/>
  </r>
  <r>
    <x v="373"/>
    <x v="0"/>
    <x v="272"/>
    <x v="1"/>
    <x v="1"/>
    <x v="1"/>
    <x v="5"/>
    <n v="42.08"/>
    <n v="7"/>
    <n v="14.728"/>
    <n v="294.56"/>
    <x v="234"/>
    <x v="298"/>
    <x v="1"/>
    <n v="252.48"/>
    <n v="4.7619047620000003"/>
    <n v="42.08"/>
    <n v="9.3450000000000006"/>
    <n v="96.078500000000005"/>
    <n v="19.763300000000001"/>
  </r>
  <r>
    <x v="374"/>
    <x v="0"/>
    <x v="273"/>
    <x v="0"/>
    <x v="1"/>
    <x v="0"/>
    <x v="4"/>
    <n v="67.09"/>
    <n v="5"/>
    <n v="16.772500000000001"/>
    <n v="335.45"/>
    <x v="235"/>
    <x v="157"/>
    <x v="2"/>
    <n v="335.45"/>
    <n v="4.7619047620000003"/>
    <n v="0"/>
    <n v="9.1"/>
    <n v="96.173500000000004"/>
    <n v="16.840900000000001"/>
  </r>
  <r>
    <x v="375"/>
    <x v="0"/>
    <x v="274"/>
    <x v="0"/>
    <x v="0"/>
    <x v="0"/>
    <x v="5"/>
    <n v="96.7"/>
    <n v="7"/>
    <n v="33.844999999999999"/>
    <n v="676.9"/>
    <x v="236"/>
    <x v="299"/>
    <x v="0"/>
    <n v="483.5"/>
    <n v="4.7619047620000003"/>
    <n v="193.4"/>
    <n v="7.46"/>
    <n v="96.173500000000004"/>
    <n v="16.840900000000001"/>
  </r>
  <r>
    <x v="376"/>
    <x v="0"/>
    <x v="114"/>
    <x v="2"/>
    <x v="0"/>
    <x v="0"/>
    <x v="0"/>
    <n v="35.380000000000003"/>
    <n v="18"/>
    <n v="31.841999999999999"/>
    <n v="636.84"/>
    <x v="227"/>
    <x v="300"/>
    <x v="2"/>
    <n v="318.42"/>
    <n v="4.7619047620000003"/>
    <n v="318.42"/>
    <n v="7.46"/>
    <n v="96.089100000000002"/>
    <n v="21.9588"/>
  </r>
  <r>
    <x v="377"/>
    <x v="0"/>
    <x v="72"/>
    <x v="1"/>
    <x v="1"/>
    <x v="1"/>
    <x v="0"/>
    <n v="95.49"/>
    <n v="8"/>
    <n v="38.195999999999998"/>
    <n v="763.92"/>
    <x v="72"/>
    <x v="70"/>
    <x v="0"/>
    <n v="668.43"/>
    <n v="4.7619047620000003"/>
    <n v="95.49"/>
    <n v="7.46"/>
    <n v="96.078500000000005"/>
    <n v="19.763300000000001"/>
  </r>
  <r>
    <x v="378"/>
    <x v="0"/>
    <x v="130"/>
    <x v="1"/>
    <x v="0"/>
    <x v="1"/>
    <x v="0"/>
    <n v="96.98"/>
    <n v="7"/>
    <n v="33.942999999999998"/>
    <n v="678.86"/>
    <x v="237"/>
    <x v="244"/>
    <x v="0"/>
    <n v="387.92"/>
    <n v="4.7619047620000003"/>
    <n v="290.94"/>
    <n v="7.46"/>
    <n v="96.078500000000005"/>
    <n v="19.763300000000001"/>
  </r>
  <r>
    <x v="379"/>
    <x v="0"/>
    <x v="11"/>
    <x v="2"/>
    <x v="1"/>
    <x v="0"/>
    <x v="0"/>
    <n v="23.65"/>
    <n v="6"/>
    <n v="7.0949999999999998"/>
    <n v="141.9"/>
    <x v="162"/>
    <x v="147"/>
    <x v="2"/>
    <n v="94.6"/>
    <n v="4.7619047620000003"/>
    <n v="47.3"/>
    <n v="7.46"/>
    <n v="96.089100000000002"/>
    <n v="21.9588"/>
  </r>
  <r>
    <x v="380"/>
    <x v="0"/>
    <x v="177"/>
    <x v="0"/>
    <x v="0"/>
    <x v="1"/>
    <x v="0"/>
    <n v="82.33"/>
    <n v="6"/>
    <n v="24.699000000000002"/>
    <n v="493.98"/>
    <x v="238"/>
    <x v="4"/>
    <x v="2"/>
    <n v="329.32"/>
    <n v="4.7619047620000003"/>
    <n v="164.66"/>
    <n v="7.46"/>
    <n v="96.173500000000004"/>
    <n v="16.840900000000001"/>
  </r>
  <r>
    <x v="381"/>
    <x v="0"/>
    <x v="275"/>
    <x v="1"/>
    <x v="1"/>
    <x v="0"/>
    <x v="0"/>
    <n v="26.61"/>
    <n v="2"/>
    <n v="2.661"/>
    <n v="53.22"/>
    <x v="239"/>
    <x v="63"/>
    <x v="1"/>
    <n v="53.22"/>
    <n v="4.7619047620000003"/>
    <n v="0"/>
    <n v="7.46"/>
    <n v="96.078500000000005"/>
    <n v="19.763300000000001"/>
  </r>
  <r>
    <x v="382"/>
    <x v="0"/>
    <x v="22"/>
    <x v="2"/>
    <x v="1"/>
    <x v="0"/>
    <x v="0"/>
    <n v="99.69"/>
    <n v="7"/>
    <n v="34.891500000000001"/>
    <n v="697.83"/>
    <x v="123"/>
    <x v="87"/>
    <x v="1"/>
    <n v="498.45"/>
    <n v="4.7619047620000003"/>
    <n v="199.38"/>
    <n v="7.46"/>
    <n v="96.089100000000002"/>
    <n v="21.9588"/>
  </r>
  <r>
    <x v="383"/>
    <x v="0"/>
    <x v="275"/>
    <x v="1"/>
    <x v="0"/>
    <x v="0"/>
    <x v="0"/>
    <n v="74.89"/>
    <n v="7"/>
    <n v="26.211500000000001"/>
    <n v="524.23"/>
    <x v="240"/>
    <x v="301"/>
    <x v="0"/>
    <n v="299.56"/>
    <n v="4.7619047620000003"/>
    <n v="224.67"/>
    <n v="4.41"/>
    <n v="96.078500000000005"/>
    <n v="19.763300000000001"/>
  </r>
  <r>
    <x v="384"/>
    <x v="0"/>
    <x v="276"/>
    <x v="0"/>
    <x v="1"/>
    <x v="0"/>
    <x v="0"/>
    <n v="40.94"/>
    <n v="5"/>
    <n v="10.234999999999999"/>
    <n v="204.7"/>
    <x v="119"/>
    <x v="139"/>
    <x v="0"/>
    <n v="204.7"/>
    <n v="4.7619047620000003"/>
    <n v="0"/>
    <n v="9.9"/>
    <n v="96.173500000000004"/>
    <n v="16.840900000000001"/>
  </r>
  <r>
    <x v="385"/>
    <x v="0"/>
    <x v="30"/>
    <x v="2"/>
    <x v="0"/>
    <x v="1"/>
    <x v="0"/>
    <n v="75.819999999999993"/>
    <n v="1"/>
    <n v="3.7909999999999999"/>
    <n v="75.819999999999993"/>
    <x v="203"/>
    <x v="302"/>
    <x v="1"/>
    <n v="75.819999999999993"/>
    <n v="4.7619047620000003"/>
    <n v="0"/>
    <n v="6.96"/>
    <n v="96.089100000000002"/>
    <n v="21.9588"/>
  </r>
  <r>
    <x v="386"/>
    <x v="0"/>
    <x v="57"/>
    <x v="1"/>
    <x v="1"/>
    <x v="1"/>
    <x v="0"/>
    <n v="46.77"/>
    <n v="7"/>
    <n v="16.369499999999999"/>
    <n v="327.39"/>
    <x v="152"/>
    <x v="303"/>
    <x v="1"/>
    <n v="280.62"/>
    <n v="4.7619047620000003"/>
    <n v="46.77"/>
    <n v="6.3"/>
    <n v="96.078500000000005"/>
    <n v="19.763300000000001"/>
  </r>
  <r>
    <x v="387"/>
    <x v="0"/>
    <x v="188"/>
    <x v="0"/>
    <x v="1"/>
    <x v="0"/>
    <x v="0"/>
    <n v="32.32"/>
    <n v="10"/>
    <n v="16.16"/>
    <n v="323.2"/>
    <x v="237"/>
    <x v="208"/>
    <x v="2"/>
    <n v="323.2"/>
    <n v="4.7619047620000003"/>
    <n v="0"/>
    <n v="10"/>
    <n v="96.173500000000004"/>
    <n v="16.840900000000001"/>
  </r>
  <r>
    <x v="388"/>
    <x v="0"/>
    <x v="172"/>
    <x v="1"/>
    <x v="0"/>
    <x v="0"/>
    <x v="0"/>
    <n v="54.07"/>
    <n v="15"/>
    <n v="40.552500000000002"/>
    <n v="811.05"/>
    <x v="241"/>
    <x v="304"/>
    <x v="0"/>
    <n v="486.63"/>
    <n v="4.7619047620000003"/>
    <n v="324.42"/>
    <n v="9.9749999999999996"/>
    <n v="96.078500000000005"/>
    <n v="19.763300000000001"/>
  </r>
  <r>
    <x v="389"/>
    <x v="0"/>
    <x v="277"/>
    <x v="2"/>
    <x v="1"/>
    <x v="1"/>
    <x v="0"/>
    <n v="18.22"/>
    <n v="10"/>
    <n v="9.11"/>
    <n v="182.2"/>
    <x v="13"/>
    <x v="214"/>
    <x v="2"/>
    <n v="127.54"/>
    <n v="4.7619047620000003"/>
    <n v="54.66"/>
    <n v="7.92"/>
    <n v="96.089100000000002"/>
    <n v="21.9588"/>
  </r>
  <r>
    <x v="390"/>
    <x v="0"/>
    <x v="184"/>
    <x v="1"/>
    <x v="0"/>
    <x v="0"/>
    <x v="0"/>
    <n v="80.48"/>
    <n v="6"/>
    <n v="24.143999999999998"/>
    <n v="482.88"/>
    <x v="140"/>
    <x v="305"/>
    <x v="1"/>
    <n v="241.44"/>
    <n v="4.7619047620000003"/>
    <n v="241.44"/>
    <n v="8.5050000000000008"/>
    <n v="96.078500000000005"/>
    <n v="19.763300000000001"/>
  </r>
  <r>
    <x v="391"/>
    <x v="0"/>
    <x v="21"/>
    <x v="2"/>
    <x v="1"/>
    <x v="0"/>
    <x v="0"/>
    <n v="37.950000000000003"/>
    <n v="14"/>
    <n v="26.565000000000001"/>
    <n v="531.29999999999995"/>
    <x v="242"/>
    <x v="178"/>
    <x v="1"/>
    <n v="379.5"/>
    <n v="4.7619047620000003"/>
    <n v="151.80000000000001"/>
    <n v="10"/>
    <n v="96.089100000000002"/>
    <n v="21.9588"/>
  </r>
  <r>
    <x v="392"/>
    <x v="0"/>
    <x v="278"/>
    <x v="0"/>
    <x v="0"/>
    <x v="1"/>
    <x v="0"/>
    <n v="76.819999999999993"/>
    <n v="1"/>
    <n v="3.8410000000000002"/>
    <n v="76.819999999999993"/>
    <x v="240"/>
    <x v="185"/>
    <x v="0"/>
    <n v="76.819999999999993"/>
    <n v="4.7619047620000003"/>
    <n v="0"/>
    <n v="7.2"/>
    <n v="96.173500000000004"/>
    <n v="16.840900000000001"/>
  </r>
  <r>
    <x v="393"/>
    <x v="0"/>
    <x v="279"/>
    <x v="0"/>
    <x v="0"/>
    <x v="0"/>
    <x v="0"/>
    <n v="52.26"/>
    <n v="14"/>
    <n v="36.582000000000001"/>
    <n v="731.64"/>
    <x v="176"/>
    <x v="47"/>
    <x v="2"/>
    <n v="522.6"/>
    <n v="4.7619047620000003"/>
    <n v="209.04"/>
    <n v="6.2"/>
    <n v="96.173500000000004"/>
    <n v="16.840900000000001"/>
  </r>
  <r>
    <x v="394"/>
    <x v="0"/>
    <x v="280"/>
    <x v="0"/>
    <x v="1"/>
    <x v="0"/>
    <x v="0"/>
    <n v="79.739999999999995"/>
    <n v="1"/>
    <n v="3.9870000000000001"/>
    <n v="79.739999999999995"/>
    <x v="235"/>
    <x v="130"/>
    <x v="0"/>
    <n v="79.739999999999995"/>
    <n v="4.7619047620000003"/>
    <n v="0"/>
    <n v="7.3"/>
    <n v="96.173500000000004"/>
    <n v="16.840900000000001"/>
  </r>
  <r>
    <x v="395"/>
    <x v="0"/>
    <x v="281"/>
    <x v="0"/>
    <x v="1"/>
    <x v="0"/>
    <x v="0"/>
    <n v="77.5"/>
    <n v="5"/>
    <n v="19.375"/>
    <n v="387.5"/>
    <x v="160"/>
    <x v="58"/>
    <x v="0"/>
    <n v="387.5"/>
    <n v="4.7619047620000003"/>
    <n v="0"/>
    <n v="4.3"/>
    <n v="96.173500000000004"/>
    <n v="16.840900000000001"/>
  </r>
  <r>
    <x v="396"/>
    <x v="0"/>
    <x v="125"/>
    <x v="0"/>
    <x v="1"/>
    <x v="0"/>
    <x v="0"/>
    <n v="54.27"/>
    <n v="5"/>
    <n v="13.567500000000001"/>
    <n v="271.35000000000002"/>
    <x v="243"/>
    <x v="249"/>
    <x v="0"/>
    <n v="271.35000000000002"/>
    <n v="4.7619047620000003"/>
    <n v="0"/>
    <n v="4.5999999999999996"/>
    <n v="96.173500000000004"/>
    <n v="16.840900000000001"/>
  </r>
  <r>
    <x v="397"/>
    <x v="0"/>
    <x v="134"/>
    <x v="2"/>
    <x v="1"/>
    <x v="1"/>
    <x v="0"/>
    <n v="13.59"/>
    <n v="13"/>
    <n v="8.8335000000000008"/>
    <n v="176.67"/>
    <x v="244"/>
    <x v="306"/>
    <x v="1"/>
    <n v="122.31"/>
    <n v="4.7619047620000003"/>
    <n v="54.36"/>
    <n v="6.96"/>
    <n v="96.089100000000002"/>
    <n v="21.9588"/>
  </r>
  <r>
    <x v="398"/>
    <x v="0"/>
    <x v="282"/>
    <x v="2"/>
    <x v="0"/>
    <x v="0"/>
    <x v="0"/>
    <n v="41.06"/>
    <n v="11"/>
    <n v="22.582999999999998"/>
    <n v="451.66"/>
    <x v="245"/>
    <x v="241"/>
    <x v="2"/>
    <n v="246.36"/>
    <n v="4.7619047620000003"/>
    <n v="205.3"/>
    <n v="9.9600000000000009"/>
    <n v="96.089100000000002"/>
    <n v="21.9588"/>
  </r>
  <r>
    <x v="399"/>
    <x v="0"/>
    <x v="111"/>
    <x v="2"/>
    <x v="0"/>
    <x v="1"/>
    <x v="0"/>
    <n v="19.239999999999998"/>
    <n v="18"/>
    <n v="17.315999999999999"/>
    <n v="346.32"/>
    <x v="246"/>
    <x v="235"/>
    <x v="1"/>
    <n v="173.16"/>
    <n v="4.7619047620000003"/>
    <n v="173.16"/>
    <n v="9.6"/>
    <n v="96.089100000000002"/>
    <n v="21.9588"/>
  </r>
  <r>
    <x v="400"/>
    <x v="0"/>
    <x v="182"/>
    <x v="1"/>
    <x v="1"/>
    <x v="0"/>
    <x v="0"/>
    <n v="39.43"/>
    <n v="7"/>
    <n v="13.8005"/>
    <n v="276.01"/>
    <x v="247"/>
    <x v="307"/>
    <x v="2"/>
    <n v="236.58"/>
    <n v="4.7619047620000003"/>
    <n v="39.43"/>
    <n v="9.8699999999999992"/>
    <n v="96.078500000000005"/>
    <n v="19.763300000000001"/>
  </r>
  <r>
    <x v="401"/>
    <x v="0"/>
    <x v="283"/>
    <x v="1"/>
    <x v="1"/>
    <x v="1"/>
    <x v="0"/>
    <n v="46.22"/>
    <n v="5"/>
    <n v="11.555"/>
    <n v="231.1"/>
    <x v="213"/>
    <x v="308"/>
    <x v="2"/>
    <n v="184.88"/>
    <n v="4.7619047620000003"/>
    <n v="46.22"/>
    <n v="6.51"/>
    <n v="96.078500000000005"/>
    <n v="19.763300000000001"/>
  </r>
  <r>
    <x v="402"/>
    <x v="0"/>
    <x v="284"/>
    <x v="1"/>
    <x v="0"/>
    <x v="1"/>
    <x v="0"/>
    <n v="13.98"/>
    <n v="1"/>
    <n v="0.69899999999999995"/>
    <n v="13.98"/>
    <x v="248"/>
    <x v="309"/>
    <x v="0"/>
    <n v="13.98"/>
    <n v="4.7619047620000003"/>
    <n v="0"/>
    <n v="10"/>
    <n v="96.078500000000005"/>
    <n v="19.763300000000001"/>
  </r>
  <r>
    <x v="403"/>
    <x v="0"/>
    <x v="118"/>
    <x v="2"/>
    <x v="1"/>
    <x v="0"/>
    <x v="5"/>
    <n v="39.75"/>
    <n v="7"/>
    <n v="13.9125"/>
    <n v="278.25"/>
    <x v="223"/>
    <x v="100"/>
    <x v="0"/>
    <n v="198.75"/>
    <n v="4.7619047620000003"/>
    <n v="79.5"/>
    <n v="10"/>
    <n v="96.089100000000002"/>
    <n v="21.9588"/>
  </r>
  <r>
    <x v="404"/>
    <x v="0"/>
    <x v="109"/>
    <x v="1"/>
    <x v="0"/>
    <x v="0"/>
    <x v="5"/>
    <n v="97.79"/>
    <n v="11"/>
    <n v="53.784500000000001"/>
    <n v="1075.69"/>
    <x v="198"/>
    <x v="310"/>
    <x v="0"/>
    <n v="684.53"/>
    <n v="4.7619047620000003"/>
    <n v="391.16"/>
    <n v="5.1449999999999996"/>
    <n v="96.078500000000005"/>
    <n v="19.763300000000001"/>
  </r>
  <r>
    <x v="405"/>
    <x v="0"/>
    <x v="285"/>
    <x v="0"/>
    <x v="0"/>
    <x v="1"/>
    <x v="3"/>
    <n v="67.260000000000005"/>
    <n v="6"/>
    <n v="20.178000000000001"/>
    <n v="403.56"/>
    <x v="58"/>
    <x v="311"/>
    <x v="2"/>
    <n v="269.04000000000002"/>
    <n v="4.7619047620000003"/>
    <n v="134.52000000000001"/>
    <n v="8"/>
    <n v="96.173500000000004"/>
    <n v="16.840900000000001"/>
  </r>
  <r>
    <x v="406"/>
    <x v="0"/>
    <x v="286"/>
    <x v="0"/>
    <x v="1"/>
    <x v="1"/>
    <x v="2"/>
    <n v="13.79"/>
    <n v="5"/>
    <n v="3.4474999999999998"/>
    <n v="68.95"/>
    <x v="170"/>
    <x v="312"/>
    <x v="2"/>
    <n v="68.95"/>
    <n v="4.7619047620000003"/>
    <n v="0"/>
    <n v="7.8"/>
    <n v="96.173500000000004"/>
    <n v="16.840900000000001"/>
  </r>
  <r>
    <x v="407"/>
    <x v="0"/>
    <x v="287"/>
    <x v="2"/>
    <x v="0"/>
    <x v="0"/>
    <x v="5"/>
    <n v="68.709999999999994"/>
    <n v="8"/>
    <n v="27.484000000000002"/>
    <n v="549.67999999999995"/>
    <x v="156"/>
    <x v="54"/>
    <x v="1"/>
    <n v="274.83999999999997"/>
    <n v="4.7619047620000003"/>
    <n v="274.83999999999997"/>
    <n v="4.92"/>
    <n v="96.089100000000002"/>
    <n v="21.9588"/>
  </r>
  <r>
    <x v="408"/>
    <x v="0"/>
    <x v="288"/>
    <x v="0"/>
    <x v="1"/>
    <x v="0"/>
    <x v="4"/>
    <n v="56.53"/>
    <n v="4"/>
    <n v="11.305999999999999"/>
    <n v="226.12"/>
    <x v="45"/>
    <x v="28"/>
    <x v="0"/>
    <n v="226.12"/>
    <n v="4.7619047620000003"/>
    <n v="0"/>
    <n v="5.5"/>
    <n v="96.173500000000004"/>
    <n v="16.840900000000001"/>
  </r>
  <r>
    <x v="409"/>
    <x v="0"/>
    <x v="122"/>
    <x v="1"/>
    <x v="1"/>
    <x v="0"/>
    <x v="5"/>
    <n v="23.82"/>
    <n v="6"/>
    <n v="7.1459999999999999"/>
    <n v="142.91999999999999"/>
    <x v="174"/>
    <x v="225"/>
    <x v="0"/>
    <n v="119.1"/>
    <n v="4.7619047620000003"/>
    <n v="23.82"/>
    <n v="5.67"/>
    <n v="96.078500000000005"/>
    <n v="19.763300000000001"/>
  </r>
  <r>
    <x v="410"/>
    <x v="0"/>
    <x v="63"/>
    <x v="2"/>
    <x v="1"/>
    <x v="0"/>
    <x v="0"/>
    <n v="34.21"/>
    <n v="14"/>
    <n v="23.946999999999999"/>
    <n v="478.94"/>
    <x v="249"/>
    <x v="127"/>
    <x v="1"/>
    <n v="342.1"/>
    <n v="4.7619047620000003"/>
    <n v="136.84"/>
    <n v="6.12"/>
    <n v="96.089100000000002"/>
    <n v="21.9588"/>
  </r>
  <r>
    <x v="411"/>
    <x v="0"/>
    <x v="30"/>
    <x v="2"/>
    <x v="1"/>
    <x v="1"/>
    <x v="3"/>
    <n v="21.87"/>
    <n v="3"/>
    <n v="3.2805"/>
    <n v="65.61"/>
    <x v="235"/>
    <x v="194"/>
    <x v="0"/>
    <n v="43.74"/>
    <n v="4.7619047620000003"/>
    <n v="21.87"/>
    <n v="8.2799999999999994"/>
    <n v="96.089100000000002"/>
    <n v="21.9588"/>
  </r>
  <r>
    <x v="412"/>
    <x v="0"/>
    <x v="289"/>
    <x v="0"/>
    <x v="0"/>
    <x v="1"/>
    <x v="0"/>
    <n v="20.97"/>
    <n v="7"/>
    <n v="7.3395000000000001"/>
    <n v="146.79"/>
    <x v="250"/>
    <x v="265"/>
    <x v="1"/>
    <n v="104.85"/>
    <n v="4.7619047620000003"/>
    <n v="41.94"/>
    <n v="7.8"/>
    <n v="96.173500000000004"/>
    <n v="16.840900000000001"/>
  </r>
  <r>
    <x v="413"/>
    <x v="0"/>
    <x v="290"/>
    <x v="0"/>
    <x v="1"/>
    <x v="1"/>
    <x v="3"/>
    <n v="25.84"/>
    <n v="3"/>
    <n v="3.8759999999999999"/>
    <n v="77.52"/>
    <x v="251"/>
    <x v="313"/>
    <x v="0"/>
    <n v="77.52"/>
    <n v="4.7619047620000003"/>
    <n v="0"/>
    <n v="6.6"/>
    <n v="96.173500000000004"/>
    <n v="16.840900000000001"/>
  </r>
  <r>
    <x v="414"/>
    <x v="0"/>
    <x v="291"/>
    <x v="0"/>
    <x v="1"/>
    <x v="1"/>
    <x v="4"/>
    <n v="50.93"/>
    <n v="8"/>
    <n v="20.372"/>
    <n v="407.44"/>
    <x v="252"/>
    <x v="314"/>
    <x v="0"/>
    <n v="407.44"/>
    <n v="4.7619047620000003"/>
    <n v="0"/>
    <n v="9.1999999999999993"/>
    <n v="96.173500000000004"/>
    <n v="16.840900000000001"/>
  </r>
  <r>
    <x v="415"/>
    <x v="0"/>
    <x v="38"/>
    <x v="2"/>
    <x v="1"/>
    <x v="1"/>
    <x v="0"/>
    <n v="96.11"/>
    <n v="1"/>
    <n v="4.8055000000000003"/>
    <n v="96.11"/>
    <x v="253"/>
    <x v="235"/>
    <x v="0"/>
    <n v="96.11"/>
    <n v="4.7619047620000003"/>
    <n v="0"/>
    <n v="9.36"/>
    <n v="96.089100000000002"/>
    <n v="21.9588"/>
  </r>
  <r>
    <x v="416"/>
    <x v="0"/>
    <x v="292"/>
    <x v="1"/>
    <x v="1"/>
    <x v="0"/>
    <x v="4"/>
    <n v="45.38"/>
    <n v="5"/>
    <n v="11.345000000000001"/>
    <n v="226.9"/>
    <x v="47"/>
    <x v="128"/>
    <x v="2"/>
    <n v="181.52"/>
    <n v="4.7619047620000003"/>
    <n v="45.38"/>
    <n v="9.1349999999999998"/>
    <n v="96.078500000000005"/>
    <n v="19.763300000000001"/>
  </r>
  <r>
    <x v="417"/>
    <x v="0"/>
    <x v="116"/>
    <x v="1"/>
    <x v="0"/>
    <x v="0"/>
    <x v="0"/>
    <n v="81.510000000000005"/>
    <n v="1"/>
    <n v="4.0754999999999999"/>
    <n v="81.510000000000005"/>
    <x v="254"/>
    <x v="315"/>
    <x v="0"/>
    <n v="81.510000000000005"/>
    <n v="4.7619047620000003"/>
    <n v="0"/>
    <n v="9.66"/>
    <n v="96.078500000000005"/>
    <n v="19.763300000000001"/>
  </r>
  <r>
    <x v="418"/>
    <x v="0"/>
    <x v="293"/>
    <x v="2"/>
    <x v="1"/>
    <x v="0"/>
    <x v="0"/>
    <n v="57.22"/>
    <n v="3"/>
    <n v="8.5830000000000002"/>
    <n v="171.66"/>
    <x v="255"/>
    <x v="316"/>
    <x v="0"/>
    <n v="114.44"/>
    <n v="4.7619047620000003"/>
    <n v="57.22"/>
    <n v="9.9600000000000009"/>
    <n v="96.089100000000002"/>
    <n v="21.9588"/>
  </r>
  <r>
    <x v="419"/>
    <x v="0"/>
    <x v="192"/>
    <x v="0"/>
    <x v="0"/>
    <x v="0"/>
    <x v="1"/>
    <n v="25.22"/>
    <n v="10"/>
    <n v="12.61"/>
    <n v="252.2"/>
    <x v="256"/>
    <x v="81"/>
    <x v="1"/>
    <n v="176.54"/>
    <n v="4.7619047620000003"/>
    <n v="75.66"/>
    <n v="8.1999999999999993"/>
    <n v="96.173500000000004"/>
    <n v="16.840900000000001"/>
  </r>
  <r>
    <x v="420"/>
    <x v="0"/>
    <x v="294"/>
    <x v="1"/>
    <x v="1"/>
    <x v="0"/>
    <x v="2"/>
    <n v="38.6"/>
    <n v="4"/>
    <n v="7.72"/>
    <n v="154.4"/>
    <x v="158"/>
    <x v="317"/>
    <x v="0"/>
    <n v="115.8"/>
    <n v="4.7619047620000003"/>
    <n v="38.6"/>
    <n v="7.875"/>
    <n v="96.078500000000005"/>
    <n v="19.763300000000001"/>
  </r>
  <r>
    <x v="421"/>
    <x v="0"/>
    <x v="295"/>
    <x v="1"/>
    <x v="1"/>
    <x v="0"/>
    <x v="1"/>
    <n v="84.05"/>
    <n v="4"/>
    <n v="16.809999999999999"/>
    <n v="336.2"/>
    <x v="143"/>
    <x v="236"/>
    <x v="1"/>
    <n v="252.15"/>
    <n v="4.7619047620000003"/>
    <n v="84.05"/>
    <n v="10"/>
    <n v="96.078500000000005"/>
    <n v="19.763300000000001"/>
  </r>
  <r>
    <x v="422"/>
    <x v="0"/>
    <x v="239"/>
    <x v="1"/>
    <x v="1"/>
    <x v="0"/>
    <x v="5"/>
    <n v="97.21"/>
    <n v="12"/>
    <n v="58.326000000000001"/>
    <n v="1166.52"/>
    <x v="169"/>
    <x v="127"/>
    <x v="2"/>
    <n v="972.1"/>
    <n v="4.7619047620000003"/>
    <n v="194.42"/>
    <n v="7.46"/>
    <n v="96.078500000000005"/>
    <n v="19.763300000000001"/>
  </r>
  <r>
    <x v="423"/>
    <x v="0"/>
    <x v="255"/>
    <x v="2"/>
    <x v="1"/>
    <x v="1"/>
    <x v="5"/>
    <n v="25.42"/>
    <n v="11"/>
    <n v="13.981"/>
    <n v="279.62"/>
    <x v="257"/>
    <x v="144"/>
    <x v="2"/>
    <n v="203.36"/>
    <n v="4.7619047620000003"/>
    <n v="76.260000000000005"/>
    <n v="7.46"/>
    <n v="96.089100000000002"/>
    <n v="21.9588"/>
  </r>
  <r>
    <x v="424"/>
    <x v="0"/>
    <x v="89"/>
    <x v="1"/>
    <x v="1"/>
    <x v="1"/>
    <x v="5"/>
    <n v="16.28"/>
    <n v="1"/>
    <n v="0.81399999999999995"/>
    <n v="16.28"/>
    <x v="258"/>
    <x v="29"/>
    <x v="1"/>
    <n v="16.28"/>
    <n v="4.7619047620000003"/>
    <n v="0"/>
    <n v="7.46"/>
    <n v="96.078500000000005"/>
    <n v="19.763300000000001"/>
  </r>
  <r>
    <x v="425"/>
    <x v="0"/>
    <x v="252"/>
    <x v="2"/>
    <x v="1"/>
    <x v="1"/>
    <x v="5"/>
    <n v="40.61"/>
    <n v="13"/>
    <n v="26.3965"/>
    <n v="527.92999999999995"/>
    <x v="126"/>
    <x v="61"/>
    <x v="1"/>
    <n v="365.49"/>
    <n v="4.7619047620000003"/>
    <n v="162.44"/>
    <n v="7.46"/>
    <n v="96.089100000000002"/>
    <n v="21.9588"/>
  </r>
  <r>
    <x v="426"/>
    <x v="0"/>
    <x v="296"/>
    <x v="0"/>
    <x v="1"/>
    <x v="1"/>
    <x v="0"/>
    <n v="53.17"/>
    <n v="7"/>
    <n v="18.609500000000001"/>
    <n v="372.19"/>
    <x v="25"/>
    <x v="240"/>
    <x v="1"/>
    <n v="372.19"/>
    <n v="4.7619047620000003"/>
    <n v="0"/>
    <n v="7.46"/>
    <n v="96.173500000000004"/>
    <n v="16.840900000000001"/>
  </r>
  <r>
    <x v="427"/>
    <x v="0"/>
    <x v="139"/>
    <x v="2"/>
    <x v="1"/>
    <x v="0"/>
    <x v="2"/>
    <n v="20.87"/>
    <n v="4"/>
    <n v="4.1740000000000004"/>
    <n v="83.48"/>
    <x v="259"/>
    <x v="318"/>
    <x v="2"/>
    <n v="62.61"/>
    <n v="4.7619047620000003"/>
    <n v="20.87"/>
    <n v="7.46"/>
    <n v="96.089100000000002"/>
    <n v="21.9588"/>
  </r>
  <r>
    <x v="428"/>
    <x v="0"/>
    <x v="46"/>
    <x v="2"/>
    <x v="1"/>
    <x v="1"/>
    <x v="3"/>
    <n v="67.27"/>
    <n v="7"/>
    <n v="23.544499999999999"/>
    <n v="470.89"/>
    <x v="98"/>
    <x v="272"/>
    <x v="1"/>
    <n v="336.35"/>
    <n v="4.7619047620000003"/>
    <n v="134.54"/>
    <n v="7.46"/>
    <n v="96.089100000000002"/>
    <n v="21.9588"/>
  </r>
  <r>
    <x v="429"/>
    <x v="0"/>
    <x v="290"/>
    <x v="0"/>
    <x v="1"/>
    <x v="0"/>
    <x v="4"/>
    <n v="90.65"/>
    <n v="10"/>
    <n v="45.325000000000003"/>
    <n v="906.5"/>
    <x v="260"/>
    <x v="164"/>
    <x v="0"/>
    <n v="906.5"/>
    <n v="4.7619047620000003"/>
    <n v="0"/>
    <n v="7.46"/>
    <n v="96.173500000000004"/>
    <n v="16.840900000000001"/>
  </r>
  <r>
    <x v="430"/>
    <x v="0"/>
    <x v="158"/>
    <x v="2"/>
    <x v="1"/>
    <x v="1"/>
    <x v="5"/>
    <n v="69.08"/>
    <n v="3"/>
    <n v="10.362"/>
    <n v="207.24"/>
    <x v="261"/>
    <x v="28"/>
    <x v="2"/>
    <n v="138.16"/>
    <n v="4.7619047620000003"/>
    <n v="69.08"/>
    <n v="8.2799999999999994"/>
    <n v="96.089100000000002"/>
    <n v="21.9588"/>
  </r>
  <r>
    <x v="431"/>
    <x v="0"/>
    <x v="67"/>
    <x v="1"/>
    <x v="1"/>
    <x v="1"/>
    <x v="2"/>
    <n v="43.27"/>
    <n v="2"/>
    <n v="4.327"/>
    <n v="86.54"/>
    <x v="99"/>
    <x v="319"/>
    <x v="0"/>
    <n v="86.54"/>
    <n v="4.7619047620000003"/>
    <n v="0"/>
    <n v="5.9850000000000003"/>
    <n v="96.078500000000005"/>
    <n v="19.763300000000001"/>
  </r>
  <r>
    <x v="432"/>
    <x v="0"/>
    <x v="297"/>
    <x v="0"/>
    <x v="1"/>
    <x v="0"/>
    <x v="1"/>
    <n v="23.46"/>
    <n v="6"/>
    <n v="7.0380000000000003"/>
    <n v="140.76"/>
    <x v="262"/>
    <x v="195"/>
    <x v="0"/>
    <n v="140.76"/>
    <n v="4.7619047620000003"/>
    <n v="0"/>
    <n v="6.4"/>
    <n v="96.173500000000004"/>
    <n v="16.840900000000001"/>
  </r>
  <r>
    <x v="433"/>
    <x v="0"/>
    <x v="298"/>
    <x v="2"/>
    <x v="1"/>
    <x v="1"/>
    <x v="5"/>
    <n v="95.54"/>
    <n v="10"/>
    <n v="47.77"/>
    <n v="955.4"/>
    <x v="7"/>
    <x v="6"/>
    <x v="2"/>
    <n v="668.78"/>
    <n v="4.7619047620000003"/>
    <n v="286.62"/>
    <n v="10"/>
    <n v="96.089100000000002"/>
    <n v="21.9588"/>
  </r>
  <r>
    <x v="434"/>
    <x v="0"/>
    <x v="176"/>
    <x v="2"/>
    <x v="1"/>
    <x v="0"/>
    <x v="5"/>
    <n v="47.44"/>
    <n v="1"/>
    <n v="2.3719999999999999"/>
    <n v="47.44"/>
    <x v="208"/>
    <x v="96"/>
    <x v="2"/>
    <n v="47.44"/>
    <n v="4.7619047620000003"/>
    <n v="0"/>
    <n v="8.16"/>
    <n v="96.089100000000002"/>
    <n v="21.9588"/>
  </r>
  <r>
    <x v="435"/>
    <x v="0"/>
    <x v="75"/>
    <x v="1"/>
    <x v="1"/>
    <x v="1"/>
    <x v="3"/>
    <n v="99.24"/>
    <n v="11"/>
    <n v="54.582000000000001"/>
    <n v="1091.6400000000001"/>
    <x v="83"/>
    <x v="268"/>
    <x v="0"/>
    <n v="893.16"/>
    <n v="4.7619047620000003"/>
    <n v="198.48"/>
    <n v="9.4499999999999993"/>
    <n v="96.078500000000005"/>
    <n v="19.763300000000001"/>
  </r>
  <r>
    <x v="436"/>
    <x v="0"/>
    <x v="299"/>
    <x v="1"/>
    <x v="1"/>
    <x v="1"/>
    <x v="3"/>
    <n v="82.93"/>
    <n v="5"/>
    <n v="20.732500000000002"/>
    <n v="414.65"/>
    <x v="263"/>
    <x v="320"/>
    <x v="0"/>
    <n v="331.72"/>
    <n v="4.7619047620000003"/>
    <n v="82.93"/>
    <n v="10"/>
    <n v="96.078500000000005"/>
    <n v="19.763300000000001"/>
  </r>
  <r>
    <x v="437"/>
    <x v="0"/>
    <x v="236"/>
    <x v="0"/>
    <x v="1"/>
    <x v="1"/>
    <x v="4"/>
    <n v="33.99"/>
    <n v="6"/>
    <n v="10.196999999999999"/>
    <n v="203.94"/>
    <x v="264"/>
    <x v="321"/>
    <x v="2"/>
    <n v="203.94"/>
    <n v="4.7619047620000003"/>
    <n v="0"/>
    <n v="7.7"/>
    <n v="96.173500000000004"/>
    <n v="16.840900000000001"/>
  </r>
  <r>
    <x v="438"/>
    <x v="0"/>
    <x v="284"/>
    <x v="1"/>
    <x v="1"/>
    <x v="1"/>
    <x v="2"/>
    <n v="17.04"/>
    <n v="5"/>
    <n v="4.26"/>
    <n v="85.2"/>
    <x v="107"/>
    <x v="322"/>
    <x v="0"/>
    <n v="68.16"/>
    <n v="4.7619047620000003"/>
    <n v="17.04"/>
    <n v="7.35"/>
    <n v="96.078500000000005"/>
    <n v="19.763300000000001"/>
  </r>
  <r>
    <x v="439"/>
    <x v="0"/>
    <x v="227"/>
    <x v="1"/>
    <x v="1"/>
    <x v="0"/>
    <x v="0"/>
    <n v="40.86"/>
    <n v="10"/>
    <n v="20.43"/>
    <n v="408.6"/>
    <x v="265"/>
    <x v="242"/>
    <x v="2"/>
    <n v="326.88"/>
    <n v="4.7619047620000003"/>
    <n v="81.72"/>
    <n v="6.8250000000000002"/>
    <n v="96.078500000000005"/>
    <n v="19.763300000000001"/>
  </r>
  <r>
    <x v="440"/>
    <x v="0"/>
    <x v="300"/>
    <x v="1"/>
    <x v="1"/>
    <x v="1"/>
    <x v="0"/>
    <n v="17.440000000000001"/>
    <n v="6"/>
    <n v="5.2320000000000002"/>
    <n v="104.64"/>
    <x v="2"/>
    <x v="126"/>
    <x v="1"/>
    <n v="87.2"/>
    <n v="4.7619047620000003"/>
    <n v="17.440000000000001"/>
    <n v="8.5050000000000008"/>
    <n v="96.078500000000005"/>
    <n v="19.763300000000001"/>
  </r>
  <r>
    <x v="441"/>
    <x v="0"/>
    <x v="106"/>
    <x v="2"/>
    <x v="0"/>
    <x v="0"/>
    <x v="0"/>
    <n v="88.43"/>
    <n v="15"/>
    <n v="66.322500000000005"/>
    <n v="1326.45"/>
    <x v="16"/>
    <x v="323"/>
    <x v="2"/>
    <n v="707.44"/>
    <n v="4.7619047620000003"/>
    <n v="619.01"/>
    <n v="5.16"/>
    <n v="96.089100000000002"/>
    <n v="21.9588"/>
  </r>
  <r>
    <x v="442"/>
    <x v="0"/>
    <x v="301"/>
    <x v="0"/>
    <x v="0"/>
    <x v="0"/>
    <x v="0"/>
    <n v="89.21"/>
    <n v="13"/>
    <n v="57.986499999999999"/>
    <n v="1159.73"/>
    <x v="111"/>
    <x v="324"/>
    <x v="2"/>
    <n v="802.89"/>
    <n v="4.7619047620000003"/>
    <n v="356.84"/>
    <n v="6.5"/>
    <n v="96.173500000000004"/>
    <n v="16.840900000000001"/>
  </r>
  <r>
    <x v="443"/>
    <x v="0"/>
    <x v="50"/>
    <x v="1"/>
    <x v="1"/>
    <x v="1"/>
    <x v="0"/>
    <n v="12.78"/>
    <n v="1"/>
    <n v="0.63900000000000001"/>
    <n v="12.78"/>
    <x v="25"/>
    <x v="325"/>
    <x v="0"/>
    <n v="12.78"/>
    <n v="4.7619047620000003"/>
    <n v="0"/>
    <n v="9.9749999999999996"/>
    <n v="96.078500000000005"/>
    <n v="19.763300000000001"/>
  </r>
  <r>
    <x v="444"/>
    <x v="0"/>
    <x v="302"/>
    <x v="0"/>
    <x v="1"/>
    <x v="0"/>
    <x v="0"/>
    <n v="19.100000000000001"/>
    <n v="7"/>
    <n v="6.6849999999999996"/>
    <n v="133.69999999999999"/>
    <x v="253"/>
    <x v="100"/>
    <x v="1"/>
    <n v="133.69999999999999"/>
    <n v="4.7619047620000003"/>
    <n v="0"/>
    <n v="9.6999999999999993"/>
    <n v="96.173500000000004"/>
    <n v="16.840900000000001"/>
  </r>
  <r>
    <x v="445"/>
    <x v="0"/>
    <x v="260"/>
    <x v="2"/>
    <x v="0"/>
    <x v="0"/>
    <x v="0"/>
    <n v="19.149999999999999"/>
    <n v="1"/>
    <n v="0.95750000000000002"/>
    <n v="19.149999999999999"/>
    <x v="122"/>
    <x v="326"/>
    <x v="2"/>
    <n v="19.149999999999999"/>
    <n v="4.7619047620000003"/>
    <n v="0"/>
    <n v="10"/>
    <n v="96.089100000000002"/>
    <n v="21.9588"/>
  </r>
  <r>
    <x v="446"/>
    <x v="0"/>
    <x v="201"/>
    <x v="1"/>
    <x v="0"/>
    <x v="1"/>
    <x v="2"/>
    <n v="27.66"/>
    <n v="17"/>
    <n v="23.510999999999999"/>
    <n v="470.22"/>
    <x v="266"/>
    <x v="55"/>
    <x v="2"/>
    <n v="276.60000000000002"/>
    <n v="4.7619047620000003"/>
    <n v="193.62"/>
    <n v="9.3450000000000006"/>
    <n v="96.078500000000005"/>
    <n v="19.763300000000001"/>
  </r>
  <r>
    <x v="447"/>
    <x v="0"/>
    <x v="160"/>
    <x v="1"/>
    <x v="1"/>
    <x v="1"/>
    <x v="5"/>
    <n v="45.74"/>
    <n v="4"/>
    <n v="9.1479999999999997"/>
    <n v="182.96"/>
    <x v="150"/>
    <x v="180"/>
    <x v="2"/>
    <n v="137.22"/>
    <n v="4.7619047620000003"/>
    <n v="45.74"/>
    <n v="6.8250000000000002"/>
    <n v="96.078500000000005"/>
    <n v="19.763300000000001"/>
  </r>
  <r>
    <x v="448"/>
    <x v="0"/>
    <x v="303"/>
    <x v="2"/>
    <x v="0"/>
    <x v="0"/>
    <x v="0"/>
    <n v="27.07"/>
    <n v="1"/>
    <n v="1.3534999999999999"/>
    <n v="27.07"/>
    <x v="87"/>
    <x v="105"/>
    <x v="2"/>
    <n v="27.07"/>
    <n v="4.7619047620000003"/>
    <n v="0"/>
    <n v="6.36"/>
    <n v="96.089100000000002"/>
    <n v="21.9588"/>
  </r>
  <r>
    <x v="449"/>
    <x v="0"/>
    <x v="266"/>
    <x v="2"/>
    <x v="0"/>
    <x v="0"/>
    <x v="5"/>
    <n v="39.119999999999997"/>
    <n v="1"/>
    <n v="1.956"/>
    <n v="39.119999999999997"/>
    <x v="23"/>
    <x v="327"/>
    <x v="2"/>
    <n v="39.119999999999997"/>
    <n v="4.7619047620000003"/>
    <n v="0"/>
    <n v="10"/>
    <n v="96.089100000000002"/>
    <n v="21.9588"/>
  </r>
  <r>
    <x v="450"/>
    <x v="0"/>
    <x v="304"/>
    <x v="2"/>
    <x v="1"/>
    <x v="0"/>
    <x v="5"/>
    <n v="74.709999999999994"/>
    <n v="8"/>
    <n v="29.884"/>
    <n v="597.67999999999995"/>
    <x v="190"/>
    <x v="312"/>
    <x v="1"/>
    <n v="448.26"/>
    <n v="4.7619047620000003"/>
    <n v="149.41999999999999"/>
    <n v="8.0399999999999991"/>
    <n v="96.089100000000002"/>
    <n v="21.9588"/>
  </r>
  <r>
    <x v="451"/>
    <x v="0"/>
    <x v="191"/>
    <x v="2"/>
    <x v="1"/>
    <x v="1"/>
    <x v="5"/>
    <n v="22.01"/>
    <n v="8"/>
    <n v="8.8040000000000003"/>
    <n v="176.08"/>
    <x v="23"/>
    <x v="68"/>
    <x v="1"/>
    <n v="132.06"/>
    <n v="4.7619047620000003"/>
    <n v="44.02"/>
    <n v="9.1199999999999992"/>
    <n v="96.089100000000002"/>
    <n v="21.9588"/>
  </r>
  <r>
    <x v="452"/>
    <x v="0"/>
    <x v="305"/>
    <x v="0"/>
    <x v="1"/>
    <x v="0"/>
    <x v="5"/>
    <n v="63.61"/>
    <n v="5"/>
    <n v="15.9025"/>
    <n v="318.05"/>
    <x v="163"/>
    <x v="31"/>
    <x v="0"/>
    <n v="318.05"/>
    <n v="4.7619047620000003"/>
    <n v="0"/>
    <n v="4.8"/>
    <n v="96.173500000000004"/>
    <n v="16.840900000000001"/>
  </r>
  <r>
    <x v="453"/>
    <x v="0"/>
    <x v="306"/>
    <x v="0"/>
    <x v="1"/>
    <x v="1"/>
    <x v="5"/>
    <n v="25"/>
    <n v="1"/>
    <n v="1.25"/>
    <n v="25"/>
    <x v="252"/>
    <x v="328"/>
    <x v="0"/>
    <n v="25"/>
    <n v="4.7619047620000003"/>
    <n v="0"/>
    <n v="5.5"/>
    <n v="96.173500000000004"/>
    <n v="16.840900000000001"/>
  </r>
  <r>
    <x v="454"/>
    <x v="0"/>
    <x v="307"/>
    <x v="0"/>
    <x v="0"/>
    <x v="1"/>
    <x v="5"/>
    <n v="20.77"/>
    <n v="6"/>
    <n v="6.2309999999999999"/>
    <n v="124.62"/>
    <x v="77"/>
    <x v="329"/>
    <x v="1"/>
    <n v="83.08"/>
    <n v="4.7619047620000003"/>
    <n v="41.54"/>
    <n v="4.7"/>
    <n v="96.173500000000004"/>
    <n v="16.840900000000001"/>
  </r>
  <r>
    <x v="455"/>
    <x v="0"/>
    <x v="308"/>
    <x v="2"/>
    <x v="0"/>
    <x v="0"/>
    <x v="5"/>
    <n v="29.56"/>
    <n v="10"/>
    <n v="14.78"/>
    <n v="295.60000000000002"/>
    <x v="220"/>
    <x v="330"/>
    <x v="1"/>
    <n v="147.80000000000001"/>
    <n v="4.7619047620000003"/>
    <n v="147.80000000000001"/>
    <n v="8.2799999999999994"/>
    <n v="96.089100000000002"/>
    <n v="21.9588"/>
  </r>
  <r>
    <x v="456"/>
    <x v="0"/>
    <x v="309"/>
    <x v="2"/>
    <x v="0"/>
    <x v="0"/>
    <x v="5"/>
    <n v="77.400000000000006"/>
    <n v="18"/>
    <n v="69.66"/>
    <n v="1393.2"/>
    <x v="179"/>
    <x v="331"/>
    <x v="2"/>
    <n v="696.6"/>
    <n v="4.7619047620000003"/>
    <n v="696.6"/>
    <n v="5.4"/>
    <n v="96.089100000000002"/>
    <n v="21.9588"/>
  </r>
  <r>
    <x v="457"/>
    <x v="0"/>
    <x v="88"/>
    <x v="2"/>
    <x v="1"/>
    <x v="1"/>
    <x v="5"/>
    <n v="79.39"/>
    <n v="14"/>
    <n v="55.573"/>
    <n v="1111.46"/>
    <x v="160"/>
    <x v="181"/>
    <x v="1"/>
    <n v="793.9"/>
    <n v="4.7619047620000003"/>
    <n v="317.56"/>
    <n v="7.44"/>
    <n v="96.089100000000002"/>
    <n v="21.9588"/>
  </r>
  <r>
    <x v="458"/>
    <x v="0"/>
    <x v="310"/>
    <x v="1"/>
    <x v="0"/>
    <x v="0"/>
    <x v="5"/>
    <n v="46.57"/>
    <n v="17"/>
    <n v="39.584499999999998"/>
    <n v="791.69"/>
    <x v="118"/>
    <x v="139"/>
    <x v="1"/>
    <n v="465.7"/>
    <n v="4.7619047620000003"/>
    <n v="325.99"/>
    <n v="7.98"/>
    <n v="96.078500000000005"/>
    <n v="19.763300000000001"/>
  </r>
  <r>
    <x v="459"/>
    <x v="0"/>
    <x v="311"/>
    <x v="1"/>
    <x v="1"/>
    <x v="1"/>
    <x v="5"/>
    <n v="35.89"/>
    <n v="1"/>
    <n v="1.7945"/>
    <n v="35.89"/>
    <x v="267"/>
    <x v="233"/>
    <x v="2"/>
    <n v="35.89"/>
    <n v="4.7619047620000003"/>
    <n v="0"/>
    <n v="8.2949999999999999"/>
    <n v="96.078500000000005"/>
    <n v="19.763300000000001"/>
  </r>
  <r>
    <x v="460"/>
    <x v="0"/>
    <x v="256"/>
    <x v="1"/>
    <x v="1"/>
    <x v="1"/>
    <x v="5"/>
    <n v="40.520000000000003"/>
    <n v="6"/>
    <n v="12.156000000000001"/>
    <n v="243.12"/>
    <x v="268"/>
    <x v="332"/>
    <x v="1"/>
    <n v="202.6"/>
    <n v="4.7619047620000003"/>
    <n v="40.520000000000003"/>
    <n v="4.7249999999999996"/>
    <n v="96.078500000000005"/>
    <n v="19.763300000000001"/>
  </r>
  <r>
    <x v="461"/>
    <x v="0"/>
    <x v="252"/>
    <x v="2"/>
    <x v="0"/>
    <x v="0"/>
    <x v="5"/>
    <n v="73.05"/>
    <n v="20"/>
    <n v="73.05"/>
    <n v="1461"/>
    <x v="33"/>
    <x v="298"/>
    <x v="2"/>
    <n v="730.5"/>
    <n v="4.7619047620000003"/>
    <n v="730.5"/>
    <n v="10"/>
    <n v="96.089100000000002"/>
    <n v="21.9588"/>
  </r>
  <r>
    <x v="462"/>
    <x v="0"/>
    <x v="47"/>
    <x v="1"/>
    <x v="1"/>
    <x v="0"/>
    <x v="3"/>
    <n v="73.95"/>
    <n v="5"/>
    <n v="18.487500000000001"/>
    <n v="369.75"/>
    <x v="253"/>
    <x v="177"/>
    <x v="1"/>
    <n v="295.8"/>
    <n v="4.7619047620000003"/>
    <n v="73.95"/>
    <n v="6.4050000000000002"/>
    <n v="96.078500000000005"/>
    <n v="19.763300000000001"/>
  </r>
  <r>
    <x v="463"/>
    <x v="0"/>
    <x v="312"/>
    <x v="1"/>
    <x v="0"/>
    <x v="0"/>
    <x v="2"/>
    <n v="22.62"/>
    <n v="1"/>
    <n v="1.131"/>
    <n v="22.62"/>
    <x v="107"/>
    <x v="262"/>
    <x v="1"/>
    <n v="22.62"/>
    <n v="4.7619047620000003"/>
    <n v="0"/>
    <n v="6.72"/>
    <n v="96.078500000000005"/>
    <n v="19.763300000000001"/>
  </r>
  <r>
    <x v="464"/>
    <x v="0"/>
    <x v="163"/>
    <x v="0"/>
    <x v="0"/>
    <x v="1"/>
    <x v="2"/>
    <n v="51.34"/>
    <n v="7"/>
    <n v="17.969000000000001"/>
    <n v="359.38"/>
    <x v="269"/>
    <x v="26"/>
    <x v="2"/>
    <n v="256.7"/>
    <n v="4.7619047620000003"/>
    <n v="102.68"/>
    <n v="9.1"/>
    <n v="96.173500000000004"/>
    <n v="16.840900000000001"/>
  </r>
  <r>
    <x v="465"/>
    <x v="0"/>
    <x v="50"/>
    <x v="1"/>
    <x v="0"/>
    <x v="0"/>
    <x v="3"/>
    <n v="54.55"/>
    <n v="17"/>
    <n v="46.3675"/>
    <n v="927.35"/>
    <x v="270"/>
    <x v="218"/>
    <x v="2"/>
    <n v="545.5"/>
    <n v="4.7619047620000003"/>
    <n v="381.85"/>
    <n v="7.4550000000000001"/>
    <n v="96.078500000000005"/>
    <n v="19.763300000000001"/>
  </r>
  <r>
    <x v="466"/>
    <x v="0"/>
    <x v="313"/>
    <x v="1"/>
    <x v="0"/>
    <x v="0"/>
    <x v="0"/>
    <n v="37.15"/>
    <n v="11"/>
    <n v="20.432500000000001"/>
    <n v="408.65"/>
    <x v="103"/>
    <x v="258"/>
    <x v="2"/>
    <n v="260.05"/>
    <n v="4.7619047620000003"/>
    <n v="148.6"/>
    <n v="8.0850000000000009"/>
    <n v="96.078500000000005"/>
    <n v="19.763300000000001"/>
  </r>
  <r>
    <x v="467"/>
    <x v="0"/>
    <x v="314"/>
    <x v="2"/>
    <x v="1"/>
    <x v="1"/>
    <x v="3"/>
    <n v="37.020000000000003"/>
    <n v="8"/>
    <n v="14.808"/>
    <n v="296.16000000000003"/>
    <x v="30"/>
    <x v="333"/>
    <x v="1"/>
    <n v="222.12"/>
    <n v="4.7619047620000003"/>
    <n v="74.040000000000006"/>
    <n v="5.4"/>
    <n v="96.089100000000002"/>
    <n v="21.9588"/>
  </r>
  <r>
    <x v="468"/>
    <x v="0"/>
    <x v="253"/>
    <x v="1"/>
    <x v="1"/>
    <x v="1"/>
    <x v="2"/>
    <n v="21.58"/>
    <n v="1"/>
    <n v="1.079"/>
    <n v="21.58"/>
    <x v="75"/>
    <x v="177"/>
    <x v="0"/>
    <n v="21.58"/>
    <n v="4.7619047620000003"/>
    <n v="0"/>
    <n v="7.56"/>
    <n v="96.078500000000005"/>
    <n v="19.763300000000001"/>
  </r>
  <r>
    <x v="469"/>
    <x v="0"/>
    <x v="89"/>
    <x v="1"/>
    <x v="0"/>
    <x v="0"/>
    <x v="1"/>
    <n v="98.84"/>
    <n v="1"/>
    <n v="4.9420000000000002"/>
    <n v="98.84"/>
    <x v="237"/>
    <x v="274"/>
    <x v="1"/>
    <n v="98.84"/>
    <n v="4.7619047620000003"/>
    <n v="0"/>
    <n v="8.82"/>
    <n v="96.078500000000005"/>
    <n v="19.763300000000001"/>
  </r>
  <r>
    <x v="470"/>
    <x v="0"/>
    <x v="315"/>
    <x v="1"/>
    <x v="0"/>
    <x v="0"/>
    <x v="4"/>
    <n v="83.77"/>
    <n v="10"/>
    <n v="41.884999999999998"/>
    <n v="837.7"/>
    <x v="11"/>
    <x v="334"/>
    <x v="0"/>
    <n v="502.62"/>
    <n v="4.7619047620000003"/>
    <n v="335.08"/>
    <n v="5.67"/>
    <n v="96.078500000000005"/>
    <n v="19.763300000000001"/>
  </r>
  <r>
    <x v="471"/>
    <x v="0"/>
    <x v="316"/>
    <x v="0"/>
    <x v="0"/>
    <x v="0"/>
    <x v="3"/>
    <n v="40.049999999999997"/>
    <n v="6"/>
    <n v="12.015000000000001"/>
    <n v="240.3"/>
    <x v="137"/>
    <x v="335"/>
    <x v="1"/>
    <n v="160.19999999999999"/>
    <n v="4.7619047620000003"/>
    <n v="80.099999999999994"/>
    <n v="9.6999999999999993"/>
    <n v="96.173500000000004"/>
    <n v="16.840900000000001"/>
  </r>
  <r>
    <x v="472"/>
    <x v="0"/>
    <x v="232"/>
    <x v="0"/>
    <x v="0"/>
    <x v="1"/>
    <x v="5"/>
    <n v="43.13"/>
    <n v="14"/>
    <n v="30.190999999999999"/>
    <n v="603.82000000000005"/>
    <x v="95"/>
    <x v="201"/>
    <x v="2"/>
    <n v="431.3"/>
    <n v="4.7619047620000003"/>
    <n v="172.52"/>
    <n v="5.5"/>
    <n v="96.173500000000004"/>
    <n v="16.840900000000001"/>
  </r>
  <r>
    <x v="473"/>
    <x v="0"/>
    <x v="317"/>
    <x v="2"/>
    <x v="0"/>
    <x v="1"/>
    <x v="0"/>
    <n v="72.569999999999993"/>
    <n v="15"/>
    <n v="54.427500000000002"/>
    <n v="1088.55"/>
    <x v="90"/>
    <x v="326"/>
    <x v="1"/>
    <n v="580.55999999999995"/>
    <n v="4.7619047620000003"/>
    <n v="507.99"/>
    <n v="5.52"/>
    <n v="96.089100000000002"/>
    <n v="21.9588"/>
  </r>
  <r>
    <x v="474"/>
    <x v="0"/>
    <x v="318"/>
    <x v="0"/>
    <x v="0"/>
    <x v="0"/>
    <x v="1"/>
    <n v="64.44"/>
    <n v="7"/>
    <n v="22.553999999999998"/>
    <n v="451.08"/>
    <x v="7"/>
    <x v="72"/>
    <x v="1"/>
    <n v="322.2"/>
    <n v="4.7619047620000003"/>
    <n v="128.88"/>
    <n v="6.6"/>
    <n v="96.173500000000004"/>
    <n v="16.840900000000001"/>
  </r>
  <r>
    <x v="475"/>
    <x v="0"/>
    <x v="54"/>
    <x v="0"/>
    <x v="1"/>
    <x v="1"/>
    <x v="0"/>
    <n v="65.180000000000007"/>
    <n v="3"/>
    <n v="9.7769999999999992"/>
    <n v="195.54"/>
    <x v="161"/>
    <x v="82"/>
    <x v="2"/>
    <n v="195.54"/>
    <n v="4.7619047620000003"/>
    <n v="0"/>
    <n v="6.3"/>
    <n v="96.173500000000004"/>
    <n v="16.840900000000001"/>
  </r>
  <r>
    <x v="476"/>
    <x v="0"/>
    <x v="319"/>
    <x v="0"/>
    <x v="1"/>
    <x v="0"/>
    <x v="0"/>
    <n v="33.26"/>
    <n v="5"/>
    <n v="8.3149999999999995"/>
    <n v="166.3"/>
    <x v="271"/>
    <x v="279"/>
    <x v="2"/>
    <n v="166.3"/>
    <n v="4.7619047620000003"/>
    <n v="0"/>
    <n v="4.2"/>
    <n v="96.173500000000004"/>
    <n v="16.840900000000001"/>
  </r>
  <r>
    <x v="477"/>
    <x v="0"/>
    <x v="193"/>
    <x v="1"/>
    <x v="1"/>
    <x v="1"/>
    <x v="0"/>
    <n v="84.07"/>
    <n v="5"/>
    <n v="21.017499999999998"/>
    <n v="420.35"/>
    <x v="257"/>
    <x v="336"/>
    <x v="0"/>
    <n v="336.28"/>
    <n v="4.7619047620000003"/>
    <n v="84.07"/>
    <n v="4.62"/>
    <n v="96.078500000000005"/>
    <n v="19.763300000000001"/>
  </r>
  <r>
    <x v="478"/>
    <x v="0"/>
    <x v="255"/>
    <x v="2"/>
    <x v="1"/>
    <x v="1"/>
    <x v="0"/>
    <n v="34.369999999999997"/>
    <n v="14"/>
    <n v="24.059000000000001"/>
    <n v="481.18"/>
    <x v="268"/>
    <x v="41"/>
    <x v="0"/>
    <n v="343.7"/>
    <n v="4.7619047620000003"/>
    <n v="137.47999999999999"/>
    <n v="8.0399999999999991"/>
    <n v="96.089100000000002"/>
    <n v="21.9588"/>
  </r>
  <r>
    <x v="479"/>
    <x v="0"/>
    <x v="289"/>
    <x v="0"/>
    <x v="1"/>
    <x v="1"/>
    <x v="0"/>
    <n v="38.6"/>
    <n v="1"/>
    <n v="1.93"/>
    <n v="38.6"/>
    <x v="185"/>
    <x v="55"/>
    <x v="0"/>
    <n v="38.6"/>
    <n v="4.7619047620000003"/>
    <n v="0"/>
    <n v="6.7"/>
    <n v="96.173500000000004"/>
    <n v="16.840900000000001"/>
  </r>
  <r>
    <x v="480"/>
    <x v="0"/>
    <x v="5"/>
    <x v="1"/>
    <x v="1"/>
    <x v="1"/>
    <x v="0"/>
    <n v="65.97"/>
    <n v="10"/>
    <n v="32.984999999999999"/>
    <n v="659.7"/>
    <x v="272"/>
    <x v="245"/>
    <x v="1"/>
    <n v="527.76"/>
    <n v="4.7619047620000003"/>
    <n v="131.94"/>
    <n v="8.82"/>
    <n v="96.078500000000005"/>
    <n v="19.763300000000001"/>
  </r>
  <r>
    <x v="481"/>
    <x v="0"/>
    <x v="96"/>
    <x v="1"/>
    <x v="1"/>
    <x v="0"/>
    <x v="0"/>
    <n v="32.799999999999997"/>
    <n v="12"/>
    <n v="19.68"/>
    <n v="393.6"/>
    <x v="115"/>
    <x v="294"/>
    <x v="1"/>
    <n v="328"/>
    <n v="4.7619047620000003"/>
    <n v="65.599999999999994"/>
    <n v="6.51"/>
    <n v="96.078500000000005"/>
    <n v="19.763300000000001"/>
  </r>
  <r>
    <x v="482"/>
    <x v="0"/>
    <x v="320"/>
    <x v="0"/>
    <x v="1"/>
    <x v="1"/>
    <x v="0"/>
    <n v="37.14"/>
    <n v="5"/>
    <n v="9.2850000000000001"/>
    <n v="185.7"/>
    <x v="230"/>
    <x v="137"/>
    <x v="0"/>
    <n v="185.7"/>
    <n v="4.7619047620000003"/>
    <n v="0"/>
    <n v="5"/>
    <n v="96.173500000000004"/>
    <n v="16.840900000000001"/>
  </r>
  <r>
    <x v="483"/>
    <x v="0"/>
    <x v="321"/>
    <x v="2"/>
    <x v="0"/>
    <x v="1"/>
    <x v="0"/>
    <n v="60.38"/>
    <n v="20"/>
    <n v="60.38"/>
    <n v="1207.5999999999999"/>
    <x v="273"/>
    <x v="15"/>
    <x v="1"/>
    <n v="603.79999999999995"/>
    <n v="4.7619047620000003"/>
    <n v="603.79999999999995"/>
    <n v="7.2"/>
    <n v="96.089100000000002"/>
    <n v="21.9588"/>
  </r>
  <r>
    <x v="484"/>
    <x v="0"/>
    <x v="241"/>
    <x v="1"/>
    <x v="0"/>
    <x v="0"/>
    <x v="0"/>
    <n v="36.979999999999997"/>
    <n v="17"/>
    <n v="31.433"/>
    <n v="628.66"/>
    <x v="274"/>
    <x v="28"/>
    <x v="2"/>
    <n v="369.8"/>
    <n v="4.7619047620000003"/>
    <n v="258.86"/>
    <n v="7.35"/>
    <n v="96.078500000000005"/>
    <n v="19.763300000000001"/>
  </r>
  <r>
    <x v="485"/>
    <x v="0"/>
    <x v="111"/>
    <x v="2"/>
    <x v="0"/>
    <x v="0"/>
    <x v="0"/>
    <n v="49.49"/>
    <n v="8"/>
    <n v="19.795999999999999"/>
    <n v="395.92"/>
    <x v="145"/>
    <x v="337"/>
    <x v="0"/>
    <n v="197.96"/>
    <n v="4.7619047620000003"/>
    <n v="197.96"/>
    <n v="7.92"/>
    <n v="96.089100000000002"/>
    <n v="21.9588"/>
  </r>
  <r>
    <x v="486"/>
    <x v="0"/>
    <x v="49"/>
    <x v="2"/>
    <x v="1"/>
    <x v="0"/>
    <x v="0"/>
    <n v="41.09"/>
    <n v="14"/>
    <n v="28.763000000000002"/>
    <n v="575.26"/>
    <x v="275"/>
    <x v="51"/>
    <x v="1"/>
    <n v="410.9"/>
    <n v="4.7619047620000003"/>
    <n v="164.36"/>
    <n v="8.76"/>
    <n v="96.089100000000002"/>
    <n v="21.9588"/>
  </r>
  <r>
    <x v="487"/>
    <x v="0"/>
    <x v="273"/>
    <x v="0"/>
    <x v="1"/>
    <x v="1"/>
    <x v="5"/>
    <n v="37.15"/>
    <n v="4"/>
    <n v="7.43"/>
    <n v="148.6"/>
    <x v="105"/>
    <x v="188"/>
    <x v="0"/>
    <n v="148.6"/>
    <n v="4.7619047620000003"/>
    <n v="0"/>
    <n v="8.3000000000000007"/>
    <n v="96.173500000000004"/>
    <n v="16.840900000000001"/>
  </r>
  <r>
    <x v="488"/>
    <x v="0"/>
    <x v="322"/>
    <x v="1"/>
    <x v="1"/>
    <x v="1"/>
    <x v="4"/>
    <n v="22.96"/>
    <n v="1"/>
    <n v="1.1479999999999999"/>
    <n v="22.96"/>
    <x v="29"/>
    <x v="338"/>
    <x v="1"/>
    <n v="22.96"/>
    <n v="4.7619047620000003"/>
    <n v="0"/>
    <n v="4.5149999999999997"/>
    <n v="96.078500000000005"/>
    <n v="19.763300000000001"/>
  </r>
  <r>
    <x v="489"/>
    <x v="0"/>
    <x v="277"/>
    <x v="2"/>
    <x v="0"/>
    <x v="0"/>
    <x v="4"/>
    <n v="77.680000000000007"/>
    <n v="18"/>
    <n v="69.912000000000006"/>
    <n v="1398.24"/>
    <x v="107"/>
    <x v="265"/>
    <x v="0"/>
    <n v="699.12"/>
    <n v="4.7619047620000003"/>
    <n v="699.12"/>
    <n v="10"/>
    <n v="96.089100000000002"/>
    <n v="21.9588"/>
  </r>
  <r>
    <x v="490"/>
    <x v="0"/>
    <x v="323"/>
    <x v="2"/>
    <x v="1"/>
    <x v="0"/>
    <x v="5"/>
    <n v="34.700000000000003"/>
    <n v="3"/>
    <n v="5.2050000000000001"/>
    <n v="104.1"/>
    <x v="140"/>
    <x v="28"/>
    <x v="0"/>
    <n v="69.400000000000006"/>
    <n v="4.7619047620000003"/>
    <n v="34.700000000000003"/>
    <n v="9.84"/>
    <n v="96.089100000000002"/>
    <n v="21.9588"/>
  </r>
  <r>
    <x v="491"/>
    <x v="0"/>
    <x v="324"/>
    <x v="0"/>
    <x v="0"/>
    <x v="0"/>
    <x v="5"/>
    <n v="19.66"/>
    <n v="14"/>
    <n v="13.762"/>
    <n v="275.24"/>
    <x v="108"/>
    <x v="339"/>
    <x v="2"/>
    <n v="196.6"/>
    <n v="4.7619047620000003"/>
    <n v="78.64"/>
    <n v="7.2"/>
    <n v="96.173500000000004"/>
    <n v="16.840900000000001"/>
  </r>
  <r>
    <x v="492"/>
    <x v="0"/>
    <x v="63"/>
    <x v="2"/>
    <x v="0"/>
    <x v="0"/>
    <x v="0"/>
    <n v="25.32"/>
    <n v="15"/>
    <n v="18.989999999999998"/>
    <n v="379.8"/>
    <x v="262"/>
    <x v="181"/>
    <x v="0"/>
    <n v="202.56"/>
    <n v="4.7619047620000003"/>
    <n v="177.24"/>
    <n v="10"/>
    <n v="96.089100000000002"/>
    <n v="21.9588"/>
  </r>
  <r>
    <x v="493"/>
    <x v="0"/>
    <x v="173"/>
    <x v="1"/>
    <x v="0"/>
    <x v="0"/>
    <x v="4"/>
    <n v="12.12"/>
    <n v="17"/>
    <n v="10.302"/>
    <n v="206.04"/>
    <x v="107"/>
    <x v="189"/>
    <x v="2"/>
    <n v="121.2"/>
    <n v="4.7619047620000003"/>
    <n v="84.84"/>
    <n v="8.82"/>
    <n v="96.078500000000005"/>
    <n v="19.763300000000001"/>
  </r>
  <r>
    <x v="494"/>
    <x v="0"/>
    <x v="325"/>
    <x v="2"/>
    <x v="1"/>
    <x v="1"/>
    <x v="5"/>
    <n v="99.89"/>
    <n v="3"/>
    <n v="14.983499999999999"/>
    <n v="299.67"/>
    <x v="276"/>
    <x v="340"/>
    <x v="0"/>
    <n v="199.78"/>
    <n v="4.7619047620000003"/>
    <n v="99.89"/>
    <n v="8.52"/>
    <n v="96.089100000000002"/>
    <n v="21.9588"/>
  </r>
  <r>
    <x v="495"/>
    <x v="0"/>
    <x v="175"/>
    <x v="2"/>
    <x v="1"/>
    <x v="1"/>
    <x v="3"/>
    <n v="75.92"/>
    <n v="11"/>
    <n v="41.756"/>
    <n v="835.12"/>
    <x v="181"/>
    <x v="341"/>
    <x v="1"/>
    <n v="607.36"/>
    <n v="4.7619047620000003"/>
    <n v="227.76"/>
    <n v="6.6"/>
    <n v="96.089100000000002"/>
    <n v="21.9588"/>
  </r>
  <r>
    <x v="496"/>
    <x v="0"/>
    <x v="326"/>
    <x v="1"/>
    <x v="1"/>
    <x v="0"/>
    <x v="1"/>
    <n v="63.22"/>
    <n v="2"/>
    <n v="6.3220000000000001"/>
    <n v="126.44"/>
    <x v="71"/>
    <x v="232"/>
    <x v="1"/>
    <n v="126.44"/>
    <n v="4.7619047620000003"/>
    <n v="0"/>
    <n v="8.9250000000000007"/>
    <n v="96.078500000000005"/>
    <n v="19.763300000000001"/>
  </r>
  <r>
    <x v="497"/>
    <x v="0"/>
    <x v="311"/>
    <x v="1"/>
    <x v="1"/>
    <x v="0"/>
    <x v="2"/>
    <n v="90.24"/>
    <n v="7"/>
    <n v="31.584"/>
    <n v="631.67999999999995"/>
    <x v="49"/>
    <x v="342"/>
    <x v="1"/>
    <n v="541.44000000000005"/>
    <n v="4.7619047620000003"/>
    <n v="90.24"/>
    <n v="6.51"/>
    <n v="96.078500000000005"/>
    <n v="19.763300000000001"/>
  </r>
  <r>
    <x v="498"/>
    <x v="0"/>
    <x v="158"/>
    <x v="2"/>
    <x v="0"/>
    <x v="0"/>
    <x v="3"/>
    <n v="98.13"/>
    <n v="1"/>
    <n v="4.9065000000000003"/>
    <n v="98.13"/>
    <x v="277"/>
    <x v="24"/>
    <x v="1"/>
    <n v="98.13"/>
    <n v="4.7619047620000003"/>
    <n v="0"/>
    <n v="7.46"/>
    <n v="96.089100000000002"/>
    <n v="21.9588"/>
  </r>
  <r>
    <x v="499"/>
    <x v="0"/>
    <x v="131"/>
    <x v="0"/>
    <x v="0"/>
    <x v="0"/>
    <x v="3"/>
    <n v="51.52"/>
    <n v="11"/>
    <n v="28.335999999999999"/>
    <n v="566.72"/>
    <x v="278"/>
    <x v="46"/>
    <x v="1"/>
    <n v="412.16"/>
    <n v="4.7619047620000003"/>
    <n v="154.56"/>
    <n v="7.46"/>
    <n v="96.173500000000004"/>
    <n v="16.840900000000001"/>
  </r>
  <r>
    <x v="500"/>
    <x v="0"/>
    <x v="102"/>
    <x v="2"/>
    <x v="0"/>
    <x v="1"/>
    <x v="3"/>
    <n v="73.97"/>
    <n v="1"/>
    <n v="3.6985000000000001"/>
    <n v="73.97"/>
    <x v="137"/>
    <x v="183"/>
    <x v="2"/>
    <n v="73.97"/>
    <n v="4.7619047620000003"/>
    <n v="0"/>
    <n v="7.46"/>
    <n v="96.089100000000002"/>
    <n v="21.9588"/>
  </r>
  <r>
    <x v="501"/>
    <x v="0"/>
    <x v="327"/>
    <x v="1"/>
    <x v="0"/>
    <x v="0"/>
    <x v="5"/>
    <n v="31.9"/>
    <n v="1"/>
    <n v="1.595"/>
    <n v="31.9"/>
    <x v="165"/>
    <x v="343"/>
    <x v="0"/>
    <n v="31.9"/>
    <n v="4.7619047620000003"/>
    <n v="0"/>
    <n v="7.46"/>
    <n v="96.078500000000005"/>
    <n v="19.763300000000001"/>
  </r>
  <r>
    <x v="502"/>
    <x v="1"/>
    <x v="62"/>
    <x v="1"/>
    <x v="1"/>
    <x v="1"/>
    <x v="4"/>
    <n v="69.400000000000006"/>
    <n v="2"/>
    <n v="6.94"/>
    <n v="138.80000000000001"/>
    <x v="279"/>
    <x v="28"/>
    <x v="0"/>
    <n v="138.80000000000001"/>
    <n v="4.7619047620000003"/>
    <n v="0"/>
    <n v="7.46"/>
    <n v="96.078500000000005"/>
    <n v="19.763300000000001"/>
  </r>
  <r>
    <x v="503"/>
    <x v="2"/>
    <x v="44"/>
    <x v="2"/>
    <x v="1"/>
    <x v="0"/>
    <x v="3"/>
    <n v="93.31"/>
    <n v="3"/>
    <n v="13.996499999999999"/>
    <n v="279.93"/>
    <x v="236"/>
    <x v="344"/>
    <x v="1"/>
    <n v="186.62"/>
    <n v="4.7619047620000003"/>
    <n v="93.31"/>
    <n v="7.46"/>
    <n v="96.089100000000002"/>
    <n v="21.9588"/>
  </r>
  <r>
    <x v="504"/>
    <x v="2"/>
    <x v="328"/>
    <x v="2"/>
    <x v="1"/>
    <x v="1"/>
    <x v="3"/>
    <n v="88.45"/>
    <n v="1"/>
    <n v="4.4225000000000003"/>
    <n v="88.45"/>
    <x v="221"/>
    <x v="345"/>
    <x v="2"/>
    <n v="88.45"/>
    <n v="4.7619047620000003"/>
    <n v="0"/>
    <n v="7.46"/>
    <n v="96.089100000000002"/>
    <n v="21.9588"/>
  </r>
  <r>
    <x v="505"/>
    <x v="0"/>
    <x v="329"/>
    <x v="0"/>
    <x v="0"/>
    <x v="1"/>
    <x v="1"/>
    <n v="24.18"/>
    <n v="11"/>
    <n v="13.298999999999999"/>
    <n v="265.98"/>
    <x v="239"/>
    <x v="98"/>
    <x v="0"/>
    <n v="193.44"/>
    <n v="4.7619047620000003"/>
    <n v="72.540000000000006"/>
    <n v="7.46"/>
    <n v="96.173500000000004"/>
    <n v="16.840900000000001"/>
  </r>
  <r>
    <x v="506"/>
    <x v="2"/>
    <x v="38"/>
    <x v="2"/>
    <x v="0"/>
    <x v="0"/>
    <x v="3"/>
    <n v="48.5"/>
    <n v="6"/>
    <n v="14.55"/>
    <n v="291"/>
    <x v="266"/>
    <x v="165"/>
    <x v="1"/>
    <n v="145.5"/>
    <n v="4.7619047620000003"/>
    <n v="145.5"/>
    <n v="7.46"/>
    <n v="96.089100000000002"/>
    <n v="21.9588"/>
  </r>
  <r>
    <x v="507"/>
    <x v="2"/>
    <x v="63"/>
    <x v="2"/>
    <x v="1"/>
    <x v="0"/>
    <x v="2"/>
    <n v="84.05"/>
    <n v="8"/>
    <n v="33.619999999999997"/>
    <n v="672.4"/>
    <x v="280"/>
    <x v="346"/>
    <x v="2"/>
    <n v="504.3"/>
    <n v="4.7619047620000003"/>
    <n v="168.1"/>
    <n v="7.46"/>
    <n v="96.089100000000002"/>
    <n v="21.9588"/>
  </r>
  <r>
    <x v="508"/>
    <x v="2"/>
    <x v="298"/>
    <x v="2"/>
    <x v="0"/>
    <x v="1"/>
    <x v="3"/>
    <n v="61.29"/>
    <n v="10"/>
    <n v="30.645"/>
    <n v="612.9"/>
    <x v="166"/>
    <x v="296"/>
    <x v="1"/>
    <n v="306.45"/>
    <n v="4.7619047620000003"/>
    <n v="306.45"/>
    <n v="8.4"/>
    <n v="96.089100000000002"/>
    <n v="21.9588"/>
  </r>
  <r>
    <x v="509"/>
    <x v="1"/>
    <x v="168"/>
    <x v="1"/>
    <x v="0"/>
    <x v="0"/>
    <x v="3"/>
    <n v="15.95"/>
    <n v="10"/>
    <n v="7.9749999999999996"/>
    <n v="159.5"/>
    <x v="183"/>
    <x v="8"/>
    <x v="2"/>
    <n v="95.7"/>
    <n v="4.7619047620000003"/>
    <n v="63.8"/>
    <n v="5.3550000000000004"/>
    <n v="96.078500000000005"/>
    <n v="19.763300000000001"/>
  </r>
  <r>
    <x v="510"/>
    <x v="2"/>
    <x v="277"/>
    <x v="2"/>
    <x v="0"/>
    <x v="0"/>
    <x v="3"/>
    <n v="90.74"/>
    <n v="14"/>
    <n v="63.518000000000001"/>
    <n v="1270.3599999999999"/>
    <x v="76"/>
    <x v="172"/>
    <x v="2"/>
    <n v="635.17999999999995"/>
    <n v="4.7619047620000003"/>
    <n v="635.17999999999995"/>
    <n v="7.44"/>
    <n v="96.089100000000002"/>
    <n v="21.9588"/>
  </r>
  <r>
    <x v="511"/>
    <x v="0"/>
    <x v="330"/>
    <x v="0"/>
    <x v="1"/>
    <x v="0"/>
    <x v="3"/>
    <n v="42.91"/>
    <n v="5"/>
    <n v="10.727499999999999"/>
    <n v="214.55"/>
    <x v="102"/>
    <x v="260"/>
    <x v="0"/>
    <n v="214.55"/>
    <n v="4.7619047620000003"/>
    <n v="0"/>
    <n v="6.1"/>
    <n v="96.173500000000004"/>
    <n v="16.840900000000001"/>
  </r>
  <r>
    <x v="512"/>
    <x v="0"/>
    <x v="331"/>
    <x v="0"/>
    <x v="1"/>
    <x v="0"/>
    <x v="3"/>
    <n v="54.28"/>
    <n v="7"/>
    <n v="18.998000000000001"/>
    <n v="379.96"/>
    <x v="281"/>
    <x v="347"/>
    <x v="0"/>
    <n v="379.96"/>
    <n v="4.7619047620000003"/>
    <n v="0"/>
    <n v="9.3000000000000007"/>
    <n v="96.173500000000004"/>
    <n v="16.840900000000001"/>
  </r>
  <r>
    <x v="513"/>
    <x v="0"/>
    <x v="332"/>
    <x v="0"/>
    <x v="1"/>
    <x v="1"/>
    <x v="1"/>
    <n v="99.55"/>
    <n v="7"/>
    <n v="34.842500000000001"/>
    <n v="696.85"/>
    <x v="282"/>
    <x v="348"/>
    <x v="1"/>
    <n v="696.85"/>
    <n v="4.7619047620000003"/>
    <n v="0"/>
    <n v="7.6"/>
    <n v="96.173500000000004"/>
    <n v="16.840900000000001"/>
  </r>
  <r>
    <x v="514"/>
    <x v="1"/>
    <x v="275"/>
    <x v="1"/>
    <x v="0"/>
    <x v="1"/>
    <x v="3"/>
    <n v="58.39"/>
    <n v="11"/>
    <n v="32.1145"/>
    <n v="642.29"/>
    <x v="180"/>
    <x v="349"/>
    <x v="2"/>
    <n v="408.73"/>
    <n v="4.7619047620000003"/>
    <n v="233.56"/>
    <n v="8.61"/>
    <n v="96.078500000000005"/>
    <n v="19.763300000000001"/>
  </r>
  <r>
    <x v="515"/>
    <x v="1"/>
    <x v="66"/>
    <x v="1"/>
    <x v="0"/>
    <x v="0"/>
    <x v="5"/>
    <n v="51.47"/>
    <n v="1"/>
    <n v="2.5735000000000001"/>
    <n v="51.47"/>
    <x v="130"/>
    <x v="350"/>
    <x v="0"/>
    <n v="51.47"/>
    <n v="4.7619047620000003"/>
    <n v="0"/>
    <n v="8.9250000000000007"/>
    <n v="96.078500000000005"/>
    <n v="19.763300000000001"/>
  </r>
  <r>
    <x v="516"/>
    <x v="2"/>
    <x v="333"/>
    <x v="2"/>
    <x v="0"/>
    <x v="1"/>
    <x v="0"/>
    <n v="54.86"/>
    <n v="10"/>
    <n v="27.43"/>
    <n v="548.6"/>
    <x v="283"/>
    <x v="13"/>
    <x v="0"/>
    <n v="274.3"/>
    <n v="4.7619047620000003"/>
    <n v="274.3"/>
    <n v="10"/>
    <n v="96.089100000000002"/>
    <n v="21.9588"/>
  </r>
  <r>
    <x v="517"/>
    <x v="1"/>
    <x v="107"/>
    <x v="1"/>
    <x v="0"/>
    <x v="1"/>
    <x v="4"/>
    <n v="39.39"/>
    <n v="8"/>
    <n v="15.756"/>
    <n v="315.12"/>
    <x v="176"/>
    <x v="351"/>
    <x v="2"/>
    <n v="196.95"/>
    <n v="4.7619047620000003"/>
    <n v="118.17"/>
    <n v="9.1349999999999998"/>
    <n v="96.078500000000005"/>
    <n v="19.763300000000001"/>
  </r>
  <r>
    <x v="518"/>
    <x v="0"/>
    <x v="225"/>
    <x v="0"/>
    <x v="1"/>
    <x v="1"/>
    <x v="4"/>
    <n v="34.729999999999997"/>
    <n v="2"/>
    <n v="3.4729999999999999"/>
    <n v="69.459999999999994"/>
    <x v="199"/>
    <x v="92"/>
    <x v="0"/>
    <n v="69.459999999999994"/>
    <n v="4.7619047620000003"/>
    <n v="0"/>
    <n v="9.6999999999999993"/>
    <n v="96.173500000000004"/>
    <n v="16.840900000000001"/>
  </r>
  <r>
    <x v="519"/>
    <x v="1"/>
    <x v="334"/>
    <x v="1"/>
    <x v="0"/>
    <x v="1"/>
    <x v="3"/>
    <n v="71.92"/>
    <n v="8"/>
    <n v="28.768000000000001"/>
    <n v="575.36"/>
    <x v="253"/>
    <x v="184"/>
    <x v="2"/>
    <n v="359.6"/>
    <n v="4.7619047620000003"/>
    <n v="215.76"/>
    <n v="4.5149999999999997"/>
    <n v="96.078500000000005"/>
    <n v="19.763300000000001"/>
  </r>
  <r>
    <x v="520"/>
    <x v="2"/>
    <x v="335"/>
    <x v="2"/>
    <x v="1"/>
    <x v="0"/>
    <x v="1"/>
    <n v="45.71"/>
    <n v="4"/>
    <n v="9.1419999999999995"/>
    <n v="182.84"/>
    <x v="119"/>
    <x v="352"/>
    <x v="2"/>
    <n v="137.13"/>
    <n v="4.7619047620000003"/>
    <n v="45.71"/>
    <n v="9.24"/>
    <n v="96.089100000000002"/>
    <n v="21.9588"/>
  </r>
  <r>
    <x v="521"/>
    <x v="1"/>
    <x v="336"/>
    <x v="1"/>
    <x v="0"/>
    <x v="0"/>
    <x v="4"/>
    <n v="83.17"/>
    <n v="10"/>
    <n v="41.585000000000001"/>
    <n v="831.7"/>
    <x v="164"/>
    <x v="219"/>
    <x v="1"/>
    <n v="499.02"/>
    <n v="4.7619047620000003"/>
    <n v="332.68"/>
    <n v="7.665"/>
    <n v="96.078500000000005"/>
    <n v="19.763300000000001"/>
  </r>
  <r>
    <x v="522"/>
    <x v="0"/>
    <x v="337"/>
    <x v="0"/>
    <x v="0"/>
    <x v="0"/>
    <x v="4"/>
    <n v="37.44"/>
    <n v="8"/>
    <n v="14.976000000000001"/>
    <n v="299.52"/>
    <x v="7"/>
    <x v="353"/>
    <x v="2"/>
    <n v="224.64"/>
    <n v="4.7619047620000003"/>
    <n v="74.88"/>
    <n v="5.9"/>
    <n v="96.173500000000004"/>
    <n v="16.840900000000001"/>
  </r>
  <r>
    <x v="523"/>
    <x v="1"/>
    <x v="240"/>
    <x v="1"/>
    <x v="1"/>
    <x v="1"/>
    <x v="0"/>
    <n v="62.87"/>
    <n v="2"/>
    <n v="6.2869999999999999"/>
    <n v="125.74"/>
    <x v="284"/>
    <x v="354"/>
    <x v="1"/>
    <n v="125.74"/>
    <n v="4.7619047620000003"/>
    <n v="0"/>
    <n v="5.25"/>
    <n v="96.078500000000005"/>
    <n v="19.763300000000001"/>
  </r>
  <r>
    <x v="524"/>
    <x v="0"/>
    <x v="338"/>
    <x v="0"/>
    <x v="1"/>
    <x v="1"/>
    <x v="2"/>
    <n v="81.709999999999994"/>
    <n v="6"/>
    <n v="24.513000000000002"/>
    <n v="490.26"/>
    <x v="285"/>
    <x v="6"/>
    <x v="2"/>
    <n v="490.26"/>
    <n v="4.7619047620000003"/>
    <n v="0"/>
    <n v="8"/>
    <n v="96.173500000000004"/>
    <n v="16.840900000000001"/>
  </r>
  <r>
    <x v="525"/>
    <x v="0"/>
    <x v="302"/>
    <x v="0"/>
    <x v="0"/>
    <x v="0"/>
    <x v="3"/>
    <n v="91.41"/>
    <n v="7"/>
    <n v="31.993500000000001"/>
    <n v="639.87"/>
    <x v="286"/>
    <x v="355"/>
    <x v="0"/>
    <n v="457.05"/>
    <n v="4.7619047620000003"/>
    <n v="182.82"/>
    <n v="7.1"/>
    <n v="96.173500000000004"/>
    <n v="16.840900000000001"/>
  </r>
  <r>
    <x v="526"/>
    <x v="2"/>
    <x v="176"/>
    <x v="2"/>
    <x v="1"/>
    <x v="1"/>
    <x v="5"/>
    <n v="39.21"/>
    <n v="6"/>
    <n v="11.763"/>
    <n v="235.26"/>
    <x v="156"/>
    <x v="356"/>
    <x v="2"/>
    <n v="156.84"/>
    <n v="4.7619047620000003"/>
    <n v="78.42"/>
    <n v="10"/>
    <n v="96.089100000000002"/>
    <n v="21.9588"/>
  </r>
  <r>
    <x v="527"/>
    <x v="2"/>
    <x v="309"/>
    <x v="2"/>
    <x v="0"/>
    <x v="1"/>
    <x v="5"/>
    <n v="59.86"/>
    <n v="4"/>
    <n v="11.972"/>
    <n v="239.44"/>
    <x v="287"/>
    <x v="304"/>
    <x v="0"/>
    <n v="119.72"/>
    <n v="4.7619047620000003"/>
    <n v="119.72"/>
    <n v="8.0399999999999991"/>
    <n v="96.089100000000002"/>
    <n v="21.9588"/>
  </r>
  <r>
    <x v="528"/>
    <x v="2"/>
    <x v="46"/>
    <x v="2"/>
    <x v="0"/>
    <x v="0"/>
    <x v="2"/>
    <n v="54.36"/>
    <n v="20"/>
    <n v="54.36"/>
    <n v="1087.2"/>
    <x v="84"/>
    <x v="56"/>
    <x v="2"/>
    <n v="543.6"/>
    <n v="4.7619047620000003"/>
    <n v="543.6"/>
    <n v="7.32"/>
    <n v="96.089100000000002"/>
    <n v="21.9588"/>
  </r>
  <r>
    <x v="529"/>
    <x v="0"/>
    <x v="131"/>
    <x v="0"/>
    <x v="1"/>
    <x v="1"/>
    <x v="3"/>
    <n v="98.09"/>
    <n v="9"/>
    <n v="44.140500000000003"/>
    <n v="882.81"/>
    <x v="157"/>
    <x v="357"/>
    <x v="1"/>
    <n v="882.81"/>
    <n v="4.7619047620000003"/>
    <n v="0"/>
    <n v="9.3000000000000007"/>
    <n v="96.173500000000004"/>
    <n v="16.840900000000001"/>
  </r>
  <r>
    <x v="530"/>
    <x v="0"/>
    <x v="221"/>
    <x v="0"/>
    <x v="1"/>
    <x v="1"/>
    <x v="0"/>
    <n v="25.43"/>
    <n v="6"/>
    <n v="7.6289999999999996"/>
    <n v="152.58000000000001"/>
    <x v="272"/>
    <x v="54"/>
    <x v="0"/>
    <n v="152.58000000000001"/>
    <n v="4.7619047620000003"/>
    <n v="0"/>
    <n v="7"/>
    <n v="96.173500000000004"/>
    <n v="16.840900000000001"/>
  </r>
  <r>
    <x v="531"/>
    <x v="0"/>
    <x v="14"/>
    <x v="0"/>
    <x v="0"/>
    <x v="1"/>
    <x v="5"/>
    <n v="86.68"/>
    <n v="11"/>
    <n v="47.673999999999999"/>
    <n v="953.48"/>
    <x v="225"/>
    <x v="358"/>
    <x v="2"/>
    <n v="693.44"/>
    <n v="4.7619047620000003"/>
    <n v="260.04000000000002"/>
    <n v="7.2"/>
    <n v="96.173500000000004"/>
    <n v="16.840900000000001"/>
  </r>
  <r>
    <x v="532"/>
    <x v="2"/>
    <x v="252"/>
    <x v="2"/>
    <x v="1"/>
    <x v="1"/>
    <x v="1"/>
    <n v="22.95"/>
    <n v="14"/>
    <n v="16.065000000000001"/>
    <n v="321.3"/>
    <x v="151"/>
    <x v="25"/>
    <x v="0"/>
    <n v="229.5"/>
    <n v="4.7619047620000003"/>
    <n v="91.8"/>
    <n v="9.84"/>
    <n v="96.089100000000002"/>
    <n v="21.9588"/>
  </r>
  <r>
    <x v="533"/>
    <x v="1"/>
    <x v="34"/>
    <x v="1"/>
    <x v="1"/>
    <x v="0"/>
    <x v="2"/>
    <n v="16.309999999999999"/>
    <n v="11"/>
    <n v="8.9704999999999995"/>
    <n v="179.41"/>
    <x v="288"/>
    <x v="359"/>
    <x v="0"/>
    <n v="146.79"/>
    <n v="4.7619047620000003"/>
    <n v="32.619999999999997"/>
    <n v="8.82"/>
    <n v="96.078500000000005"/>
    <n v="19.763300000000001"/>
  </r>
  <r>
    <x v="534"/>
    <x v="0"/>
    <x v="339"/>
    <x v="0"/>
    <x v="1"/>
    <x v="0"/>
    <x v="4"/>
    <n v="28.32"/>
    <n v="5"/>
    <n v="7.08"/>
    <n v="141.6"/>
    <x v="289"/>
    <x v="360"/>
    <x v="0"/>
    <n v="141.6"/>
    <n v="4.7619047620000003"/>
    <n v="0"/>
    <n v="6.2"/>
    <n v="96.173500000000004"/>
    <n v="16.840900000000001"/>
  </r>
  <r>
    <x v="535"/>
    <x v="1"/>
    <x v="340"/>
    <x v="1"/>
    <x v="1"/>
    <x v="1"/>
    <x v="4"/>
    <n v="16.670000000000002"/>
    <n v="8"/>
    <n v="6.6680000000000001"/>
    <n v="133.36000000000001"/>
    <x v="144"/>
    <x v="150"/>
    <x v="0"/>
    <n v="116.69"/>
    <n v="4.7619047620000003"/>
    <n v="16.670000000000002"/>
    <n v="7.77"/>
    <n v="96.078500000000005"/>
    <n v="19.763300000000001"/>
  </r>
  <r>
    <x v="536"/>
    <x v="2"/>
    <x v="252"/>
    <x v="2"/>
    <x v="0"/>
    <x v="0"/>
    <x v="5"/>
    <n v="73.959999999999994"/>
    <n v="1"/>
    <n v="3.698"/>
    <n v="73.959999999999994"/>
    <x v="290"/>
    <x v="102"/>
    <x v="2"/>
    <n v="73.959999999999994"/>
    <n v="4.7619047620000003"/>
    <n v="0"/>
    <n v="6"/>
    <n v="96.089100000000002"/>
    <n v="21.9588"/>
  </r>
  <r>
    <x v="537"/>
    <x v="0"/>
    <x v="341"/>
    <x v="0"/>
    <x v="1"/>
    <x v="1"/>
    <x v="4"/>
    <n v="97.94"/>
    <n v="1"/>
    <n v="4.8970000000000002"/>
    <n v="97.94"/>
    <x v="210"/>
    <x v="231"/>
    <x v="0"/>
    <n v="97.94"/>
    <n v="4.7619047620000003"/>
    <n v="0"/>
    <n v="6.9"/>
    <n v="96.173500000000004"/>
    <n v="16.840900000000001"/>
  </r>
  <r>
    <x v="538"/>
    <x v="0"/>
    <x v="342"/>
    <x v="0"/>
    <x v="1"/>
    <x v="0"/>
    <x v="5"/>
    <n v="73.05"/>
    <n v="4"/>
    <n v="14.61"/>
    <n v="292.2"/>
    <x v="71"/>
    <x v="361"/>
    <x v="2"/>
    <n v="292.2"/>
    <n v="4.7619047620000003"/>
    <n v="0"/>
    <n v="4.9000000000000004"/>
    <n v="96.173500000000004"/>
    <n v="16.840900000000001"/>
  </r>
  <r>
    <x v="539"/>
    <x v="1"/>
    <x v="56"/>
    <x v="1"/>
    <x v="0"/>
    <x v="0"/>
    <x v="2"/>
    <n v="87.48"/>
    <n v="10"/>
    <n v="43.74"/>
    <n v="874.8"/>
    <x v="113"/>
    <x v="362"/>
    <x v="0"/>
    <n v="524.88"/>
    <n v="4.7619047620000003"/>
    <n v="349.92"/>
    <n v="5.3550000000000004"/>
    <n v="96.078500000000005"/>
    <n v="19.763300000000001"/>
  </r>
  <r>
    <x v="540"/>
    <x v="0"/>
    <x v="302"/>
    <x v="0"/>
    <x v="1"/>
    <x v="1"/>
    <x v="4"/>
    <n v="30.68"/>
    <n v="3"/>
    <n v="4.6020000000000003"/>
    <n v="92.04"/>
    <x v="208"/>
    <x v="224"/>
    <x v="0"/>
    <n v="92.04"/>
    <n v="4.7619047620000003"/>
    <n v="0"/>
    <n v="9.1"/>
    <n v="96.173500000000004"/>
    <n v="16.840900000000001"/>
  </r>
  <r>
    <x v="541"/>
    <x v="1"/>
    <x v="343"/>
    <x v="1"/>
    <x v="0"/>
    <x v="1"/>
    <x v="0"/>
    <n v="75.88"/>
    <n v="1"/>
    <n v="3.794"/>
    <n v="75.88"/>
    <x v="117"/>
    <x v="363"/>
    <x v="2"/>
    <n v="75.88"/>
    <n v="4.7619047620000003"/>
    <n v="0"/>
    <n v="7.4550000000000001"/>
    <n v="96.078500000000005"/>
    <n v="19.763300000000001"/>
  </r>
  <r>
    <x v="542"/>
    <x v="2"/>
    <x v="344"/>
    <x v="2"/>
    <x v="0"/>
    <x v="0"/>
    <x v="3"/>
    <n v="20.18"/>
    <n v="8"/>
    <n v="8.0719999999999992"/>
    <n v="161.44"/>
    <x v="131"/>
    <x v="280"/>
    <x v="2"/>
    <n v="80.72"/>
    <n v="4.7619047620000003"/>
    <n v="80.72"/>
    <n v="6"/>
    <n v="96.089100000000002"/>
    <n v="21.9588"/>
  </r>
  <r>
    <x v="543"/>
    <x v="1"/>
    <x v="79"/>
    <x v="1"/>
    <x v="0"/>
    <x v="1"/>
    <x v="1"/>
    <n v="18.77"/>
    <n v="10"/>
    <n v="9.3849999999999998"/>
    <n v="187.7"/>
    <x v="185"/>
    <x v="122"/>
    <x v="2"/>
    <n v="112.62"/>
    <n v="4.7619047620000003"/>
    <n v="75.08"/>
    <n v="5.7750000000000004"/>
    <n v="96.078500000000005"/>
    <n v="19.763300000000001"/>
  </r>
  <r>
    <x v="544"/>
    <x v="2"/>
    <x v="191"/>
    <x v="2"/>
    <x v="1"/>
    <x v="0"/>
    <x v="2"/>
    <n v="71.2"/>
    <n v="1"/>
    <n v="3.56"/>
    <n v="71.2"/>
    <x v="242"/>
    <x v="364"/>
    <x v="2"/>
    <n v="71.2"/>
    <n v="4.7619047620000003"/>
    <n v="0"/>
    <n v="10"/>
    <n v="96.089100000000002"/>
    <n v="21.9588"/>
  </r>
  <r>
    <x v="545"/>
    <x v="2"/>
    <x v="85"/>
    <x v="2"/>
    <x v="0"/>
    <x v="1"/>
    <x v="3"/>
    <n v="38.81"/>
    <n v="8"/>
    <n v="15.523999999999999"/>
    <n v="310.48"/>
    <x v="253"/>
    <x v="61"/>
    <x v="0"/>
    <n v="155.24"/>
    <n v="4.7619047620000003"/>
    <n v="155.24"/>
    <n v="5.88"/>
    <n v="96.089100000000002"/>
    <n v="21.9588"/>
  </r>
  <r>
    <x v="546"/>
    <x v="0"/>
    <x v="81"/>
    <x v="0"/>
    <x v="1"/>
    <x v="0"/>
    <x v="3"/>
    <n v="29.42"/>
    <n v="10"/>
    <n v="14.71"/>
    <n v="294.2"/>
    <x v="154"/>
    <x v="293"/>
    <x v="0"/>
    <n v="294.2"/>
    <n v="4.7619047620000003"/>
    <n v="0"/>
    <n v="8.9"/>
    <n v="96.173500000000004"/>
    <n v="16.840900000000001"/>
  </r>
  <r>
    <x v="547"/>
    <x v="0"/>
    <x v="192"/>
    <x v="0"/>
    <x v="1"/>
    <x v="1"/>
    <x v="3"/>
    <n v="60.95"/>
    <n v="9"/>
    <n v="27.427499999999998"/>
    <n v="548.54999999999995"/>
    <x v="291"/>
    <x v="365"/>
    <x v="2"/>
    <n v="548.54999999999995"/>
    <n v="4.7619047620000003"/>
    <n v="0"/>
    <n v="6"/>
    <n v="96.173500000000004"/>
    <n v="16.840900000000001"/>
  </r>
  <r>
    <x v="548"/>
    <x v="2"/>
    <x v="287"/>
    <x v="2"/>
    <x v="1"/>
    <x v="0"/>
    <x v="3"/>
    <n v="51.54"/>
    <n v="7"/>
    <n v="18.039000000000001"/>
    <n v="360.78"/>
    <x v="41"/>
    <x v="366"/>
    <x v="1"/>
    <n v="257.7"/>
    <n v="4.7619047620000003"/>
    <n v="103.08"/>
    <n v="5.04"/>
    <n v="96.089100000000002"/>
    <n v="21.9588"/>
  </r>
  <r>
    <x v="549"/>
    <x v="0"/>
    <x v="345"/>
    <x v="0"/>
    <x v="1"/>
    <x v="0"/>
    <x v="3"/>
    <n v="66.06"/>
    <n v="6"/>
    <n v="19.818000000000001"/>
    <n v="396.36"/>
    <x v="31"/>
    <x v="367"/>
    <x v="1"/>
    <n v="396.36"/>
    <n v="4.7619047620000003"/>
    <n v="0"/>
    <n v="7.3"/>
    <n v="96.173500000000004"/>
    <n v="16.840900000000001"/>
  </r>
  <r>
    <x v="550"/>
    <x v="2"/>
    <x v="180"/>
    <x v="2"/>
    <x v="1"/>
    <x v="1"/>
    <x v="3"/>
    <n v="57.27"/>
    <n v="4"/>
    <n v="11.454000000000001"/>
    <n v="229.08"/>
    <x v="23"/>
    <x v="106"/>
    <x v="0"/>
    <n v="171.81"/>
    <n v="4.7619047620000003"/>
    <n v="57.27"/>
    <n v="7.8"/>
    <n v="96.089100000000002"/>
    <n v="21.9588"/>
  </r>
  <r>
    <x v="551"/>
    <x v="2"/>
    <x v="31"/>
    <x v="2"/>
    <x v="1"/>
    <x v="0"/>
    <x v="3"/>
    <n v="54.31"/>
    <n v="13"/>
    <n v="35.301499999999997"/>
    <n v="706.03"/>
    <x v="292"/>
    <x v="368"/>
    <x v="1"/>
    <n v="488.79"/>
    <n v="4.7619047620000003"/>
    <n v="217.24"/>
    <n v="10"/>
    <n v="96.089100000000002"/>
    <n v="21.9588"/>
  </r>
  <r>
    <x v="552"/>
    <x v="2"/>
    <x v="139"/>
    <x v="2"/>
    <x v="1"/>
    <x v="0"/>
    <x v="3"/>
    <n v="58.24"/>
    <n v="13"/>
    <n v="37.856000000000002"/>
    <n v="757.12"/>
    <x v="275"/>
    <x v="369"/>
    <x v="1"/>
    <n v="524.16"/>
    <n v="4.7619047620000003"/>
    <n v="232.96"/>
    <n v="10"/>
    <n v="96.089100000000002"/>
    <n v="21.9588"/>
  </r>
  <r>
    <x v="553"/>
    <x v="1"/>
    <x v="346"/>
    <x v="1"/>
    <x v="1"/>
    <x v="1"/>
    <x v="3"/>
    <n v="22.21"/>
    <n v="7"/>
    <n v="7.7735000000000003"/>
    <n v="155.47"/>
    <x v="293"/>
    <x v="81"/>
    <x v="2"/>
    <n v="133.26"/>
    <n v="4.7619047620000003"/>
    <n v="22.21"/>
    <n v="9.0299999999999994"/>
    <n v="96.078500000000005"/>
    <n v="19.763300000000001"/>
  </r>
  <r>
    <x v="554"/>
    <x v="0"/>
    <x v="143"/>
    <x v="0"/>
    <x v="0"/>
    <x v="1"/>
    <x v="3"/>
    <n v="19.32"/>
    <n v="10"/>
    <n v="9.66"/>
    <n v="193.2"/>
    <x v="4"/>
    <x v="370"/>
    <x v="1"/>
    <n v="135.24"/>
    <n v="4.7619047620000003"/>
    <n v="57.96"/>
    <n v="6.9"/>
    <n v="96.173500000000004"/>
    <n v="16.840900000000001"/>
  </r>
  <r>
    <x v="555"/>
    <x v="2"/>
    <x v="147"/>
    <x v="2"/>
    <x v="1"/>
    <x v="1"/>
    <x v="4"/>
    <n v="37.479999999999997"/>
    <n v="4"/>
    <n v="7.4960000000000004"/>
    <n v="149.91999999999999"/>
    <x v="126"/>
    <x v="286"/>
    <x v="2"/>
    <n v="112.44"/>
    <n v="4.7619047620000003"/>
    <n v="37.479999999999997"/>
    <n v="9.24"/>
    <n v="96.089100000000002"/>
    <n v="21.9588"/>
  </r>
  <r>
    <x v="556"/>
    <x v="2"/>
    <x v="28"/>
    <x v="2"/>
    <x v="0"/>
    <x v="0"/>
    <x v="5"/>
    <n v="72.040000000000006"/>
    <n v="4"/>
    <n v="14.407999999999999"/>
    <n v="288.16000000000003"/>
    <x v="294"/>
    <x v="371"/>
    <x v="1"/>
    <n v="144.08000000000001"/>
    <n v="4.7619047620000003"/>
    <n v="144.08000000000001"/>
    <n v="10"/>
    <n v="96.089100000000002"/>
    <n v="21.9588"/>
  </r>
  <r>
    <x v="557"/>
    <x v="1"/>
    <x v="7"/>
    <x v="1"/>
    <x v="0"/>
    <x v="0"/>
    <x v="2"/>
    <n v="98.52"/>
    <n v="17"/>
    <n v="83.742000000000004"/>
    <n v="1674.84"/>
    <x v="23"/>
    <x v="169"/>
    <x v="0"/>
    <n v="985.2"/>
    <n v="4.7619047620000003"/>
    <n v="689.64"/>
    <n v="4.7249999999999996"/>
    <n v="96.078500000000005"/>
    <n v="19.763300000000001"/>
  </r>
  <r>
    <x v="558"/>
    <x v="0"/>
    <x v="271"/>
    <x v="0"/>
    <x v="0"/>
    <x v="1"/>
    <x v="2"/>
    <n v="41.66"/>
    <n v="8"/>
    <n v="16.664000000000001"/>
    <n v="333.28"/>
    <x v="295"/>
    <x v="145"/>
    <x v="0"/>
    <n v="249.96"/>
    <n v="4.7619047620000003"/>
    <n v="83.32"/>
    <n v="5.6"/>
    <n v="96.173500000000004"/>
    <n v="16.840900000000001"/>
  </r>
  <r>
    <x v="559"/>
    <x v="0"/>
    <x v="347"/>
    <x v="0"/>
    <x v="0"/>
    <x v="0"/>
    <x v="4"/>
    <n v="72.42"/>
    <n v="4"/>
    <n v="14.484"/>
    <n v="289.68"/>
    <x v="203"/>
    <x v="336"/>
    <x v="0"/>
    <n v="217.26"/>
    <n v="4.7619047620000003"/>
    <n v="72.42"/>
    <n v="8.1999999999999993"/>
    <n v="96.173500000000004"/>
    <n v="16.840900000000001"/>
  </r>
  <r>
    <x v="560"/>
    <x v="2"/>
    <x v="348"/>
    <x v="2"/>
    <x v="1"/>
    <x v="1"/>
    <x v="1"/>
    <n v="21.58"/>
    <n v="13"/>
    <n v="14.026999999999999"/>
    <n v="280.54000000000002"/>
    <x v="194"/>
    <x v="372"/>
    <x v="1"/>
    <n v="194.22"/>
    <n v="4.7619047620000003"/>
    <n v="86.32"/>
    <n v="8.76"/>
    <n v="96.089100000000002"/>
    <n v="21.9588"/>
  </r>
  <r>
    <x v="561"/>
    <x v="1"/>
    <x v="349"/>
    <x v="1"/>
    <x v="1"/>
    <x v="1"/>
    <x v="2"/>
    <n v="89.2"/>
    <n v="12"/>
    <n v="53.52"/>
    <n v="1070.4000000000001"/>
    <x v="167"/>
    <x v="324"/>
    <x v="2"/>
    <n v="892"/>
    <n v="4.7619047620000003"/>
    <n v="178.4"/>
    <n v="4.62"/>
    <n v="96.078500000000005"/>
    <n v="19.763300000000001"/>
  </r>
  <r>
    <x v="562"/>
    <x v="2"/>
    <x v="11"/>
    <x v="2"/>
    <x v="1"/>
    <x v="0"/>
    <x v="1"/>
    <n v="42.42"/>
    <n v="11"/>
    <n v="23.331"/>
    <n v="466.62"/>
    <x v="225"/>
    <x v="139"/>
    <x v="0"/>
    <n v="339.36"/>
    <n v="4.7619047620000003"/>
    <n v="127.26"/>
    <n v="6.84"/>
    <n v="96.089100000000002"/>
    <n v="21.9588"/>
  </r>
  <r>
    <x v="563"/>
    <x v="0"/>
    <x v="297"/>
    <x v="0"/>
    <x v="0"/>
    <x v="1"/>
    <x v="1"/>
    <n v="74.510000000000005"/>
    <n v="8"/>
    <n v="29.803999999999998"/>
    <n v="596.08000000000004"/>
    <x v="194"/>
    <x v="264"/>
    <x v="0"/>
    <n v="447.06"/>
    <n v="4.7619047620000003"/>
    <n v="149.02000000000001"/>
    <n v="5"/>
    <n v="96.173500000000004"/>
    <n v="16.840900000000001"/>
  </r>
  <r>
    <x v="564"/>
    <x v="2"/>
    <x v="350"/>
    <x v="2"/>
    <x v="1"/>
    <x v="1"/>
    <x v="5"/>
    <n v="99.25"/>
    <n v="3"/>
    <n v="14.887499999999999"/>
    <n v="297.75"/>
    <x v="47"/>
    <x v="276"/>
    <x v="1"/>
    <n v="198.5"/>
    <n v="4.7619047620000003"/>
    <n v="99.25"/>
    <n v="10"/>
    <n v="96.089100000000002"/>
    <n v="21.9588"/>
  </r>
  <r>
    <x v="565"/>
    <x v="0"/>
    <x v="214"/>
    <x v="0"/>
    <x v="1"/>
    <x v="0"/>
    <x v="2"/>
    <n v="81.209999999999994"/>
    <n v="10"/>
    <n v="40.604999999999997"/>
    <n v="812.1"/>
    <x v="295"/>
    <x v="39"/>
    <x v="2"/>
    <n v="812.1"/>
    <n v="4.7619047620000003"/>
    <n v="0"/>
    <n v="6.3"/>
    <n v="96.173500000000004"/>
    <n v="16.840900000000001"/>
  </r>
  <r>
    <x v="566"/>
    <x v="1"/>
    <x v="126"/>
    <x v="1"/>
    <x v="1"/>
    <x v="0"/>
    <x v="3"/>
    <n v="49.33"/>
    <n v="12"/>
    <n v="29.597999999999999"/>
    <n v="591.96"/>
    <x v="105"/>
    <x v="64"/>
    <x v="2"/>
    <n v="493.3"/>
    <n v="4.7619047620000003"/>
    <n v="98.66"/>
    <n v="9.8699999999999992"/>
    <n v="96.078500000000005"/>
    <n v="19.763300000000001"/>
  </r>
  <r>
    <x v="567"/>
    <x v="0"/>
    <x v="351"/>
    <x v="0"/>
    <x v="1"/>
    <x v="0"/>
    <x v="5"/>
    <n v="65.739999999999995"/>
    <n v="9"/>
    <n v="29.582999999999998"/>
    <n v="591.66"/>
    <x v="190"/>
    <x v="353"/>
    <x v="1"/>
    <n v="591.66"/>
    <n v="4.7619047620000003"/>
    <n v="0"/>
    <n v="7.7"/>
    <n v="96.173500000000004"/>
    <n v="16.840900000000001"/>
  </r>
  <r>
    <x v="568"/>
    <x v="2"/>
    <x v="134"/>
    <x v="2"/>
    <x v="1"/>
    <x v="0"/>
    <x v="5"/>
    <n v="79.86"/>
    <n v="10"/>
    <n v="39.93"/>
    <n v="798.6"/>
    <x v="91"/>
    <x v="373"/>
    <x v="2"/>
    <n v="559.02"/>
    <n v="4.7619047620000003"/>
    <n v="239.58"/>
    <n v="6.6"/>
    <n v="96.089100000000002"/>
    <n v="21.9588"/>
  </r>
  <r>
    <x v="569"/>
    <x v="1"/>
    <x v="70"/>
    <x v="1"/>
    <x v="1"/>
    <x v="0"/>
    <x v="3"/>
    <n v="73.98"/>
    <n v="8"/>
    <n v="29.591999999999999"/>
    <n v="591.84"/>
    <x v="237"/>
    <x v="86"/>
    <x v="0"/>
    <n v="517.86"/>
    <n v="4.7619047620000003"/>
    <n v="73.98"/>
    <n v="4.3049999999999997"/>
    <n v="96.078500000000005"/>
    <n v="19.763300000000001"/>
  </r>
  <r>
    <x v="570"/>
    <x v="2"/>
    <x v="325"/>
    <x v="2"/>
    <x v="0"/>
    <x v="0"/>
    <x v="4"/>
    <n v="82.04"/>
    <n v="10"/>
    <n v="41.02"/>
    <n v="820.4"/>
    <x v="296"/>
    <x v="361"/>
    <x v="2"/>
    <n v="410.2"/>
    <n v="4.7619047620000003"/>
    <n v="410.2"/>
    <n v="9.1199999999999992"/>
    <n v="96.089100000000002"/>
    <n v="21.9588"/>
  </r>
  <r>
    <x v="571"/>
    <x v="2"/>
    <x v="254"/>
    <x v="2"/>
    <x v="0"/>
    <x v="1"/>
    <x v="5"/>
    <n v="26.67"/>
    <n v="20"/>
    <n v="26.67"/>
    <n v="533.4"/>
    <x v="297"/>
    <x v="340"/>
    <x v="1"/>
    <n v="266.7"/>
    <n v="4.7619047620000003"/>
    <n v="266.7"/>
    <n v="10"/>
    <n v="96.089100000000002"/>
    <n v="21.9588"/>
  </r>
  <r>
    <x v="572"/>
    <x v="0"/>
    <x v="352"/>
    <x v="0"/>
    <x v="0"/>
    <x v="1"/>
    <x v="5"/>
    <n v="10.130000000000001"/>
    <n v="10"/>
    <n v="5.0650000000000004"/>
    <n v="101.3"/>
    <x v="236"/>
    <x v="323"/>
    <x v="0"/>
    <n v="70.91"/>
    <n v="4.7619047620000003"/>
    <n v="30.39"/>
    <n v="8.3000000000000007"/>
    <n v="96.173500000000004"/>
    <n v="16.840900000000001"/>
  </r>
  <r>
    <x v="573"/>
    <x v="2"/>
    <x v="303"/>
    <x v="2"/>
    <x v="1"/>
    <x v="1"/>
    <x v="5"/>
    <n v="72.39"/>
    <n v="3"/>
    <n v="10.858499999999999"/>
    <n v="217.17"/>
    <x v="257"/>
    <x v="374"/>
    <x v="2"/>
    <n v="144.78"/>
    <n v="4.7619047620000003"/>
    <n v="72.39"/>
    <n v="7.46"/>
    <n v="96.089100000000002"/>
    <n v="21.9588"/>
  </r>
  <r>
    <x v="574"/>
    <x v="0"/>
    <x v="206"/>
    <x v="0"/>
    <x v="1"/>
    <x v="1"/>
    <x v="5"/>
    <n v="85.91"/>
    <n v="5"/>
    <n v="21.477499999999999"/>
    <n v="429.55"/>
    <x v="298"/>
    <x v="375"/>
    <x v="2"/>
    <n v="429.55"/>
    <n v="4.7619047620000003"/>
    <n v="0"/>
    <n v="7.46"/>
    <n v="96.173500000000004"/>
    <n v="16.840900000000001"/>
  </r>
  <r>
    <x v="575"/>
    <x v="2"/>
    <x v="85"/>
    <x v="2"/>
    <x v="0"/>
    <x v="1"/>
    <x v="5"/>
    <n v="81.31"/>
    <n v="14"/>
    <n v="56.917000000000002"/>
    <n v="1138.3399999999999"/>
    <x v="299"/>
    <x v="349"/>
    <x v="0"/>
    <n v="569.16999999999996"/>
    <n v="4.7619047620000003"/>
    <n v="569.16999999999996"/>
    <n v="7.46"/>
    <n v="96.089100000000002"/>
    <n v="21.9588"/>
  </r>
  <r>
    <x v="576"/>
    <x v="2"/>
    <x v="293"/>
    <x v="2"/>
    <x v="1"/>
    <x v="1"/>
    <x v="5"/>
    <n v="60.3"/>
    <n v="6"/>
    <n v="18.09"/>
    <n v="361.8"/>
    <x v="63"/>
    <x v="362"/>
    <x v="1"/>
    <n v="241.2"/>
    <n v="4.7619047620000003"/>
    <n v="120.6"/>
    <n v="7.46"/>
    <n v="96.089100000000002"/>
    <n v="21.9588"/>
  </r>
  <r>
    <x v="577"/>
    <x v="1"/>
    <x v="79"/>
    <x v="1"/>
    <x v="1"/>
    <x v="1"/>
    <x v="5"/>
    <n v="31.77"/>
    <n v="5"/>
    <n v="7.9424999999999999"/>
    <n v="158.85"/>
    <x v="252"/>
    <x v="140"/>
    <x v="0"/>
    <n v="127.08"/>
    <n v="4.7619047620000003"/>
    <n v="31.77"/>
    <n v="7.46"/>
    <n v="96.078500000000005"/>
    <n v="19.763300000000001"/>
  </r>
  <r>
    <x v="578"/>
    <x v="0"/>
    <x v="353"/>
    <x v="0"/>
    <x v="1"/>
    <x v="0"/>
    <x v="5"/>
    <n v="64.27"/>
    <n v="4"/>
    <n v="12.853999999999999"/>
    <n v="257.08"/>
    <x v="71"/>
    <x v="376"/>
    <x v="1"/>
    <n v="257.08"/>
    <n v="4.7619047620000003"/>
    <n v="0"/>
    <n v="7.46"/>
    <n v="96.173500000000004"/>
    <n v="16.840900000000001"/>
  </r>
  <r>
    <x v="579"/>
    <x v="2"/>
    <x v="203"/>
    <x v="2"/>
    <x v="1"/>
    <x v="1"/>
    <x v="5"/>
    <n v="69.510000000000005"/>
    <n v="3"/>
    <n v="10.426500000000001"/>
    <n v="208.53"/>
    <x v="300"/>
    <x v="377"/>
    <x v="0"/>
    <n v="139.02000000000001"/>
    <n v="4.7619047620000003"/>
    <n v="69.510000000000005"/>
    <n v="7.46"/>
    <n v="96.089100000000002"/>
    <n v="21.9588"/>
  </r>
  <r>
    <x v="580"/>
    <x v="1"/>
    <x v="354"/>
    <x v="1"/>
    <x v="1"/>
    <x v="1"/>
    <x v="2"/>
    <n v="27.22"/>
    <n v="4"/>
    <n v="5.444"/>
    <n v="108.88"/>
    <x v="33"/>
    <x v="378"/>
    <x v="1"/>
    <n v="81.66"/>
    <n v="4.7619047620000003"/>
    <n v="27.22"/>
    <n v="7.46"/>
    <n v="96.078500000000005"/>
    <n v="19.763300000000001"/>
  </r>
  <r>
    <x v="581"/>
    <x v="0"/>
    <x v="355"/>
    <x v="0"/>
    <x v="0"/>
    <x v="0"/>
    <x v="0"/>
    <n v="77.680000000000007"/>
    <n v="6"/>
    <n v="23.303999999999998"/>
    <n v="466.08"/>
    <x v="211"/>
    <x v="85"/>
    <x v="1"/>
    <n v="310.72000000000003"/>
    <n v="4.7619047620000003"/>
    <n v="155.36000000000001"/>
    <n v="8.4"/>
    <n v="96.173500000000004"/>
    <n v="16.840900000000001"/>
  </r>
  <r>
    <x v="582"/>
    <x v="1"/>
    <x v="72"/>
    <x v="1"/>
    <x v="0"/>
    <x v="0"/>
    <x v="5"/>
    <n v="92.98"/>
    <n v="3"/>
    <n v="13.946999999999999"/>
    <n v="278.94"/>
    <x v="283"/>
    <x v="379"/>
    <x v="2"/>
    <n v="185.96"/>
    <n v="4.7619047620000003"/>
    <n v="92.98"/>
    <n v="8.4"/>
    <n v="96.078500000000005"/>
    <n v="19.763300000000001"/>
  </r>
  <r>
    <x v="583"/>
    <x v="2"/>
    <x v="45"/>
    <x v="2"/>
    <x v="0"/>
    <x v="0"/>
    <x v="3"/>
    <n v="18.079999999999998"/>
    <n v="8"/>
    <n v="7.2320000000000002"/>
    <n v="144.63999999999999"/>
    <x v="84"/>
    <x v="172"/>
    <x v="2"/>
    <n v="72.319999999999993"/>
    <n v="4.7619047620000003"/>
    <n v="72.319999999999993"/>
    <n v="10"/>
    <n v="96.089100000000002"/>
    <n v="21.9588"/>
  </r>
  <r>
    <x v="584"/>
    <x v="2"/>
    <x v="356"/>
    <x v="2"/>
    <x v="1"/>
    <x v="1"/>
    <x v="3"/>
    <n v="63.06"/>
    <n v="4"/>
    <n v="12.612"/>
    <n v="252.24"/>
    <x v="96"/>
    <x v="380"/>
    <x v="0"/>
    <n v="189.18"/>
    <n v="4.7619047620000003"/>
    <n v="63.06"/>
    <n v="8.4"/>
    <n v="96.089100000000002"/>
    <n v="21.9588"/>
  </r>
  <r>
    <x v="585"/>
    <x v="0"/>
    <x v="357"/>
    <x v="0"/>
    <x v="1"/>
    <x v="1"/>
    <x v="3"/>
    <n v="51.71"/>
    <n v="4"/>
    <n v="10.342000000000001"/>
    <n v="206.84"/>
    <x v="148"/>
    <x v="318"/>
    <x v="2"/>
    <n v="206.84"/>
    <n v="4.7619047620000003"/>
    <n v="0"/>
    <n v="9.8000000000000007"/>
    <n v="96.173500000000004"/>
    <n v="16.840900000000001"/>
  </r>
  <r>
    <x v="586"/>
    <x v="0"/>
    <x v="358"/>
    <x v="0"/>
    <x v="1"/>
    <x v="0"/>
    <x v="3"/>
    <n v="52.34"/>
    <n v="3"/>
    <n v="7.851"/>
    <n v="157.02000000000001"/>
    <x v="158"/>
    <x v="381"/>
    <x v="1"/>
    <n v="157.02000000000001"/>
    <n v="4.7619047620000003"/>
    <n v="0"/>
    <n v="9.1999999999999993"/>
    <n v="96.173500000000004"/>
    <n v="16.840900000000001"/>
  </r>
  <r>
    <x v="587"/>
    <x v="0"/>
    <x v="273"/>
    <x v="0"/>
    <x v="1"/>
    <x v="0"/>
    <x v="3"/>
    <n v="43.06"/>
    <n v="5"/>
    <n v="10.765000000000001"/>
    <n v="215.3"/>
    <x v="26"/>
    <x v="382"/>
    <x v="0"/>
    <n v="215.3"/>
    <n v="4.7619047620000003"/>
    <n v="0"/>
    <n v="7.7"/>
    <n v="96.173500000000004"/>
    <n v="16.840900000000001"/>
  </r>
  <r>
    <x v="588"/>
    <x v="1"/>
    <x v="207"/>
    <x v="1"/>
    <x v="1"/>
    <x v="1"/>
    <x v="3"/>
    <n v="59.61"/>
    <n v="12"/>
    <n v="35.765999999999998"/>
    <n v="715.32"/>
    <x v="140"/>
    <x v="383"/>
    <x v="1"/>
    <n v="596.1"/>
    <n v="4.7619047620000003"/>
    <n v="119.22"/>
    <n v="5.5650000000000004"/>
    <n v="96.078500000000005"/>
    <n v="19.763300000000001"/>
  </r>
  <r>
    <x v="589"/>
    <x v="0"/>
    <x v="359"/>
    <x v="0"/>
    <x v="1"/>
    <x v="1"/>
    <x v="3"/>
    <n v="14.62"/>
    <n v="5"/>
    <n v="3.6549999999999998"/>
    <n v="73.099999999999994"/>
    <x v="301"/>
    <x v="384"/>
    <x v="1"/>
    <n v="73.099999999999994"/>
    <n v="4.7619047620000003"/>
    <n v="0"/>
    <n v="4.4000000000000004"/>
    <n v="96.173500000000004"/>
    <n v="16.840900000000001"/>
  </r>
  <r>
    <x v="590"/>
    <x v="1"/>
    <x v="360"/>
    <x v="1"/>
    <x v="0"/>
    <x v="1"/>
    <x v="0"/>
    <n v="46.53"/>
    <n v="10"/>
    <n v="23.265000000000001"/>
    <n v="465.3"/>
    <x v="127"/>
    <x v="200"/>
    <x v="2"/>
    <n v="279.18"/>
    <n v="4.7619047620000003"/>
    <n v="186.12"/>
    <n v="4.5149999999999997"/>
    <n v="96.078500000000005"/>
    <n v="19.763300000000001"/>
  </r>
  <r>
    <x v="591"/>
    <x v="1"/>
    <x v="121"/>
    <x v="1"/>
    <x v="0"/>
    <x v="0"/>
    <x v="4"/>
    <n v="24.24"/>
    <n v="11"/>
    <n v="13.332000000000001"/>
    <n v="266.64"/>
    <x v="302"/>
    <x v="180"/>
    <x v="0"/>
    <n v="169.68"/>
    <n v="4.7619047620000003"/>
    <n v="96.96"/>
    <n v="9.8699999999999992"/>
    <n v="96.078500000000005"/>
    <n v="19.763300000000001"/>
  </r>
  <r>
    <x v="592"/>
    <x v="0"/>
    <x v="274"/>
    <x v="0"/>
    <x v="0"/>
    <x v="0"/>
    <x v="3"/>
    <n v="45.58"/>
    <n v="1"/>
    <n v="2.2789999999999999"/>
    <n v="45.58"/>
    <x v="303"/>
    <x v="385"/>
    <x v="1"/>
    <n v="45.58"/>
    <n v="4.7619047620000003"/>
    <n v="0"/>
    <n v="9.8000000000000007"/>
    <n v="96.173500000000004"/>
    <n v="16.840900000000001"/>
  </r>
  <r>
    <x v="593"/>
    <x v="0"/>
    <x v="361"/>
    <x v="0"/>
    <x v="0"/>
    <x v="0"/>
    <x v="3"/>
    <n v="75.2"/>
    <n v="4"/>
    <n v="15.04"/>
    <n v="300.8"/>
    <x v="143"/>
    <x v="159"/>
    <x v="0"/>
    <n v="225.6"/>
    <n v="4.7619047620000003"/>
    <n v="75.2"/>
    <n v="4.8"/>
    <n v="96.173500000000004"/>
    <n v="16.840900000000001"/>
  </r>
  <r>
    <x v="594"/>
    <x v="2"/>
    <x v="115"/>
    <x v="2"/>
    <x v="0"/>
    <x v="1"/>
    <x v="3"/>
    <n v="96.8"/>
    <n v="6"/>
    <n v="29.04"/>
    <n v="580.79999999999995"/>
    <x v="304"/>
    <x v="137"/>
    <x v="1"/>
    <n v="290.39999999999998"/>
    <n v="4.7619047620000003"/>
    <n v="290.39999999999998"/>
    <n v="6.36"/>
    <n v="96.089100000000002"/>
    <n v="21.9588"/>
  </r>
  <r>
    <x v="595"/>
    <x v="2"/>
    <x v="317"/>
    <x v="2"/>
    <x v="1"/>
    <x v="1"/>
    <x v="0"/>
    <n v="14.82"/>
    <n v="4"/>
    <n v="2.964"/>
    <n v="59.28"/>
    <x v="7"/>
    <x v="170"/>
    <x v="2"/>
    <n v="44.46"/>
    <n v="4.7619047620000003"/>
    <n v="14.82"/>
    <n v="10"/>
    <n v="96.089100000000002"/>
    <n v="21.9588"/>
  </r>
  <r>
    <x v="596"/>
    <x v="0"/>
    <x v="105"/>
    <x v="0"/>
    <x v="1"/>
    <x v="1"/>
    <x v="2"/>
    <n v="52.2"/>
    <n v="3"/>
    <n v="7.83"/>
    <n v="156.6"/>
    <x v="6"/>
    <x v="241"/>
    <x v="2"/>
    <n v="156.6"/>
    <n v="4.7619047620000003"/>
    <n v="0"/>
    <n v="9.5"/>
    <n v="96.173500000000004"/>
    <n v="16.840900000000001"/>
  </r>
  <r>
    <x v="597"/>
    <x v="1"/>
    <x v="362"/>
    <x v="1"/>
    <x v="1"/>
    <x v="0"/>
    <x v="3"/>
    <n v="46.66"/>
    <n v="11"/>
    <n v="25.663"/>
    <n v="513.26"/>
    <x v="292"/>
    <x v="386"/>
    <x v="0"/>
    <n v="419.94"/>
    <n v="4.7619047620000003"/>
    <n v="93.32"/>
    <n v="5.5650000000000004"/>
    <n v="96.078500000000005"/>
    <n v="19.763300000000001"/>
  </r>
  <r>
    <x v="598"/>
    <x v="1"/>
    <x v="272"/>
    <x v="1"/>
    <x v="1"/>
    <x v="0"/>
    <x v="5"/>
    <n v="36.85"/>
    <n v="6"/>
    <n v="11.055"/>
    <n v="221.1"/>
    <x v="82"/>
    <x v="387"/>
    <x v="1"/>
    <n v="184.25"/>
    <n v="4.7619047620000003"/>
    <n v="36.85"/>
    <n v="9.66"/>
    <n v="96.078500000000005"/>
    <n v="19.763300000000001"/>
  </r>
  <r>
    <x v="599"/>
    <x v="0"/>
    <x v="363"/>
    <x v="0"/>
    <x v="0"/>
    <x v="0"/>
    <x v="4"/>
    <n v="70.319999999999993"/>
    <n v="3"/>
    <n v="10.548"/>
    <n v="210.96"/>
    <x v="226"/>
    <x v="388"/>
    <x v="0"/>
    <n v="140.63999999999999"/>
    <n v="4.7619047620000003"/>
    <n v="70.319999999999993"/>
    <n v="9.6"/>
    <n v="96.173500000000004"/>
    <n v="16.840900000000001"/>
  </r>
  <r>
    <x v="600"/>
    <x v="1"/>
    <x v="364"/>
    <x v="1"/>
    <x v="1"/>
    <x v="1"/>
    <x v="1"/>
    <n v="83.08"/>
    <n v="1"/>
    <n v="4.1539999999999999"/>
    <n v="83.08"/>
    <x v="76"/>
    <x v="361"/>
    <x v="0"/>
    <n v="83.08"/>
    <n v="4.7619047620000003"/>
    <n v="0"/>
    <n v="6.72"/>
    <n v="96.078500000000005"/>
    <n v="19.763300000000001"/>
  </r>
  <r>
    <x v="601"/>
    <x v="1"/>
    <x v="365"/>
    <x v="1"/>
    <x v="1"/>
    <x v="0"/>
    <x v="5"/>
    <n v="64.989999999999995"/>
    <n v="1"/>
    <n v="3.2494999999999998"/>
    <n v="64.989999999999995"/>
    <x v="238"/>
    <x v="389"/>
    <x v="2"/>
    <n v="64.989999999999995"/>
    <n v="4.7619047620000003"/>
    <n v="0"/>
    <n v="4.7249999999999996"/>
    <n v="96.078500000000005"/>
    <n v="19.763300000000001"/>
  </r>
  <r>
    <x v="602"/>
    <x v="1"/>
    <x v="237"/>
    <x v="1"/>
    <x v="1"/>
    <x v="1"/>
    <x v="2"/>
    <n v="77.56"/>
    <n v="12"/>
    <n v="46.536000000000001"/>
    <n v="930.72"/>
    <x v="217"/>
    <x v="82"/>
    <x v="0"/>
    <n v="775.6"/>
    <n v="4.7619047620000003"/>
    <n v="155.12"/>
    <n v="7.2450000000000001"/>
    <n v="96.078500000000005"/>
    <n v="19.763300000000001"/>
  </r>
  <r>
    <x v="603"/>
    <x v="2"/>
    <x v="39"/>
    <x v="2"/>
    <x v="1"/>
    <x v="0"/>
    <x v="3"/>
    <n v="54.51"/>
    <n v="8"/>
    <n v="21.803999999999998"/>
    <n v="436.08"/>
    <x v="102"/>
    <x v="376"/>
    <x v="0"/>
    <n v="327.06"/>
    <n v="4.7619047620000003"/>
    <n v="109.02"/>
    <n v="9.36"/>
    <n v="96.089100000000002"/>
    <n v="21.9588"/>
  </r>
  <r>
    <x v="604"/>
    <x v="1"/>
    <x v="366"/>
    <x v="1"/>
    <x v="0"/>
    <x v="0"/>
    <x v="5"/>
    <n v="51.89"/>
    <n v="11"/>
    <n v="28.5395"/>
    <n v="570.79"/>
    <x v="9"/>
    <x v="390"/>
    <x v="1"/>
    <n v="363.23"/>
    <n v="4.7619047620000003"/>
    <n v="207.56"/>
    <n v="4.7249999999999996"/>
    <n v="96.078500000000005"/>
    <n v="19.763300000000001"/>
  </r>
  <r>
    <x v="605"/>
    <x v="2"/>
    <x v="32"/>
    <x v="2"/>
    <x v="1"/>
    <x v="1"/>
    <x v="4"/>
    <n v="31.75"/>
    <n v="6"/>
    <n v="9.5250000000000004"/>
    <n v="190.5"/>
    <x v="122"/>
    <x v="108"/>
    <x v="1"/>
    <n v="127"/>
    <n v="4.7619047620000003"/>
    <n v="63.5"/>
    <n v="10"/>
    <n v="96.089100000000002"/>
    <n v="21.9588"/>
  </r>
  <r>
    <x v="606"/>
    <x v="0"/>
    <x v="367"/>
    <x v="0"/>
    <x v="0"/>
    <x v="0"/>
    <x v="5"/>
    <n v="53.65"/>
    <n v="10"/>
    <n v="26.824999999999999"/>
    <n v="536.5"/>
    <x v="213"/>
    <x v="391"/>
    <x v="0"/>
    <n v="375.55"/>
    <n v="4.7619047620000003"/>
    <n v="160.94999999999999"/>
    <n v="5.2"/>
    <n v="96.173500000000004"/>
    <n v="16.840900000000001"/>
  </r>
  <r>
    <x v="607"/>
    <x v="1"/>
    <x v="50"/>
    <x v="1"/>
    <x v="0"/>
    <x v="0"/>
    <x v="2"/>
    <n v="49.79"/>
    <n v="7"/>
    <n v="17.426500000000001"/>
    <n v="348.53"/>
    <x v="44"/>
    <x v="156"/>
    <x v="2"/>
    <n v="199.16"/>
    <n v="4.7619047620000003"/>
    <n v="149.37"/>
    <n v="6.72"/>
    <n v="96.078500000000005"/>
    <n v="19.763300000000001"/>
  </r>
  <r>
    <x v="608"/>
    <x v="0"/>
    <x v="368"/>
    <x v="0"/>
    <x v="1"/>
    <x v="1"/>
    <x v="5"/>
    <n v="30.61"/>
    <n v="1"/>
    <n v="1.5305"/>
    <n v="30.61"/>
    <x v="238"/>
    <x v="22"/>
    <x v="0"/>
    <n v="30.61"/>
    <n v="4.7619047620000003"/>
    <n v="0"/>
    <n v="5.2"/>
    <n v="96.173500000000004"/>
    <n v="16.840900000000001"/>
  </r>
  <r>
    <x v="609"/>
    <x v="2"/>
    <x v="179"/>
    <x v="2"/>
    <x v="0"/>
    <x v="1"/>
    <x v="2"/>
    <n v="57.89"/>
    <n v="4"/>
    <n v="11.577999999999999"/>
    <n v="231.56"/>
    <x v="82"/>
    <x v="4"/>
    <x v="0"/>
    <n v="115.78"/>
    <n v="4.7619047620000003"/>
    <n v="115.78"/>
    <n v="10"/>
    <n v="96.089100000000002"/>
    <n v="21.9588"/>
  </r>
  <r>
    <x v="610"/>
    <x v="0"/>
    <x v="369"/>
    <x v="0"/>
    <x v="1"/>
    <x v="0"/>
    <x v="1"/>
    <n v="28.96"/>
    <n v="1"/>
    <n v="1.448"/>
    <n v="28.96"/>
    <x v="29"/>
    <x v="392"/>
    <x v="2"/>
    <n v="28.96"/>
    <n v="4.7619047620000003"/>
    <n v="0"/>
    <n v="6.2"/>
    <n v="96.173500000000004"/>
    <n v="16.840900000000001"/>
  </r>
  <r>
    <x v="611"/>
    <x v="1"/>
    <x v="171"/>
    <x v="1"/>
    <x v="0"/>
    <x v="0"/>
    <x v="2"/>
    <n v="98.97"/>
    <n v="15"/>
    <n v="74.227500000000006"/>
    <n v="1484.55"/>
    <x v="18"/>
    <x v="219"/>
    <x v="1"/>
    <n v="890.73"/>
    <n v="4.7619047620000003"/>
    <n v="593.82000000000005"/>
    <n v="7.0350000000000001"/>
    <n v="96.078500000000005"/>
    <n v="19.763300000000001"/>
  </r>
  <r>
    <x v="612"/>
    <x v="2"/>
    <x v="293"/>
    <x v="2"/>
    <x v="0"/>
    <x v="1"/>
    <x v="5"/>
    <n v="93.22"/>
    <n v="6"/>
    <n v="27.966000000000001"/>
    <n v="559.32000000000005"/>
    <x v="112"/>
    <x v="393"/>
    <x v="1"/>
    <n v="279.66000000000003"/>
    <n v="4.7619047620000003"/>
    <n v="279.66000000000003"/>
    <n v="8.64"/>
    <n v="96.089100000000002"/>
    <n v="21.9588"/>
  </r>
  <r>
    <x v="613"/>
    <x v="1"/>
    <x v="95"/>
    <x v="1"/>
    <x v="0"/>
    <x v="1"/>
    <x v="3"/>
    <n v="80.930000000000007"/>
    <n v="1"/>
    <n v="4.0465"/>
    <n v="80.930000000000007"/>
    <x v="149"/>
    <x v="394"/>
    <x v="2"/>
    <n v="80.930000000000007"/>
    <n v="4.7619047620000003"/>
    <n v="0"/>
    <n v="9.4499999999999993"/>
    <n v="96.078500000000005"/>
    <n v="19.763300000000001"/>
  </r>
  <r>
    <x v="614"/>
    <x v="0"/>
    <x v="370"/>
    <x v="0"/>
    <x v="0"/>
    <x v="1"/>
    <x v="2"/>
    <n v="67.45"/>
    <n v="14"/>
    <n v="47.215000000000003"/>
    <n v="944.3"/>
    <x v="193"/>
    <x v="210"/>
    <x v="0"/>
    <n v="674.5"/>
    <n v="4.7619047620000003"/>
    <n v="269.8"/>
    <n v="4.2"/>
    <n v="96.173500000000004"/>
    <n v="16.840900000000001"/>
  </r>
  <r>
    <x v="615"/>
    <x v="0"/>
    <x v="371"/>
    <x v="0"/>
    <x v="0"/>
    <x v="0"/>
    <x v="3"/>
    <n v="38.72"/>
    <n v="13"/>
    <n v="25.167999999999999"/>
    <n v="503.36"/>
    <x v="298"/>
    <x v="395"/>
    <x v="0"/>
    <n v="348.48"/>
    <n v="4.7619047620000003"/>
    <n v="154.88"/>
    <n v="4.2"/>
    <n v="96.173500000000004"/>
    <n v="16.840900000000001"/>
  </r>
  <r>
    <x v="616"/>
    <x v="2"/>
    <x v="114"/>
    <x v="2"/>
    <x v="0"/>
    <x v="1"/>
    <x v="3"/>
    <n v="72.599999999999994"/>
    <n v="11"/>
    <n v="39.93"/>
    <n v="798.6"/>
    <x v="161"/>
    <x v="396"/>
    <x v="1"/>
    <n v="435.6"/>
    <n v="4.7619047620000003"/>
    <n v="363"/>
    <n v="8.2799999999999994"/>
    <n v="96.089100000000002"/>
    <n v="21.9588"/>
  </r>
  <r>
    <x v="617"/>
    <x v="1"/>
    <x v="372"/>
    <x v="1"/>
    <x v="0"/>
    <x v="1"/>
    <x v="1"/>
    <n v="87.91"/>
    <n v="8"/>
    <n v="35.164000000000001"/>
    <n v="703.28"/>
    <x v="215"/>
    <x v="397"/>
    <x v="0"/>
    <n v="439.55"/>
    <n v="4.7619047620000003"/>
    <n v="263.73"/>
    <n v="4.62"/>
    <n v="96.078500000000005"/>
    <n v="19.763300000000001"/>
  </r>
  <r>
    <x v="618"/>
    <x v="0"/>
    <x v="373"/>
    <x v="0"/>
    <x v="0"/>
    <x v="1"/>
    <x v="2"/>
    <n v="98.53"/>
    <n v="8"/>
    <n v="39.411999999999999"/>
    <n v="788.24"/>
    <x v="109"/>
    <x v="218"/>
    <x v="2"/>
    <n v="591.17999999999995"/>
    <n v="4.7619047620000003"/>
    <n v="197.06"/>
    <n v="4"/>
    <n v="96.173500000000004"/>
    <n v="16.840900000000001"/>
  </r>
  <r>
    <x v="619"/>
    <x v="1"/>
    <x v="42"/>
    <x v="1"/>
    <x v="0"/>
    <x v="0"/>
    <x v="5"/>
    <n v="43.46"/>
    <n v="10"/>
    <n v="21.73"/>
    <n v="434.6"/>
    <x v="145"/>
    <x v="84"/>
    <x v="0"/>
    <n v="260.76"/>
    <n v="4.7619047620000003"/>
    <n v="173.84"/>
    <n v="8.9250000000000007"/>
    <n v="96.078500000000005"/>
    <n v="19.763300000000001"/>
  </r>
  <r>
    <x v="620"/>
    <x v="0"/>
    <x v="3"/>
    <x v="0"/>
    <x v="1"/>
    <x v="0"/>
    <x v="2"/>
    <n v="71.680000000000007"/>
    <n v="3"/>
    <n v="10.752000000000001"/>
    <n v="215.04"/>
    <x v="162"/>
    <x v="19"/>
    <x v="2"/>
    <n v="215.04"/>
    <n v="4.7619047620000003"/>
    <n v="0"/>
    <n v="9.1999999999999993"/>
    <n v="96.173500000000004"/>
    <n v="16.840900000000001"/>
  </r>
  <r>
    <x v="621"/>
    <x v="0"/>
    <x v="374"/>
    <x v="0"/>
    <x v="1"/>
    <x v="0"/>
    <x v="3"/>
    <n v="91.61"/>
    <n v="1"/>
    <n v="4.5804999999999998"/>
    <n v="91.61"/>
    <x v="305"/>
    <x v="143"/>
    <x v="1"/>
    <n v="91.61"/>
    <n v="4.7619047620000003"/>
    <n v="0"/>
    <n v="9.8000000000000007"/>
    <n v="96.173500000000004"/>
    <n v="16.840900000000001"/>
  </r>
  <r>
    <x v="622"/>
    <x v="2"/>
    <x v="266"/>
    <x v="2"/>
    <x v="1"/>
    <x v="0"/>
    <x v="3"/>
    <n v="94.59"/>
    <n v="10"/>
    <n v="47.295000000000002"/>
    <n v="945.9"/>
    <x v="56"/>
    <x v="398"/>
    <x v="2"/>
    <n v="662.13"/>
    <n v="4.7619047620000003"/>
    <n v="283.77"/>
    <n v="5.88"/>
    <n v="96.089100000000002"/>
    <n v="21.9588"/>
  </r>
  <r>
    <x v="623"/>
    <x v="2"/>
    <x v="180"/>
    <x v="2"/>
    <x v="1"/>
    <x v="0"/>
    <x v="3"/>
    <n v="83.25"/>
    <n v="14"/>
    <n v="58.274999999999999"/>
    <n v="1165.5"/>
    <x v="203"/>
    <x v="210"/>
    <x v="2"/>
    <n v="832.5"/>
    <n v="4.7619047620000003"/>
    <n v="333"/>
    <n v="5.28"/>
    <n v="96.089100000000002"/>
    <n v="21.9588"/>
  </r>
  <r>
    <x v="624"/>
    <x v="2"/>
    <x v="356"/>
    <x v="2"/>
    <x v="1"/>
    <x v="1"/>
    <x v="3"/>
    <n v="91.35"/>
    <n v="1"/>
    <n v="4.5674999999999999"/>
    <n v="91.35"/>
    <x v="87"/>
    <x v="324"/>
    <x v="1"/>
    <n v="91.35"/>
    <n v="4.7619047620000003"/>
    <n v="0"/>
    <n v="8.16"/>
    <n v="96.089100000000002"/>
    <n v="21.9588"/>
  </r>
  <r>
    <x v="625"/>
    <x v="2"/>
    <x v="187"/>
    <x v="2"/>
    <x v="1"/>
    <x v="0"/>
    <x v="3"/>
    <n v="78.88"/>
    <n v="3"/>
    <n v="11.832000000000001"/>
    <n v="236.64"/>
    <x v="278"/>
    <x v="399"/>
    <x v="1"/>
    <n v="157.76"/>
    <n v="4.7619047620000003"/>
    <n v="78.88"/>
    <n v="10"/>
    <n v="96.089100000000002"/>
    <n v="21.9588"/>
  </r>
  <r>
    <x v="626"/>
    <x v="0"/>
    <x v="273"/>
    <x v="0"/>
    <x v="1"/>
    <x v="1"/>
    <x v="3"/>
    <n v="60.87"/>
    <n v="2"/>
    <n v="6.0869999999999997"/>
    <n v="121.74"/>
    <x v="209"/>
    <x v="378"/>
    <x v="0"/>
    <n v="121.74"/>
    <n v="4.7619047620000003"/>
    <n v="0"/>
    <n v="8.6999999999999993"/>
    <n v="96.173500000000004"/>
    <n v="16.840900000000001"/>
  </r>
  <r>
    <x v="627"/>
    <x v="2"/>
    <x v="140"/>
    <x v="2"/>
    <x v="1"/>
    <x v="1"/>
    <x v="3"/>
    <n v="82.58"/>
    <n v="14"/>
    <n v="57.805999999999997"/>
    <n v="1156.1199999999999"/>
    <x v="44"/>
    <x v="400"/>
    <x v="1"/>
    <n v="825.8"/>
    <n v="4.7619047620000003"/>
    <n v="330.32"/>
    <n v="7.46"/>
    <n v="96.089100000000002"/>
    <n v="21.9588"/>
  </r>
  <r>
    <x v="628"/>
    <x v="0"/>
    <x v="375"/>
    <x v="0"/>
    <x v="1"/>
    <x v="1"/>
    <x v="3"/>
    <n v="53.3"/>
    <n v="3"/>
    <n v="7.9950000000000001"/>
    <n v="159.9"/>
    <x v="29"/>
    <x v="401"/>
    <x v="0"/>
    <n v="159.9"/>
    <n v="4.7619047620000003"/>
    <n v="0"/>
    <n v="7.46"/>
    <n v="96.173500000000004"/>
    <n v="16.840900000000001"/>
  </r>
  <r>
    <x v="629"/>
    <x v="0"/>
    <x v="376"/>
    <x v="0"/>
    <x v="1"/>
    <x v="0"/>
    <x v="3"/>
    <n v="12.09"/>
    <n v="1"/>
    <n v="0.60450000000000004"/>
    <n v="12.09"/>
    <x v="10"/>
    <x v="96"/>
    <x v="2"/>
    <n v="12.09"/>
    <n v="4.7619047620000003"/>
    <n v="0"/>
    <n v="7.46"/>
    <n v="96.173500000000004"/>
    <n v="16.840900000000001"/>
  </r>
  <r>
    <x v="630"/>
    <x v="0"/>
    <x v="377"/>
    <x v="0"/>
    <x v="1"/>
    <x v="1"/>
    <x v="3"/>
    <n v="64.19"/>
    <n v="10"/>
    <n v="32.094999999999999"/>
    <n v="641.9"/>
    <x v="143"/>
    <x v="402"/>
    <x v="2"/>
    <n v="641.9"/>
    <n v="4.7619047620000003"/>
    <n v="0"/>
    <n v="7.46"/>
    <n v="96.173500000000004"/>
    <n v="16.840900000000001"/>
  </r>
  <r>
    <x v="631"/>
    <x v="0"/>
    <x v="144"/>
    <x v="0"/>
    <x v="1"/>
    <x v="1"/>
    <x v="1"/>
    <n v="78.31"/>
    <n v="3"/>
    <n v="11.746499999999999"/>
    <n v="234.93"/>
    <x v="155"/>
    <x v="382"/>
    <x v="0"/>
    <n v="234.93"/>
    <n v="4.7619047620000003"/>
    <n v="0"/>
    <n v="7.46"/>
    <n v="96.173500000000004"/>
    <n v="16.840900000000001"/>
  </r>
  <r>
    <x v="632"/>
    <x v="0"/>
    <x v="378"/>
    <x v="0"/>
    <x v="1"/>
    <x v="1"/>
    <x v="2"/>
    <n v="83.77"/>
    <n v="2"/>
    <n v="8.3770000000000007"/>
    <n v="167.54"/>
    <x v="293"/>
    <x v="200"/>
    <x v="2"/>
    <n v="167.54"/>
    <n v="4.7619047620000003"/>
    <n v="0"/>
    <n v="7"/>
    <n v="96.173500000000004"/>
    <n v="16.840900000000001"/>
  </r>
  <r>
    <x v="633"/>
    <x v="2"/>
    <x v="379"/>
    <x v="2"/>
    <x v="1"/>
    <x v="1"/>
    <x v="4"/>
    <n v="99.7"/>
    <n v="4"/>
    <n v="19.940000000000001"/>
    <n v="398.8"/>
    <x v="169"/>
    <x v="403"/>
    <x v="0"/>
    <n v="299.10000000000002"/>
    <n v="4.7619047620000003"/>
    <n v="99.7"/>
    <n v="5.64"/>
    <n v="96.089100000000002"/>
    <n v="21.9588"/>
  </r>
  <r>
    <x v="634"/>
    <x v="2"/>
    <x v="106"/>
    <x v="2"/>
    <x v="1"/>
    <x v="1"/>
    <x v="2"/>
    <n v="79.91"/>
    <n v="4"/>
    <n v="15.981999999999999"/>
    <n v="319.64"/>
    <x v="265"/>
    <x v="198"/>
    <x v="2"/>
    <n v="239.73"/>
    <n v="4.7619047620000003"/>
    <n v="79.91"/>
    <n v="6"/>
    <n v="96.089100000000002"/>
    <n v="21.9588"/>
  </r>
  <r>
    <x v="635"/>
    <x v="2"/>
    <x v="277"/>
    <x v="2"/>
    <x v="1"/>
    <x v="1"/>
    <x v="5"/>
    <n v="66.47"/>
    <n v="14"/>
    <n v="46.529000000000003"/>
    <n v="930.58"/>
    <x v="276"/>
    <x v="66"/>
    <x v="2"/>
    <n v="664.7"/>
    <n v="4.7619047620000003"/>
    <n v="265.88"/>
    <n v="6"/>
    <n v="96.089100000000002"/>
    <n v="21.9588"/>
  </r>
  <r>
    <x v="636"/>
    <x v="0"/>
    <x v="53"/>
    <x v="0"/>
    <x v="1"/>
    <x v="1"/>
    <x v="5"/>
    <n v="28.95"/>
    <n v="7"/>
    <n v="10.1325"/>
    <n v="202.65"/>
    <x v="306"/>
    <x v="106"/>
    <x v="2"/>
    <n v="202.65"/>
    <n v="4.7619047620000003"/>
    <n v="0"/>
    <n v="6"/>
    <n v="96.173500000000004"/>
    <n v="16.840900000000001"/>
  </r>
  <r>
    <x v="637"/>
    <x v="1"/>
    <x v="380"/>
    <x v="1"/>
    <x v="1"/>
    <x v="0"/>
    <x v="5"/>
    <n v="46.2"/>
    <n v="1"/>
    <n v="2.31"/>
    <n v="46.2"/>
    <x v="307"/>
    <x v="404"/>
    <x v="1"/>
    <n v="46.2"/>
    <n v="4.7619047620000003"/>
    <n v="0"/>
    <n v="6.6150000000000002"/>
    <n v="96.078500000000005"/>
    <n v="19.763300000000001"/>
  </r>
  <r>
    <x v="638"/>
    <x v="2"/>
    <x v="303"/>
    <x v="2"/>
    <x v="0"/>
    <x v="0"/>
    <x v="5"/>
    <n v="17.63"/>
    <n v="10"/>
    <n v="8.8149999999999995"/>
    <n v="176.3"/>
    <x v="84"/>
    <x v="398"/>
    <x v="1"/>
    <n v="88.15"/>
    <n v="4.7619047620000003"/>
    <n v="88.15"/>
    <n v="10"/>
    <n v="96.089100000000002"/>
    <n v="21.9588"/>
  </r>
  <r>
    <x v="639"/>
    <x v="2"/>
    <x v="210"/>
    <x v="2"/>
    <x v="1"/>
    <x v="1"/>
    <x v="5"/>
    <n v="52.42"/>
    <n v="4"/>
    <n v="10.484"/>
    <n v="209.68"/>
    <x v="201"/>
    <x v="24"/>
    <x v="0"/>
    <n v="157.26"/>
    <n v="4.7619047620000003"/>
    <n v="52.42"/>
    <n v="9"/>
    <n v="96.089100000000002"/>
    <n v="21.9588"/>
  </r>
  <r>
    <x v="640"/>
    <x v="2"/>
    <x v="335"/>
    <x v="2"/>
    <x v="0"/>
    <x v="0"/>
    <x v="5"/>
    <n v="98.79"/>
    <n v="6"/>
    <n v="29.637"/>
    <n v="592.74"/>
    <x v="81"/>
    <x v="405"/>
    <x v="0"/>
    <n v="296.37"/>
    <n v="4.7619047620000003"/>
    <n v="296.37"/>
    <n v="7.68"/>
    <n v="96.089100000000002"/>
    <n v="21.9588"/>
  </r>
  <r>
    <x v="641"/>
    <x v="1"/>
    <x v="1"/>
    <x v="1"/>
    <x v="0"/>
    <x v="0"/>
    <x v="5"/>
    <n v="88.55"/>
    <n v="14"/>
    <n v="61.984999999999999"/>
    <n v="1239.7"/>
    <x v="259"/>
    <x v="406"/>
    <x v="0"/>
    <n v="708.4"/>
    <n v="4.7619047620000003"/>
    <n v="531.29999999999995"/>
    <n v="4.9349999999999996"/>
    <n v="96.078500000000005"/>
    <n v="19.763300000000001"/>
  </r>
  <r>
    <x v="642"/>
    <x v="2"/>
    <x v="132"/>
    <x v="2"/>
    <x v="0"/>
    <x v="1"/>
    <x v="5"/>
    <n v="55.67"/>
    <n v="4"/>
    <n v="11.134"/>
    <n v="222.68"/>
    <x v="102"/>
    <x v="264"/>
    <x v="0"/>
    <n v="111.34"/>
    <n v="4.7619047620000003"/>
    <n v="111.34"/>
    <n v="7.2"/>
    <n v="96.089100000000002"/>
    <n v="21.9588"/>
  </r>
  <r>
    <x v="643"/>
    <x v="1"/>
    <x v="381"/>
    <x v="1"/>
    <x v="0"/>
    <x v="0"/>
    <x v="5"/>
    <n v="72.52"/>
    <n v="14"/>
    <n v="50.764000000000003"/>
    <n v="1015.28"/>
    <x v="300"/>
    <x v="206"/>
    <x v="2"/>
    <n v="580.16"/>
    <n v="4.7619047620000003"/>
    <n v="435.12"/>
    <n v="4.2"/>
    <n v="96.078500000000005"/>
    <n v="19.763300000000001"/>
  </r>
  <r>
    <x v="644"/>
    <x v="1"/>
    <x v="97"/>
    <x v="1"/>
    <x v="0"/>
    <x v="1"/>
    <x v="1"/>
    <n v="12.05"/>
    <n v="8"/>
    <n v="4.82"/>
    <n v="96.4"/>
    <x v="152"/>
    <x v="183"/>
    <x v="0"/>
    <n v="60.25"/>
    <n v="4.7619047620000003"/>
    <n v="36.15"/>
    <n v="5.7750000000000004"/>
    <n v="96.078500000000005"/>
    <n v="19.763300000000001"/>
  </r>
  <r>
    <x v="645"/>
    <x v="0"/>
    <x v="209"/>
    <x v="0"/>
    <x v="0"/>
    <x v="1"/>
    <x v="4"/>
    <n v="19.36"/>
    <n v="13"/>
    <n v="12.584"/>
    <n v="251.68"/>
    <x v="279"/>
    <x v="362"/>
    <x v="0"/>
    <n v="174.24"/>
    <n v="4.7619047620000003"/>
    <n v="77.44"/>
    <n v="8.6999999999999993"/>
    <n v="96.173500000000004"/>
    <n v="16.840900000000001"/>
  </r>
  <r>
    <x v="646"/>
    <x v="1"/>
    <x v="100"/>
    <x v="1"/>
    <x v="1"/>
    <x v="1"/>
    <x v="0"/>
    <n v="70.209999999999994"/>
    <n v="7"/>
    <n v="24.573499999999999"/>
    <n v="491.47"/>
    <x v="208"/>
    <x v="407"/>
    <x v="1"/>
    <n v="421.26"/>
    <n v="4.7619047620000003"/>
    <n v="70.209999999999994"/>
    <n v="7.77"/>
    <n v="96.078500000000005"/>
    <n v="19.763300000000001"/>
  </r>
  <r>
    <x v="647"/>
    <x v="2"/>
    <x v="191"/>
    <x v="2"/>
    <x v="0"/>
    <x v="1"/>
    <x v="5"/>
    <n v="33.630000000000003"/>
    <n v="1"/>
    <n v="1.6815"/>
    <n v="33.630000000000003"/>
    <x v="172"/>
    <x v="374"/>
    <x v="1"/>
    <n v="33.630000000000003"/>
    <n v="4.7619047620000003"/>
    <n v="0"/>
    <n v="6.72"/>
    <n v="96.089100000000002"/>
    <n v="21.9588"/>
  </r>
  <r>
    <x v="648"/>
    <x v="1"/>
    <x v="270"/>
    <x v="1"/>
    <x v="0"/>
    <x v="0"/>
    <x v="3"/>
    <n v="15.49"/>
    <n v="3"/>
    <n v="2.3235000000000001"/>
    <n v="46.47"/>
    <x v="58"/>
    <x v="50"/>
    <x v="1"/>
    <n v="30.98"/>
    <n v="4.7619047620000003"/>
    <n v="15.49"/>
    <n v="6.6150000000000002"/>
    <n v="96.078500000000005"/>
    <n v="19.763300000000001"/>
  </r>
  <r>
    <x v="649"/>
    <x v="1"/>
    <x v="382"/>
    <x v="1"/>
    <x v="1"/>
    <x v="1"/>
    <x v="1"/>
    <n v="24.74"/>
    <n v="12"/>
    <n v="14.843999999999999"/>
    <n v="296.88"/>
    <x v="189"/>
    <x v="95"/>
    <x v="1"/>
    <n v="247.4"/>
    <n v="4.7619047620000003"/>
    <n v="49.48"/>
    <n v="7.4550000000000001"/>
    <n v="96.078500000000005"/>
    <n v="19.763300000000001"/>
  </r>
  <r>
    <x v="650"/>
    <x v="2"/>
    <x v="186"/>
    <x v="2"/>
    <x v="1"/>
    <x v="1"/>
    <x v="1"/>
    <n v="75.66"/>
    <n v="7"/>
    <n v="26.481000000000002"/>
    <n v="529.62"/>
    <x v="45"/>
    <x v="282"/>
    <x v="0"/>
    <n v="378.3"/>
    <n v="4.7619047620000003"/>
    <n v="151.32"/>
    <n v="9.36"/>
    <n v="96.089100000000002"/>
    <n v="21.9588"/>
  </r>
  <r>
    <x v="651"/>
    <x v="2"/>
    <x v="317"/>
    <x v="2"/>
    <x v="1"/>
    <x v="0"/>
    <x v="0"/>
    <n v="55.81"/>
    <n v="8"/>
    <n v="22.324000000000002"/>
    <n v="446.48"/>
    <x v="308"/>
    <x v="408"/>
    <x v="1"/>
    <n v="334.86"/>
    <n v="4.7619047620000003"/>
    <n v="111.62"/>
    <n v="10"/>
    <n v="96.089100000000002"/>
    <n v="21.9588"/>
  </r>
  <r>
    <x v="652"/>
    <x v="0"/>
    <x v="2"/>
    <x v="0"/>
    <x v="0"/>
    <x v="1"/>
    <x v="4"/>
    <n v="72.78"/>
    <n v="14"/>
    <n v="50.945999999999998"/>
    <n v="1018.92"/>
    <x v="158"/>
    <x v="45"/>
    <x v="1"/>
    <n v="727.8"/>
    <n v="4.7619047620000003"/>
    <n v="291.12"/>
    <n v="7.3"/>
    <n v="96.173500000000004"/>
    <n v="16.840900000000001"/>
  </r>
  <r>
    <x v="653"/>
    <x v="2"/>
    <x v="348"/>
    <x v="2"/>
    <x v="0"/>
    <x v="1"/>
    <x v="3"/>
    <n v="37.32"/>
    <n v="18"/>
    <n v="33.588000000000001"/>
    <n v="671.76"/>
    <x v="309"/>
    <x v="26"/>
    <x v="0"/>
    <n v="335.88"/>
    <n v="4.7619047620000003"/>
    <n v="335.88"/>
    <n v="6.12"/>
    <n v="96.089100000000002"/>
    <n v="21.9588"/>
  </r>
  <r>
    <x v="654"/>
    <x v="2"/>
    <x v="98"/>
    <x v="2"/>
    <x v="0"/>
    <x v="1"/>
    <x v="5"/>
    <n v="60.18"/>
    <n v="8"/>
    <n v="24.071999999999999"/>
    <n v="481.44"/>
    <x v="272"/>
    <x v="358"/>
    <x v="2"/>
    <n v="240.72"/>
    <n v="4.7619047620000003"/>
    <n v="240.72"/>
    <n v="10"/>
    <n v="96.089100000000002"/>
    <n v="21.9588"/>
  </r>
  <r>
    <x v="655"/>
    <x v="0"/>
    <x v="383"/>
    <x v="0"/>
    <x v="1"/>
    <x v="0"/>
    <x v="3"/>
    <n v="15.69"/>
    <n v="3"/>
    <n v="2.3534999999999999"/>
    <n v="47.07"/>
    <x v="280"/>
    <x v="385"/>
    <x v="2"/>
    <n v="47.07"/>
    <n v="4.7619047620000003"/>
    <n v="0"/>
    <n v="5.8"/>
    <n v="96.173500000000004"/>
    <n v="16.840900000000001"/>
  </r>
  <r>
    <x v="656"/>
    <x v="1"/>
    <x v="213"/>
    <x v="1"/>
    <x v="1"/>
    <x v="0"/>
    <x v="3"/>
    <n v="99.69"/>
    <n v="1"/>
    <n v="4.9844999999999997"/>
    <n v="99.69"/>
    <x v="236"/>
    <x v="81"/>
    <x v="2"/>
    <n v="99.69"/>
    <n v="4.7619047620000003"/>
    <n v="0"/>
    <n v="8.4"/>
    <n v="96.078500000000005"/>
    <n v="19.763300000000001"/>
  </r>
  <r>
    <x v="657"/>
    <x v="0"/>
    <x v="384"/>
    <x v="0"/>
    <x v="0"/>
    <x v="0"/>
    <x v="3"/>
    <n v="88.15"/>
    <n v="4"/>
    <n v="17.63"/>
    <n v="352.6"/>
    <x v="82"/>
    <x v="41"/>
    <x v="0"/>
    <n v="264.45"/>
    <n v="4.7619047620000003"/>
    <n v="88.15"/>
    <n v="7.9"/>
    <n v="96.173500000000004"/>
    <n v="16.840900000000001"/>
  </r>
  <r>
    <x v="658"/>
    <x v="0"/>
    <x v="136"/>
    <x v="0"/>
    <x v="0"/>
    <x v="0"/>
    <x v="3"/>
    <n v="27.93"/>
    <n v="7"/>
    <n v="9.7754999999999992"/>
    <n v="195.51"/>
    <x v="248"/>
    <x v="74"/>
    <x v="1"/>
    <n v="139.65"/>
    <n v="4.7619047620000003"/>
    <n v="55.86"/>
    <n v="5.9"/>
    <n v="96.173500000000004"/>
    <n v="16.840900000000001"/>
  </r>
  <r>
    <x v="659"/>
    <x v="0"/>
    <x v="385"/>
    <x v="0"/>
    <x v="0"/>
    <x v="1"/>
    <x v="5"/>
    <n v="55.45"/>
    <n v="1"/>
    <n v="2.7725"/>
    <n v="55.45"/>
    <x v="255"/>
    <x v="409"/>
    <x v="2"/>
    <n v="55.45"/>
    <n v="4.7619047620000003"/>
    <n v="0"/>
    <n v="4.9000000000000004"/>
    <n v="96.173500000000004"/>
    <n v="16.840900000000001"/>
  </r>
  <r>
    <x v="660"/>
    <x v="0"/>
    <x v="30"/>
    <x v="2"/>
    <x v="1"/>
    <x v="0"/>
    <x v="3"/>
    <n v="42.97"/>
    <n v="4"/>
    <n v="8.5939999999999994"/>
    <n v="171.88"/>
    <x v="84"/>
    <x v="246"/>
    <x v="1"/>
    <n v="128.91"/>
    <n v="4.7619047620000003"/>
    <n v="42.97"/>
    <n v="10"/>
    <n v="96.089100000000002"/>
    <n v="21.9588"/>
  </r>
  <r>
    <x v="661"/>
    <x v="0"/>
    <x v="327"/>
    <x v="1"/>
    <x v="0"/>
    <x v="1"/>
    <x v="3"/>
    <n v="17.14"/>
    <n v="11"/>
    <n v="9.4269999999999996"/>
    <n v="188.54"/>
    <x v="306"/>
    <x v="348"/>
    <x v="2"/>
    <n v="119.98"/>
    <n v="4.7619047620000003"/>
    <n v="68.56"/>
    <n v="8.2949999999999999"/>
    <n v="96.078500000000005"/>
    <n v="19.763300000000001"/>
  </r>
  <r>
    <x v="662"/>
    <x v="0"/>
    <x v="317"/>
    <x v="2"/>
    <x v="0"/>
    <x v="0"/>
    <x v="5"/>
    <n v="58.75"/>
    <n v="11"/>
    <n v="32.3125"/>
    <n v="646.25"/>
    <x v="112"/>
    <x v="92"/>
    <x v="2"/>
    <n v="352.5"/>
    <n v="4.7619047620000003"/>
    <n v="293.75"/>
    <n v="7.08"/>
    <n v="96.089100000000002"/>
    <n v="21.9588"/>
  </r>
  <r>
    <x v="663"/>
    <x v="1"/>
    <x v="1"/>
    <x v="1"/>
    <x v="0"/>
    <x v="0"/>
    <x v="2"/>
    <n v="87.1"/>
    <n v="17"/>
    <n v="74.034999999999997"/>
    <n v="1480.7"/>
    <x v="63"/>
    <x v="410"/>
    <x v="2"/>
    <n v="871"/>
    <n v="4.7619047620000003"/>
    <n v="609.70000000000005"/>
    <n v="10"/>
    <n v="96.078500000000005"/>
    <n v="19.763300000000001"/>
  </r>
  <r>
    <x v="664"/>
    <x v="1"/>
    <x v="386"/>
    <x v="1"/>
    <x v="1"/>
    <x v="0"/>
    <x v="3"/>
    <n v="98.8"/>
    <n v="2"/>
    <n v="9.8800000000000008"/>
    <n v="197.6"/>
    <x v="158"/>
    <x v="411"/>
    <x v="1"/>
    <n v="197.6"/>
    <n v="4.7619047620000003"/>
    <n v="0"/>
    <n v="8.0850000000000009"/>
    <n v="96.078500000000005"/>
    <n v="19.763300000000001"/>
  </r>
  <r>
    <x v="665"/>
    <x v="0"/>
    <x v="332"/>
    <x v="0"/>
    <x v="1"/>
    <x v="0"/>
    <x v="5"/>
    <n v="48.63"/>
    <n v="4"/>
    <n v="9.7260000000000009"/>
    <n v="194.52"/>
    <x v="49"/>
    <x v="284"/>
    <x v="0"/>
    <n v="194.52"/>
    <n v="4.7619047620000003"/>
    <n v="0"/>
    <n v="7.6"/>
    <n v="96.173500000000004"/>
    <n v="16.840900000000001"/>
  </r>
  <r>
    <x v="666"/>
    <x v="2"/>
    <x v="41"/>
    <x v="2"/>
    <x v="0"/>
    <x v="1"/>
    <x v="2"/>
    <n v="57.74"/>
    <n v="6"/>
    <n v="17.321999999999999"/>
    <n v="346.44"/>
    <x v="299"/>
    <x v="412"/>
    <x v="0"/>
    <n v="173.22"/>
    <n v="4.7619047620000003"/>
    <n v="173.22"/>
    <n v="9.24"/>
    <n v="96.089100000000002"/>
    <n v="21.9588"/>
  </r>
  <r>
    <x v="667"/>
    <x v="2"/>
    <x v="325"/>
    <x v="2"/>
    <x v="1"/>
    <x v="0"/>
    <x v="5"/>
    <n v="17.97"/>
    <n v="6"/>
    <n v="5.391"/>
    <n v="107.82"/>
    <x v="122"/>
    <x v="413"/>
    <x v="0"/>
    <n v="71.88"/>
    <n v="4.7619047620000003"/>
    <n v="35.94"/>
    <n v="7.68"/>
    <n v="96.089100000000002"/>
    <n v="21.9588"/>
  </r>
  <r>
    <x v="668"/>
    <x v="1"/>
    <x v="120"/>
    <x v="1"/>
    <x v="0"/>
    <x v="0"/>
    <x v="5"/>
    <n v="47.71"/>
    <n v="10"/>
    <n v="23.855"/>
    <n v="477.1"/>
    <x v="282"/>
    <x v="401"/>
    <x v="0"/>
    <n v="286.26"/>
    <n v="4.7619047620000003"/>
    <n v="190.84"/>
    <n v="4.62"/>
    <n v="96.078500000000005"/>
    <n v="19.763300000000001"/>
  </r>
  <r>
    <x v="669"/>
    <x v="2"/>
    <x v="139"/>
    <x v="2"/>
    <x v="1"/>
    <x v="0"/>
    <x v="5"/>
    <n v="40.619999999999997"/>
    <n v="3"/>
    <n v="6.093"/>
    <n v="121.86"/>
    <x v="310"/>
    <x v="175"/>
    <x v="2"/>
    <n v="81.239999999999995"/>
    <n v="4.7619047620000003"/>
    <n v="40.619999999999997"/>
    <n v="4.92"/>
    <n v="96.089100000000002"/>
    <n v="21.9588"/>
  </r>
  <r>
    <x v="670"/>
    <x v="0"/>
    <x v="384"/>
    <x v="0"/>
    <x v="0"/>
    <x v="1"/>
    <x v="5"/>
    <n v="56.04"/>
    <n v="14"/>
    <n v="39.228000000000002"/>
    <n v="784.56"/>
    <x v="132"/>
    <x v="171"/>
    <x v="0"/>
    <n v="560.4"/>
    <n v="4.7619047620000003"/>
    <n v="224.16"/>
    <n v="4.4000000000000004"/>
    <n v="96.173500000000004"/>
    <n v="16.840900000000001"/>
  </r>
  <r>
    <x v="671"/>
    <x v="2"/>
    <x v="309"/>
    <x v="2"/>
    <x v="0"/>
    <x v="1"/>
    <x v="5"/>
    <n v="93.4"/>
    <n v="4"/>
    <n v="18.68"/>
    <n v="373.6"/>
    <x v="239"/>
    <x v="414"/>
    <x v="1"/>
    <n v="186.8"/>
    <n v="4.7619047620000003"/>
    <n v="186.8"/>
    <n v="6.6"/>
    <n v="96.089100000000002"/>
    <n v="21.9588"/>
  </r>
  <r>
    <x v="672"/>
    <x v="2"/>
    <x v="203"/>
    <x v="2"/>
    <x v="1"/>
    <x v="0"/>
    <x v="5"/>
    <n v="73.41"/>
    <n v="4"/>
    <n v="14.682"/>
    <n v="293.64"/>
    <x v="76"/>
    <x v="415"/>
    <x v="0"/>
    <n v="220.23"/>
    <n v="4.7619047620000003"/>
    <n v="73.41"/>
    <n v="4.8"/>
    <n v="96.089100000000002"/>
    <n v="21.9588"/>
  </r>
  <r>
    <x v="673"/>
    <x v="1"/>
    <x v="207"/>
    <x v="1"/>
    <x v="1"/>
    <x v="1"/>
    <x v="0"/>
    <n v="33.64"/>
    <n v="10"/>
    <n v="16.82"/>
    <n v="336.4"/>
    <x v="153"/>
    <x v="416"/>
    <x v="2"/>
    <n v="269.12"/>
    <n v="4.7619047620000003"/>
    <n v="67.28"/>
    <n v="9.7650000000000006"/>
    <n v="96.078500000000005"/>
    <n v="19.763300000000001"/>
  </r>
  <r>
    <x v="674"/>
    <x v="0"/>
    <x v="387"/>
    <x v="0"/>
    <x v="1"/>
    <x v="0"/>
    <x v="1"/>
    <n v="45.48"/>
    <n v="10"/>
    <n v="22.74"/>
    <n v="454.8"/>
    <x v="311"/>
    <x v="417"/>
    <x v="2"/>
    <n v="454.8"/>
    <n v="4.7619047620000003"/>
    <n v="0"/>
    <n v="4.8"/>
    <n v="96.173500000000004"/>
    <n v="16.840900000000001"/>
  </r>
  <r>
    <x v="675"/>
    <x v="2"/>
    <x v="255"/>
    <x v="2"/>
    <x v="0"/>
    <x v="1"/>
    <x v="5"/>
    <n v="83.77"/>
    <n v="4"/>
    <n v="16.754000000000001"/>
    <n v="335.08"/>
    <x v="231"/>
    <x v="129"/>
    <x v="1"/>
    <n v="167.54"/>
    <n v="4.7619047620000003"/>
    <n v="167.54"/>
    <n v="7.46"/>
    <n v="96.089100000000002"/>
    <n v="21.9588"/>
  </r>
  <r>
    <x v="676"/>
    <x v="2"/>
    <x v="132"/>
    <x v="2"/>
    <x v="0"/>
    <x v="0"/>
    <x v="3"/>
    <n v="64.08"/>
    <n v="14"/>
    <n v="44.856000000000002"/>
    <n v="897.12"/>
    <x v="122"/>
    <x v="418"/>
    <x v="2"/>
    <n v="448.56"/>
    <n v="4.7619047620000003"/>
    <n v="448.56"/>
    <n v="7.46"/>
    <n v="96.089100000000002"/>
    <n v="21.9588"/>
  </r>
  <r>
    <x v="677"/>
    <x v="0"/>
    <x v="388"/>
    <x v="0"/>
    <x v="0"/>
    <x v="0"/>
    <x v="2"/>
    <n v="73.47"/>
    <n v="6"/>
    <n v="22.041"/>
    <n v="440.82"/>
    <x v="52"/>
    <x v="5"/>
    <x v="1"/>
    <n v="293.88"/>
    <n v="4.7619047620000003"/>
    <n v="146.94"/>
    <n v="7.46"/>
    <n v="96.173500000000004"/>
    <n v="16.840900000000001"/>
  </r>
  <r>
    <x v="678"/>
    <x v="1"/>
    <x v="238"/>
    <x v="1"/>
    <x v="1"/>
    <x v="1"/>
    <x v="0"/>
    <n v="58.95"/>
    <n v="12"/>
    <n v="35.369999999999997"/>
    <n v="707.4"/>
    <x v="112"/>
    <x v="419"/>
    <x v="0"/>
    <n v="589.5"/>
    <n v="4.7619047620000003"/>
    <n v="117.9"/>
    <n v="7.46"/>
    <n v="96.078500000000005"/>
    <n v="19.763300000000001"/>
  </r>
  <r>
    <x v="679"/>
    <x v="0"/>
    <x v="389"/>
    <x v="0"/>
    <x v="0"/>
    <x v="1"/>
    <x v="2"/>
    <n v="48.5"/>
    <n v="8"/>
    <n v="19.399999999999999"/>
    <n v="388"/>
    <x v="312"/>
    <x v="317"/>
    <x v="0"/>
    <n v="291"/>
    <n v="4.7619047620000003"/>
    <n v="97"/>
    <n v="7.46"/>
    <n v="96.173500000000004"/>
    <n v="16.840900000000001"/>
  </r>
  <r>
    <x v="680"/>
    <x v="2"/>
    <x v="51"/>
    <x v="2"/>
    <x v="0"/>
    <x v="0"/>
    <x v="1"/>
    <n v="39.479999999999997"/>
    <n v="1"/>
    <n v="1.974"/>
    <n v="39.479999999999997"/>
    <x v="53"/>
    <x v="213"/>
    <x v="1"/>
    <n v="39.479999999999997"/>
    <n v="4.7619047620000003"/>
    <n v="0"/>
    <n v="7.46"/>
    <n v="96.089100000000002"/>
    <n v="21.9588"/>
  </r>
  <r>
    <x v="681"/>
    <x v="2"/>
    <x v="44"/>
    <x v="2"/>
    <x v="1"/>
    <x v="0"/>
    <x v="3"/>
    <n v="34.81"/>
    <n v="1"/>
    <n v="1.7404999999999999"/>
    <n v="34.81"/>
    <x v="313"/>
    <x v="41"/>
    <x v="2"/>
    <n v="34.81"/>
    <n v="4.7619047620000003"/>
    <n v="0"/>
    <n v="7.46"/>
    <n v="96.089100000000002"/>
    <n v="21.9588"/>
  </r>
  <r>
    <x v="682"/>
    <x v="1"/>
    <x v="20"/>
    <x v="1"/>
    <x v="1"/>
    <x v="0"/>
    <x v="5"/>
    <n v="49.32"/>
    <n v="7"/>
    <n v="17.262"/>
    <n v="345.24"/>
    <x v="145"/>
    <x v="190"/>
    <x v="0"/>
    <n v="295.92"/>
    <n v="4.7619047620000003"/>
    <n v="49.32"/>
    <n v="7.4550000000000001"/>
    <n v="96.078500000000005"/>
    <n v="19.763300000000001"/>
  </r>
  <r>
    <x v="683"/>
    <x v="0"/>
    <x v="65"/>
    <x v="0"/>
    <x v="0"/>
    <x v="1"/>
    <x v="5"/>
    <n v="21.48"/>
    <n v="3"/>
    <n v="3.222"/>
    <n v="64.44"/>
    <x v="210"/>
    <x v="420"/>
    <x v="0"/>
    <n v="42.96"/>
    <n v="4.7619047620000003"/>
    <n v="21.48"/>
    <n v="6.6"/>
    <n v="96.173500000000004"/>
    <n v="16.840900000000001"/>
  </r>
  <r>
    <x v="684"/>
    <x v="2"/>
    <x v="260"/>
    <x v="2"/>
    <x v="0"/>
    <x v="0"/>
    <x v="3"/>
    <n v="23.08"/>
    <n v="11"/>
    <n v="12.694000000000001"/>
    <n v="253.88"/>
    <x v="236"/>
    <x v="25"/>
    <x v="0"/>
    <n v="138.47999999999999"/>
    <n v="4.7619047620000003"/>
    <n v="115.4"/>
    <n v="5.88"/>
    <n v="96.089100000000002"/>
    <n v="21.9588"/>
  </r>
  <r>
    <x v="685"/>
    <x v="2"/>
    <x v="88"/>
    <x v="2"/>
    <x v="0"/>
    <x v="0"/>
    <x v="4"/>
    <n v="49.1"/>
    <n v="4"/>
    <n v="9.82"/>
    <n v="196.4"/>
    <x v="16"/>
    <x v="187"/>
    <x v="2"/>
    <n v="98.2"/>
    <n v="4.7619047620000003"/>
    <n v="98.2"/>
    <n v="7.68"/>
    <n v="96.089100000000002"/>
    <n v="21.9588"/>
  </r>
  <r>
    <x v="686"/>
    <x v="2"/>
    <x v="260"/>
    <x v="2"/>
    <x v="0"/>
    <x v="0"/>
    <x v="3"/>
    <n v="64.83"/>
    <n v="4"/>
    <n v="12.965999999999999"/>
    <n v="259.32"/>
    <x v="130"/>
    <x v="421"/>
    <x v="2"/>
    <n v="129.66"/>
    <n v="4.7619047620000003"/>
    <n v="129.66"/>
    <n v="9.6"/>
    <n v="96.089100000000002"/>
    <n v="21.9588"/>
  </r>
  <r>
    <x v="687"/>
    <x v="0"/>
    <x v="225"/>
    <x v="0"/>
    <x v="0"/>
    <x v="1"/>
    <x v="3"/>
    <n v="63.56"/>
    <n v="14"/>
    <n v="44.491999999999997"/>
    <n v="889.84"/>
    <x v="244"/>
    <x v="422"/>
    <x v="1"/>
    <n v="635.6"/>
    <n v="4.7619047620000003"/>
    <n v="254.24"/>
    <n v="4.3"/>
    <n v="96.173500000000004"/>
    <n v="16.840900000000001"/>
  </r>
  <r>
    <x v="688"/>
    <x v="1"/>
    <x v="390"/>
    <x v="1"/>
    <x v="0"/>
    <x v="1"/>
    <x v="3"/>
    <n v="72.88"/>
    <n v="3"/>
    <n v="10.932"/>
    <n v="218.64"/>
    <x v="295"/>
    <x v="423"/>
    <x v="1"/>
    <n v="145.76"/>
    <n v="4.7619047620000003"/>
    <n v="72.88"/>
    <n v="6.4050000000000002"/>
    <n v="96.078500000000005"/>
    <n v="19.763300000000001"/>
  </r>
  <r>
    <x v="689"/>
    <x v="0"/>
    <x v="371"/>
    <x v="0"/>
    <x v="1"/>
    <x v="0"/>
    <x v="3"/>
    <n v="67.099999999999994"/>
    <n v="3"/>
    <n v="10.065"/>
    <n v="201.3"/>
    <x v="190"/>
    <x v="130"/>
    <x v="1"/>
    <n v="201.3"/>
    <n v="4.7619047620000003"/>
    <n v="0"/>
    <n v="7.5"/>
    <n v="96.173500000000004"/>
    <n v="16.840900000000001"/>
  </r>
  <r>
    <x v="690"/>
    <x v="1"/>
    <x v="66"/>
    <x v="1"/>
    <x v="0"/>
    <x v="0"/>
    <x v="3"/>
    <n v="70.19"/>
    <n v="15"/>
    <n v="52.642499999999998"/>
    <n v="1052.8499999999999"/>
    <x v="276"/>
    <x v="309"/>
    <x v="1"/>
    <n v="631.71"/>
    <n v="4.7619047620000003"/>
    <n v="421.14"/>
    <n v="7.0350000000000001"/>
    <n v="96.078500000000005"/>
    <n v="19.763300000000001"/>
  </r>
  <r>
    <x v="691"/>
    <x v="1"/>
    <x v="391"/>
    <x v="1"/>
    <x v="0"/>
    <x v="1"/>
    <x v="3"/>
    <n v="55.04"/>
    <n v="11"/>
    <n v="30.271999999999998"/>
    <n v="605.44000000000005"/>
    <x v="179"/>
    <x v="30"/>
    <x v="0"/>
    <n v="385.28"/>
    <n v="4.7619047620000003"/>
    <n v="220.16"/>
    <n v="5.46"/>
    <n v="96.078500000000005"/>
    <n v="19.763300000000001"/>
  </r>
  <r>
    <x v="692"/>
    <x v="0"/>
    <x v="351"/>
    <x v="0"/>
    <x v="0"/>
    <x v="1"/>
    <x v="3"/>
    <n v="48.63"/>
    <n v="14"/>
    <n v="34.040999999999997"/>
    <n v="680.82"/>
    <x v="145"/>
    <x v="104"/>
    <x v="1"/>
    <n v="486.3"/>
    <n v="4.7619047620000003"/>
    <n v="194.52"/>
    <n v="8.8000000000000007"/>
    <n v="96.173500000000004"/>
    <n v="16.840900000000001"/>
  </r>
  <r>
    <x v="693"/>
    <x v="1"/>
    <x v="392"/>
    <x v="1"/>
    <x v="0"/>
    <x v="0"/>
    <x v="5"/>
    <n v="73.38"/>
    <n v="11"/>
    <n v="40.359000000000002"/>
    <n v="807.18"/>
    <x v="314"/>
    <x v="424"/>
    <x v="1"/>
    <n v="513.66"/>
    <n v="4.7619047620000003"/>
    <n v="293.52"/>
    <n v="9.9749999999999996"/>
    <n v="96.078500000000005"/>
    <n v="19.763300000000001"/>
  </r>
  <r>
    <x v="694"/>
    <x v="1"/>
    <x v="160"/>
    <x v="1"/>
    <x v="1"/>
    <x v="0"/>
    <x v="2"/>
    <n v="52.6"/>
    <n v="11"/>
    <n v="28.93"/>
    <n v="578.6"/>
    <x v="306"/>
    <x v="51"/>
    <x v="1"/>
    <n v="473.4"/>
    <n v="4.7619047620000003"/>
    <n v="105.2"/>
    <n v="7.98"/>
    <n v="96.078500000000005"/>
    <n v="19.763300000000001"/>
  </r>
  <r>
    <x v="695"/>
    <x v="0"/>
    <x v="68"/>
    <x v="0"/>
    <x v="0"/>
    <x v="0"/>
    <x v="4"/>
    <n v="87.37"/>
    <n v="7"/>
    <n v="30.579499999999999"/>
    <n v="611.59"/>
    <x v="315"/>
    <x v="425"/>
    <x v="1"/>
    <n v="436.85"/>
    <n v="4.7619047620000003"/>
    <n v="174.74"/>
    <n v="6.6"/>
    <n v="96.173500000000004"/>
    <n v="16.840900000000001"/>
  </r>
  <r>
    <x v="696"/>
    <x v="0"/>
    <x v="393"/>
    <x v="0"/>
    <x v="0"/>
    <x v="0"/>
    <x v="3"/>
    <n v="27.04"/>
    <n v="6"/>
    <n v="8.1120000000000001"/>
    <n v="162.24"/>
    <x v="124"/>
    <x v="263"/>
    <x v="0"/>
    <n v="108.16"/>
    <n v="4.7619047620000003"/>
    <n v="54.08"/>
    <n v="6.9"/>
    <n v="96.173500000000004"/>
    <n v="16.840900000000001"/>
  </r>
  <r>
    <x v="697"/>
    <x v="2"/>
    <x v="323"/>
    <x v="2"/>
    <x v="1"/>
    <x v="1"/>
    <x v="4"/>
    <n v="62.19"/>
    <n v="6"/>
    <n v="18.657"/>
    <n v="373.14"/>
    <x v="181"/>
    <x v="162"/>
    <x v="0"/>
    <n v="248.76"/>
    <n v="4.7619047620000003"/>
    <n v="124.38"/>
    <n v="5.16"/>
    <n v="96.089100000000002"/>
    <n v="21.9588"/>
  </r>
  <r>
    <x v="698"/>
    <x v="0"/>
    <x v="394"/>
    <x v="0"/>
    <x v="0"/>
    <x v="1"/>
    <x v="1"/>
    <n v="69.58"/>
    <n v="13"/>
    <n v="45.226999999999997"/>
    <n v="904.54"/>
    <x v="144"/>
    <x v="371"/>
    <x v="2"/>
    <n v="626.22"/>
    <n v="4.7619047620000003"/>
    <n v="278.32"/>
    <n v="7.8"/>
    <n v="96.173500000000004"/>
    <n v="16.840900000000001"/>
  </r>
  <r>
    <x v="699"/>
    <x v="1"/>
    <x v="190"/>
    <x v="1"/>
    <x v="1"/>
    <x v="1"/>
    <x v="4"/>
    <n v="97.5"/>
    <n v="12"/>
    <n v="58.5"/>
    <n v="1170"/>
    <x v="226"/>
    <x v="426"/>
    <x v="0"/>
    <n v="975"/>
    <n v="4.7619047620000003"/>
    <n v="195"/>
    <n v="8.4"/>
    <n v="96.078500000000005"/>
    <n v="19.763300000000001"/>
  </r>
  <r>
    <x v="700"/>
    <x v="1"/>
    <x v="395"/>
    <x v="1"/>
    <x v="1"/>
    <x v="0"/>
    <x v="5"/>
    <n v="60.41"/>
    <n v="10"/>
    <n v="30.204999999999998"/>
    <n v="604.1"/>
    <x v="40"/>
    <x v="384"/>
    <x v="0"/>
    <n v="483.28"/>
    <n v="4.7619047620000003"/>
    <n v="120.82"/>
    <n v="10"/>
    <n v="96.078500000000005"/>
    <n v="19.763300000000001"/>
  </r>
  <r>
    <x v="701"/>
    <x v="2"/>
    <x v="111"/>
    <x v="2"/>
    <x v="1"/>
    <x v="1"/>
    <x v="2"/>
    <n v="32.32"/>
    <n v="4"/>
    <n v="6.4640000000000004"/>
    <n v="129.28"/>
    <x v="163"/>
    <x v="386"/>
    <x v="2"/>
    <n v="96.96"/>
    <n v="4.7619047620000003"/>
    <n v="32.32"/>
    <n v="5.16"/>
    <n v="96.089100000000002"/>
    <n v="21.9588"/>
  </r>
  <r>
    <x v="702"/>
    <x v="2"/>
    <x v="102"/>
    <x v="2"/>
    <x v="0"/>
    <x v="0"/>
    <x v="5"/>
    <n v="19.77"/>
    <n v="20"/>
    <n v="19.77"/>
    <n v="395.4"/>
    <x v="97"/>
    <x v="427"/>
    <x v="2"/>
    <n v="197.7"/>
    <n v="4.7619047620000003"/>
    <n v="197.7"/>
    <n v="6"/>
    <n v="96.089100000000002"/>
    <n v="21.9588"/>
  </r>
  <r>
    <x v="703"/>
    <x v="2"/>
    <x v="157"/>
    <x v="2"/>
    <x v="0"/>
    <x v="1"/>
    <x v="0"/>
    <n v="80.47"/>
    <n v="18"/>
    <n v="72.423000000000002"/>
    <n v="1448.46"/>
    <x v="316"/>
    <x v="428"/>
    <x v="1"/>
    <n v="724.23"/>
    <n v="4.7619047620000003"/>
    <n v="724.23"/>
    <n v="10"/>
    <n v="96.089100000000002"/>
    <n v="21.9588"/>
  </r>
  <r>
    <x v="704"/>
    <x v="2"/>
    <x v="298"/>
    <x v="2"/>
    <x v="0"/>
    <x v="0"/>
    <x v="4"/>
    <n v="88.39"/>
    <n v="18"/>
    <n v="79.551000000000002"/>
    <n v="1591.02"/>
    <x v="218"/>
    <x v="343"/>
    <x v="1"/>
    <n v="795.51"/>
    <n v="4.7619047620000003"/>
    <n v="795.51"/>
    <n v="7.56"/>
    <n v="96.089100000000002"/>
    <n v="21.9588"/>
  </r>
  <r>
    <x v="705"/>
    <x v="2"/>
    <x v="15"/>
    <x v="2"/>
    <x v="1"/>
    <x v="1"/>
    <x v="0"/>
    <n v="71.77"/>
    <n v="10"/>
    <n v="35.884999999999998"/>
    <n v="717.7"/>
    <x v="111"/>
    <x v="429"/>
    <x v="1"/>
    <n v="502.39"/>
    <n v="4.7619047620000003"/>
    <n v="215.31"/>
    <n v="10"/>
    <n v="96.089100000000002"/>
    <n v="21.9588"/>
  </r>
  <r>
    <x v="706"/>
    <x v="2"/>
    <x v="187"/>
    <x v="2"/>
    <x v="1"/>
    <x v="0"/>
    <x v="1"/>
    <n v="43"/>
    <n v="6"/>
    <n v="12.9"/>
    <n v="258"/>
    <x v="64"/>
    <x v="109"/>
    <x v="0"/>
    <n v="172"/>
    <n v="4.7619047620000003"/>
    <n v="86"/>
    <n v="9.1199999999999992"/>
    <n v="96.089100000000002"/>
    <n v="21.9588"/>
  </r>
  <r>
    <x v="707"/>
    <x v="1"/>
    <x v="365"/>
    <x v="1"/>
    <x v="0"/>
    <x v="1"/>
    <x v="5"/>
    <n v="68.98"/>
    <n v="1"/>
    <n v="3.4489999999999998"/>
    <n v="68.98"/>
    <x v="191"/>
    <x v="430"/>
    <x v="1"/>
    <n v="68.98"/>
    <n v="4.7619047620000003"/>
    <n v="0"/>
    <n v="5.04"/>
    <n v="96.078500000000005"/>
    <n v="19.763300000000001"/>
  </r>
  <r>
    <x v="708"/>
    <x v="1"/>
    <x v="396"/>
    <x v="1"/>
    <x v="1"/>
    <x v="1"/>
    <x v="5"/>
    <n v="15.62"/>
    <n v="10"/>
    <n v="7.81"/>
    <n v="156.19999999999999"/>
    <x v="317"/>
    <x v="291"/>
    <x v="0"/>
    <n v="124.96"/>
    <n v="4.7619047620000003"/>
    <n v="31.24"/>
    <n v="9.5549999999999997"/>
    <n v="96.078500000000005"/>
    <n v="19.763300000000001"/>
  </r>
  <r>
    <x v="709"/>
    <x v="0"/>
    <x v="397"/>
    <x v="0"/>
    <x v="1"/>
    <x v="1"/>
    <x v="5"/>
    <n v="25.7"/>
    <n v="3"/>
    <n v="3.855"/>
    <n v="77.099999999999994"/>
    <x v="58"/>
    <x v="422"/>
    <x v="0"/>
    <n v="77.099999999999994"/>
    <n v="4.7619047620000003"/>
    <n v="0"/>
    <n v="6.1"/>
    <n v="96.173500000000004"/>
    <n v="16.840900000000001"/>
  </r>
  <r>
    <x v="710"/>
    <x v="0"/>
    <x v="398"/>
    <x v="0"/>
    <x v="0"/>
    <x v="1"/>
    <x v="5"/>
    <n v="80.62"/>
    <n v="8"/>
    <n v="32.247999999999998"/>
    <n v="644.96"/>
    <x v="144"/>
    <x v="307"/>
    <x v="1"/>
    <n v="483.72"/>
    <n v="4.7619047620000003"/>
    <n v="161.24"/>
    <n v="9.1"/>
    <n v="96.173500000000004"/>
    <n v="16.840900000000001"/>
  </r>
  <r>
    <x v="711"/>
    <x v="1"/>
    <x v="399"/>
    <x v="1"/>
    <x v="0"/>
    <x v="0"/>
    <x v="5"/>
    <n v="75.53"/>
    <n v="7"/>
    <n v="26.435500000000001"/>
    <n v="528.71"/>
    <x v="318"/>
    <x v="350"/>
    <x v="0"/>
    <n v="302.12"/>
    <n v="4.7619047620000003"/>
    <n v="226.59"/>
    <n v="8.7149999999999999"/>
    <n v="96.078500000000005"/>
    <n v="19.763300000000001"/>
  </r>
  <r>
    <x v="712"/>
    <x v="1"/>
    <x v="130"/>
    <x v="1"/>
    <x v="1"/>
    <x v="0"/>
    <x v="5"/>
    <n v="77.63"/>
    <n v="11"/>
    <n v="42.6965"/>
    <n v="853.93"/>
    <x v="76"/>
    <x v="431"/>
    <x v="0"/>
    <n v="698.67"/>
    <n v="4.7619047620000003"/>
    <n v="155.26"/>
    <n v="7.56"/>
    <n v="96.078500000000005"/>
    <n v="19.763300000000001"/>
  </r>
  <r>
    <x v="713"/>
    <x v="1"/>
    <x v="109"/>
    <x v="1"/>
    <x v="1"/>
    <x v="0"/>
    <x v="5"/>
    <n v="13.85"/>
    <n v="11"/>
    <n v="7.6174999999999997"/>
    <n v="152.35"/>
    <x v="55"/>
    <x v="165"/>
    <x v="0"/>
    <n v="124.65"/>
    <n v="4.7619047620000003"/>
    <n v="27.7"/>
    <n v="6.3"/>
    <n v="96.078500000000005"/>
    <n v="19.763300000000001"/>
  </r>
  <r>
    <x v="714"/>
    <x v="1"/>
    <x v="146"/>
    <x v="1"/>
    <x v="0"/>
    <x v="1"/>
    <x v="5"/>
    <n v="98.7"/>
    <n v="14"/>
    <n v="69.09"/>
    <n v="1381.8"/>
    <x v="213"/>
    <x v="130"/>
    <x v="0"/>
    <n v="789.6"/>
    <n v="4.7619047620000003"/>
    <n v="592.20000000000005"/>
    <n v="8.9250000000000007"/>
    <n v="96.078500000000005"/>
    <n v="19.763300000000001"/>
  </r>
  <r>
    <x v="715"/>
    <x v="0"/>
    <x v="306"/>
    <x v="0"/>
    <x v="1"/>
    <x v="0"/>
    <x v="5"/>
    <n v="35.68"/>
    <n v="5"/>
    <n v="8.92"/>
    <n v="178.4"/>
    <x v="191"/>
    <x v="333"/>
    <x v="2"/>
    <n v="178.4"/>
    <n v="4.7619047620000003"/>
    <n v="0"/>
    <n v="6.6"/>
    <n v="96.173500000000004"/>
    <n v="16.840900000000001"/>
  </r>
  <r>
    <x v="716"/>
    <x v="0"/>
    <x v="159"/>
    <x v="0"/>
    <x v="0"/>
    <x v="0"/>
    <x v="5"/>
    <n v="71.459999999999994"/>
    <n v="10"/>
    <n v="35.729999999999997"/>
    <n v="714.6"/>
    <x v="255"/>
    <x v="432"/>
    <x v="0"/>
    <n v="500.22"/>
    <n v="4.7619047620000003"/>
    <n v="214.38"/>
    <n v="4.5"/>
    <n v="96.173500000000004"/>
    <n v="16.840900000000001"/>
  </r>
  <r>
    <x v="717"/>
    <x v="0"/>
    <x v="149"/>
    <x v="0"/>
    <x v="0"/>
    <x v="1"/>
    <x v="1"/>
    <n v="11.94"/>
    <n v="4"/>
    <n v="2.3879999999999999"/>
    <n v="47.76"/>
    <x v="319"/>
    <x v="433"/>
    <x v="2"/>
    <n v="35.82"/>
    <n v="4.7619047620000003"/>
    <n v="11.94"/>
    <n v="8.1"/>
    <n v="96.173500000000004"/>
    <n v="16.840900000000001"/>
  </r>
  <r>
    <x v="718"/>
    <x v="0"/>
    <x v="3"/>
    <x v="0"/>
    <x v="1"/>
    <x v="1"/>
    <x v="3"/>
    <n v="45.38"/>
    <n v="3"/>
    <n v="6.8070000000000004"/>
    <n v="136.13999999999999"/>
    <x v="320"/>
    <x v="229"/>
    <x v="2"/>
    <n v="136.13999999999999"/>
    <n v="4.7619047620000003"/>
    <n v="0"/>
    <n v="7.2"/>
    <n v="96.173500000000004"/>
    <n v="16.840900000000001"/>
  </r>
  <r>
    <x v="719"/>
    <x v="2"/>
    <x v="51"/>
    <x v="2"/>
    <x v="0"/>
    <x v="0"/>
    <x v="3"/>
    <n v="17.48"/>
    <n v="11"/>
    <n v="9.6140000000000008"/>
    <n v="192.28"/>
    <x v="266"/>
    <x v="278"/>
    <x v="2"/>
    <n v="104.88"/>
    <n v="4.7619047620000003"/>
    <n v="87.4"/>
    <n v="7.32"/>
    <n v="96.089100000000002"/>
    <n v="21.9588"/>
  </r>
  <r>
    <x v="720"/>
    <x v="2"/>
    <x v="317"/>
    <x v="2"/>
    <x v="1"/>
    <x v="0"/>
    <x v="3"/>
    <n v="25.56"/>
    <n v="10"/>
    <n v="12.78"/>
    <n v="255.6"/>
    <x v="29"/>
    <x v="434"/>
    <x v="1"/>
    <n v="178.92"/>
    <n v="4.7619047620000003"/>
    <n v="76.680000000000007"/>
    <n v="8.52"/>
    <n v="96.089100000000002"/>
    <n v="21.9588"/>
  </r>
  <r>
    <x v="721"/>
    <x v="1"/>
    <x v="400"/>
    <x v="1"/>
    <x v="0"/>
    <x v="0"/>
    <x v="3"/>
    <n v="90.63"/>
    <n v="15"/>
    <n v="67.972499999999997"/>
    <n v="1359.45"/>
    <x v="185"/>
    <x v="311"/>
    <x v="1"/>
    <n v="815.67"/>
    <n v="4.7619047620000003"/>
    <n v="543.78"/>
    <n v="5.3550000000000004"/>
    <n v="96.078500000000005"/>
    <n v="19.763300000000001"/>
  </r>
  <r>
    <x v="722"/>
    <x v="2"/>
    <x v="32"/>
    <x v="2"/>
    <x v="1"/>
    <x v="1"/>
    <x v="4"/>
    <n v="44.12"/>
    <n v="4"/>
    <n v="8.8239999999999998"/>
    <n v="176.48"/>
    <x v="68"/>
    <x v="286"/>
    <x v="2"/>
    <n v="132.36000000000001"/>
    <n v="4.7619047620000003"/>
    <n v="44.12"/>
    <n v="9.48"/>
    <n v="96.089100000000002"/>
    <n v="21.9588"/>
  </r>
  <r>
    <x v="723"/>
    <x v="1"/>
    <x v="240"/>
    <x v="1"/>
    <x v="0"/>
    <x v="0"/>
    <x v="2"/>
    <n v="36.770000000000003"/>
    <n v="11"/>
    <n v="20.223500000000001"/>
    <n v="404.47"/>
    <x v="305"/>
    <x v="435"/>
    <x v="1"/>
    <n v="257.39"/>
    <n v="4.7619047620000003"/>
    <n v="147.08000000000001"/>
    <n v="7.77"/>
    <n v="96.078500000000005"/>
    <n v="19.763300000000001"/>
  </r>
  <r>
    <x v="724"/>
    <x v="2"/>
    <x v="266"/>
    <x v="2"/>
    <x v="0"/>
    <x v="1"/>
    <x v="2"/>
    <n v="23.34"/>
    <n v="8"/>
    <n v="9.3360000000000003"/>
    <n v="186.72"/>
    <x v="305"/>
    <x v="387"/>
    <x v="0"/>
    <n v="93.36"/>
    <n v="4.7619047620000003"/>
    <n v="93.36"/>
    <n v="8.8800000000000008"/>
    <n v="96.089100000000002"/>
    <n v="21.9588"/>
  </r>
  <r>
    <x v="725"/>
    <x v="1"/>
    <x v="362"/>
    <x v="1"/>
    <x v="0"/>
    <x v="0"/>
    <x v="0"/>
    <n v="28.5"/>
    <n v="14"/>
    <n v="19.95"/>
    <n v="399"/>
    <x v="58"/>
    <x v="436"/>
    <x v="1"/>
    <n v="228"/>
    <n v="4.7619047620000003"/>
    <n v="171"/>
    <n v="7.46"/>
    <n v="96.078500000000005"/>
    <n v="19.763300000000001"/>
  </r>
  <r>
    <x v="726"/>
    <x v="1"/>
    <x v="334"/>
    <x v="1"/>
    <x v="0"/>
    <x v="1"/>
    <x v="4"/>
    <n v="55.57"/>
    <n v="6"/>
    <n v="16.670999999999999"/>
    <n v="333.42"/>
    <x v="310"/>
    <x v="437"/>
    <x v="2"/>
    <n v="166.71"/>
    <n v="4.7619047620000003"/>
    <n v="166.71"/>
    <n v="7.46"/>
    <n v="96.078500000000005"/>
    <n v="19.763300000000001"/>
  </r>
  <r>
    <x v="727"/>
    <x v="2"/>
    <x v="112"/>
    <x v="2"/>
    <x v="1"/>
    <x v="1"/>
    <x v="3"/>
    <n v="69.739999999999995"/>
    <n v="14"/>
    <n v="48.817999999999998"/>
    <n v="976.36"/>
    <x v="184"/>
    <x v="438"/>
    <x v="2"/>
    <n v="697.4"/>
    <n v="4.7619047620000003"/>
    <n v="278.95999999999998"/>
    <n v="7.46"/>
    <n v="96.089100000000002"/>
    <n v="21.9588"/>
  </r>
  <r>
    <x v="728"/>
    <x v="1"/>
    <x v="360"/>
    <x v="1"/>
    <x v="1"/>
    <x v="1"/>
    <x v="5"/>
    <n v="97.26"/>
    <n v="5"/>
    <n v="24.315000000000001"/>
    <n v="486.3"/>
    <x v="145"/>
    <x v="439"/>
    <x v="0"/>
    <n v="389.04"/>
    <n v="4.7619047620000003"/>
    <n v="97.26"/>
    <n v="7.46"/>
    <n v="96.078500000000005"/>
    <n v="19.763300000000001"/>
  </r>
  <r>
    <x v="729"/>
    <x v="2"/>
    <x v="344"/>
    <x v="2"/>
    <x v="0"/>
    <x v="0"/>
    <x v="4"/>
    <n v="52.18"/>
    <n v="14"/>
    <n v="36.526000000000003"/>
    <n v="730.52"/>
    <x v="321"/>
    <x v="200"/>
    <x v="1"/>
    <n v="365.26"/>
    <n v="4.7619047620000003"/>
    <n v="365.26"/>
    <n v="7.46"/>
    <n v="96.089100000000002"/>
    <n v="21.9588"/>
  </r>
  <r>
    <x v="730"/>
    <x v="0"/>
    <x v="77"/>
    <x v="0"/>
    <x v="0"/>
    <x v="0"/>
    <x v="5"/>
    <n v="22.32"/>
    <n v="6"/>
    <n v="6.6959999999999997"/>
    <n v="133.91999999999999"/>
    <x v="82"/>
    <x v="293"/>
    <x v="2"/>
    <n v="89.28"/>
    <n v="4.7619047620000003"/>
    <n v="44.64"/>
    <n v="7.46"/>
    <n v="96.173500000000004"/>
    <n v="16.840900000000001"/>
  </r>
  <r>
    <x v="731"/>
    <x v="0"/>
    <x v="401"/>
    <x v="0"/>
    <x v="1"/>
    <x v="1"/>
    <x v="0"/>
    <n v="56"/>
    <n v="3"/>
    <n v="8.4"/>
    <n v="168"/>
    <x v="200"/>
    <x v="295"/>
    <x v="0"/>
    <n v="168"/>
    <n v="4.7619047620000003"/>
    <n v="0"/>
    <n v="4.8"/>
    <n v="96.173500000000004"/>
    <n v="16.840900000000001"/>
  </r>
  <r>
    <x v="732"/>
    <x v="0"/>
    <x v="4"/>
    <x v="0"/>
    <x v="0"/>
    <x v="1"/>
    <x v="5"/>
    <n v="19.7"/>
    <n v="1"/>
    <n v="0.98499999999999999"/>
    <n v="19.7"/>
    <x v="266"/>
    <x v="411"/>
    <x v="0"/>
    <n v="19.7"/>
    <n v="4.7619047620000003"/>
    <n v="0"/>
    <n v="9.5"/>
    <n v="96.173500000000004"/>
    <n v="16.840900000000001"/>
  </r>
  <r>
    <x v="733"/>
    <x v="2"/>
    <x v="26"/>
    <x v="2"/>
    <x v="1"/>
    <x v="1"/>
    <x v="1"/>
    <n v="75.88"/>
    <n v="10"/>
    <n v="37.94"/>
    <n v="758.8"/>
    <x v="322"/>
    <x v="440"/>
    <x v="0"/>
    <n v="531.16"/>
    <n v="4.7619047620000003"/>
    <n v="227.64"/>
    <n v="10"/>
    <n v="96.089100000000002"/>
    <n v="21.9588"/>
  </r>
  <r>
    <x v="734"/>
    <x v="2"/>
    <x v="402"/>
    <x v="2"/>
    <x v="0"/>
    <x v="1"/>
    <x v="2"/>
    <n v="53.72"/>
    <n v="1"/>
    <n v="2.6859999999999999"/>
    <n v="53.72"/>
    <x v="323"/>
    <x v="356"/>
    <x v="0"/>
    <n v="53.72"/>
    <n v="4.7619047620000003"/>
    <n v="0"/>
    <n v="7.68"/>
    <n v="96.089100000000002"/>
    <n v="21.9588"/>
  </r>
  <r>
    <x v="735"/>
    <x v="1"/>
    <x v="360"/>
    <x v="1"/>
    <x v="0"/>
    <x v="1"/>
    <x v="0"/>
    <n v="81.95"/>
    <n v="17"/>
    <n v="69.657499999999999"/>
    <n v="1393.15"/>
    <x v="21"/>
    <x v="441"/>
    <x v="2"/>
    <n v="819.5"/>
    <n v="4.7619047620000003"/>
    <n v="573.65"/>
    <n v="6.3"/>
    <n v="96.078500000000005"/>
    <n v="19.763300000000001"/>
  </r>
  <r>
    <x v="736"/>
    <x v="1"/>
    <x v="403"/>
    <x v="1"/>
    <x v="0"/>
    <x v="0"/>
    <x v="4"/>
    <n v="81.2"/>
    <n v="11"/>
    <n v="44.66"/>
    <n v="893.2"/>
    <x v="4"/>
    <x v="273"/>
    <x v="2"/>
    <n v="568.4"/>
    <n v="4.7619047620000003"/>
    <n v="324.8"/>
    <n v="8.5050000000000008"/>
    <n v="96.078500000000005"/>
    <n v="19.763300000000001"/>
  </r>
  <r>
    <x v="737"/>
    <x v="1"/>
    <x v="404"/>
    <x v="1"/>
    <x v="1"/>
    <x v="1"/>
    <x v="1"/>
    <n v="58.76"/>
    <n v="12"/>
    <n v="35.256"/>
    <n v="705.12"/>
    <x v="66"/>
    <x v="442"/>
    <x v="0"/>
    <n v="587.6"/>
    <n v="4.7619047620000003"/>
    <n v="117.52"/>
    <n v="9.4499999999999993"/>
    <n v="96.078500000000005"/>
    <n v="19.763300000000001"/>
  </r>
  <r>
    <x v="738"/>
    <x v="2"/>
    <x v="303"/>
    <x v="2"/>
    <x v="0"/>
    <x v="1"/>
    <x v="1"/>
    <n v="91.56"/>
    <n v="15"/>
    <n v="68.67"/>
    <n v="1373.4"/>
    <x v="205"/>
    <x v="282"/>
    <x v="0"/>
    <n v="732.48"/>
    <n v="4.7619047620000003"/>
    <n v="640.91999999999996"/>
    <n v="7.2"/>
    <n v="96.089100000000002"/>
    <n v="21.9588"/>
  </r>
  <r>
    <x v="739"/>
    <x v="0"/>
    <x v="137"/>
    <x v="0"/>
    <x v="1"/>
    <x v="1"/>
    <x v="4"/>
    <n v="93.96"/>
    <n v="9"/>
    <n v="42.281999999999996"/>
    <n v="845.64"/>
    <x v="256"/>
    <x v="102"/>
    <x v="1"/>
    <n v="845.64"/>
    <n v="4.7619047620000003"/>
    <n v="0"/>
    <n v="9.8000000000000007"/>
    <n v="96.173500000000004"/>
    <n v="16.840900000000001"/>
  </r>
  <r>
    <x v="740"/>
    <x v="1"/>
    <x v="237"/>
    <x v="1"/>
    <x v="1"/>
    <x v="1"/>
    <x v="4"/>
    <n v="55.61"/>
    <n v="8"/>
    <n v="22.244"/>
    <n v="444.88"/>
    <x v="25"/>
    <x v="443"/>
    <x v="1"/>
    <n v="389.27"/>
    <n v="4.7619047620000003"/>
    <n v="55.61"/>
    <n v="8.9250000000000007"/>
    <n v="96.078500000000005"/>
    <n v="19.763300000000001"/>
  </r>
  <r>
    <x v="741"/>
    <x v="1"/>
    <x v="190"/>
    <x v="1"/>
    <x v="1"/>
    <x v="1"/>
    <x v="2"/>
    <n v="84.83"/>
    <n v="1"/>
    <n v="4.2415000000000003"/>
    <n v="84.83"/>
    <x v="92"/>
    <x v="444"/>
    <x v="0"/>
    <n v="84.83"/>
    <n v="4.7619047620000003"/>
    <n v="0"/>
    <n v="9.24"/>
    <n v="96.078500000000005"/>
    <n v="19.763300000000001"/>
  </r>
  <r>
    <x v="742"/>
    <x v="0"/>
    <x v="332"/>
    <x v="0"/>
    <x v="0"/>
    <x v="0"/>
    <x v="3"/>
    <n v="71.63"/>
    <n v="3"/>
    <n v="10.7445"/>
    <n v="214.89"/>
    <x v="324"/>
    <x v="375"/>
    <x v="0"/>
    <n v="143.26"/>
    <n v="4.7619047620000003"/>
    <n v="71.63"/>
    <n v="8.8000000000000007"/>
    <n v="96.173500000000004"/>
    <n v="16.840900000000001"/>
  </r>
  <r>
    <x v="743"/>
    <x v="0"/>
    <x v="197"/>
    <x v="0"/>
    <x v="0"/>
    <x v="1"/>
    <x v="4"/>
    <n v="37.69"/>
    <n v="3"/>
    <n v="5.6535000000000002"/>
    <n v="113.07"/>
    <x v="10"/>
    <x v="406"/>
    <x v="0"/>
    <n v="75.38"/>
    <n v="4.7619047620000003"/>
    <n v="37.69"/>
    <n v="9.5"/>
    <n v="96.173500000000004"/>
    <n v="16.840900000000001"/>
  </r>
  <r>
    <x v="744"/>
    <x v="1"/>
    <x v="5"/>
    <x v="1"/>
    <x v="0"/>
    <x v="0"/>
    <x v="5"/>
    <n v="31.67"/>
    <n v="14"/>
    <n v="22.169"/>
    <n v="443.38"/>
    <x v="68"/>
    <x v="15"/>
    <x v="2"/>
    <n v="253.36"/>
    <n v="4.7619047620000003"/>
    <n v="190.02"/>
    <n v="5.88"/>
    <n v="96.078500000000005"/>
    <n v="19.763300000000001"/>
  </r>
  <r>
    <x v="745"/>
    <x v="1"/>
    <x v="349"/>
    <x v="1"/>
    <x v="0"/>
    <x v="0"/>
    <x v="5"/>
    <n v="38.42"/>
    <n v="1"/>
    <n v="1.921"/>
    <n v="38.42"/>
    <x v="323"/>
    <x v="445"/>
    <x v="1"/>
    <n v="38.42"/>
    <n v="4.7619047620000003"/>
    <n v="0"/>
    <n v="9.0299999999999994"/>
    <n v="96.078500000000005"/>
    <n v="19.763300000000001"/>
  </r>
  <r>
    <x v="746"/>
    <x v="2"/>
    <x v="333"/>
    <x v="2"/>
    <x v="0"/>
    <x v="1"/>
    <x v="5"/>
    <n v="65.23"/>
    <n v="20"/>
    <n v="65.23"/>
    <n v="1304.5999999999999"/>
    <x v="325"/>
    <x v="312"/>
    <x v="2"/>
    <n v="652.29999999999995"/>
    <n v="4.7619047620000003"/>
    <n v="652.29999999999995"/>
    <n v="6.24"/>
    <n v="96.089100000000002"/>
    <n v="21.9588"/>
  </r>
  <r>
    <x v="747"/>
    <x v="1"/>
    <x v="405"/>
    <x v="1"/>
    <x v="0"/>
    <x v="0"/>
    <x v="5"/>
    <n v="10.53"/>
    <n v="8"/>
    <n v="4.2119999999999997"/>
    <n v="84.24"/>
    <x v="40"/>
    <x v="140"/>
    <x v="2"/>
    <n v="52.65"/>
    <n v="4.7619047620000003"/>
    <n v="31.59"/>
    <n v="6.09"/>
    <n v="96.078500000000005"/>
    <n v="19.763300000000001"/>
  </r>
  <r>
    <x v="748"/>
    <x v="2"/>
    <x v="32"/>
    <x v="2"/>
    <x v="0"/>
    <x v="0"/>
    <x v="5"/>
    <n v="12.29"/>
    <n v="18"/>
    <n v="11.061"/>
    <n v="221.22"/>
    <x v="315"/>
    <x v="198"/>
    <x v="2"/>
    <n v="110.61"/>
    <n v="4.7619047620000003"/>
    <n v="110.61"/>
    <n v="9.6"/>
    <n v="96.089100000000002"/>
    <n v="21.9588"/>
  </r>
  <r>
    <x v="749"/>
    <x v="1"/>
    <x v="406"/>
    <x v="1"/>
    <x v="0"/>
    <x v="1"/>
    <x v="5"/>
    <n v="81.23"/>
    <n v="11"/>
    <n v="44.676499999999997"/>
    <n v="893.53"/>
    <x v="195"/>
    <x v="446"/>
    <x v="1"/>
    <n v="568.61"/>
    <n v="4.7619047620000003"/>
    <n v="324.92"/>
    <n v="9.4499999999999993"/>
    <n v="96.078500000000005"/>
    <n v="19.763300000000001"/>
  </r>
  <r>
    <x v="750"/>
    <x v="2"/>
    <x v="335"/>
    <x v="2"/>
    <x v="0"/>
    <x v="0"/>
    <x v="5"/>
    <n v="22.32"/>
    <n v="8"/>
    <n v="8.9280000000000008"/>
    <n v="178.56"/>
    <x v="196"/>
    <x v="447"/>
    <x v="0"/>
    <n v="89.28"/>
    <n v="4.7619047620000003"/>
    <n v="89.28"/>
    <n v="4.92"/>
    <n v="96.089100000000002"/>
    <n v="21.9588"/>
  </r>
  <r>
    <x v="751"/>
    <x v="0"/>
    <x v="117"/>
    <x v="0"/>
    <x v="1"/>
    <x v="0"/>
    <x v="2"/>
    <n v="27.28"/>
    <n v="5"/>
    <n v="6.82"/>
    <n v="136.4"/>
    <x v="272"/>
    <x v="359"/>
    <x v="2"/>
    <n v="136.4"/>
    <n v="4.7619047620000003"/>
    <n v="0"/>
    <n v="8.6"/>
    <n v="96.173500000000004"/>
    <n v="16.840900000000001"/>
  </r>
  <r>
    <x v="752"/>
    <x v="0"/>
    <x v="127"/>
    <x v="0"/>
    <x v="0"/>
    <x v="0"/>
    <x v="1"/>
    <n v="17.420000000000002"/>
    <n v="14"/>
    <n v="12.194000000000001"/>
    <n v="243.88"/>
    <x v="326"/>
    <x v="448"/>
    <x v="0"/>
    <n v="174.2"/>
    <n v="4.7619047620000003"/>
    <n v="69.680000000000007"/>
    <n v="7"/>
    <n v="96.173500000000004"/>
    <n v="16.840900000000001"/>
  </r>
  <r>
    <x v="753"/>
    <x v="2"/>
    <x v="132"/>
    <x v="2"/>
    <x v="1"/>
    <x v="1"/>
    <x v="4"/>
    <n v="73.28"/>
    <n v="7"/>
    <n v="25.648"/>
    <n v="512.96"/>
    <x v="327"/>
    <x v="184"/>
    <x v="0"/>
    <n v="366.4"/>
    <n v="4.7619047620000003"/>
    <n v="146.56"/>
    <n v="10"/>
    <n v="96.089100000000002"/>
    <n v="21.9588"/>
  </r>
  <r>
    <x v="754"/>
    <x v="1"/>
    <x v="407"/>
    <x v="1"/>
    <x v="0"/>
    <x v="0"/>
    <x v="3"/>
    <n v="84.87"/>
    <n v="6"/>
    <n v="25.460999999999999"/>
    <n v="509.22"/>
    <x v="45"/>
    <x v="5"/>
    <x v="0"/>
    <n v="254.61"/>
    <n v="4.7619047620000003"/>
    <n v="254.61"/>
    <n v="7.77"/>
    <n v="96.078500000000005"/>
    <n v="19.763300000000001"/>
  </r>
  <r>
    <x v="755"/>
    <x v="0"/>
    <x v="408"/>
    <x v="0"/>
    <x v="1"/>
    <x v="0"/>
    <x v="3"/>
    <n v="97.29"/>
    <n v="8"/>
    <n v="38.915999999999997"/>
    <n v="778.32"/>
    <x v="23"/>
    <x v="118"/>
    <x v="2"/>
    <n v="778.32"/>
    <n v="4.7619047620000003"/>
    <n v="0"/>
    <n v="6.2"/>
    <n v="96.173500000000004"/>
    <n v="16.840900000000001"/>
  </r>
  <r>
    <x v="756"/>
    <x v="2"/>
    <x v="255"/>
    <x v="2"/>
    <x v="0"/>
    <x v="0"/>
    <x v="3"/>
    <n v="35.74"/>
    <n v="15"/>
    <n v="26.805"/>
    <n v="536.1"/>
    <x v="328"/>
    <x v="311"/>
    <x v="0"/>
    <n v="285.92"/>
    <n v="4.7619047620000003"/>
    <n v="250.18"/>
    <n v="5.88"/>
    <n v="96.089100000000002"/>
    <n v="21.9588"/>
  </r>
  <r>
    <x v="757"/>
    <x v="0"/>
    <x v="409"/>
    <x v="0"/>
    <x v="1"/>
    <x v="0"/>
    <x v="3"/>
    <n v="96.52"/>
    <n v="6"/>
    <n v="28.956"/>
    <n v="579.12"/>
    <x v="52"/>
    <x v="408"/>
    <x v="1"/>
    <n v="579.12"/>
    <n v="4.7619047620000003"/>
    <n v="0"/>
    <n v="4.5"/>
    <n v="96.173500000000004"/>
    <n v="16.840900000000001"/>
  </r>
  <r>
    <x v="758"/>
    <x v="0"/>
    <x v="410"/>
    <x v="0"/>
    <x v="0"/>
    <x v="1"/>
    <x v="3"/>
    <n v="18.850000000000001"/>
    <n v="14"/>
    <n v="13.195"/>
    <n v="263.89999999999998"/>
    <x v="219"/>
    <x v="202"/>
    <x v="0"/>
    <n v="188.5"/>
    <n v="4.7619047620000003"/>
    <n v="75.400000000000006"/>
    <n v="5.6"/>
    <n v="96.173500000000004"/>
    <n v="16.840900000000001"/>
  </r>
  <r>
    <x v="759"/>
    <x v="0"/>
    <x v="17"/>
    <x v="0"/>
    <x v="1"/>
    <x v="0"/>
    <x v="3"/>
    <n v="55.39"/>
    <n v="4"/>
    <n v="11.077999999999999"/>
    <n v="221.56"/>
    <x v="28"/>
    <x v="332"/>
    <x v="0"/>
    <n v="221.56"/>
    <n v="4.7619047620000003"/>
    <n v="0"/>
    <n v="8"/>
    <n v="96.173500000000004"/>
    <n v="16.840900000000001"/>
  </r>
  <r>
    <x v="760"/>
    <x v="0"/>
    <x v="321"/>
    <x v="2"/>
    <x v="0"/>
    <x v="0"/>
    <x v="3"/>
    <n v="77.2"/>
    <n v="20"/>
    <n v="77.2"/>
    <n v="1544"/>
    <x v="186"/>
    <x v="440"/>
    <x v="2"/>
    <n v="772"/>
    <n v="4.7619047620000003"/>
    <n v="772"/>
    <n v="6.72"/>
    <n v="96.089100000000002"/>
    <n v="21.9588"/>
  </r>
  <r>
    <x v="761"/>
    <x v="0"/>
    <x v="175"/>
    <x v="2"/>
    <x v="1"/>
    <x v="1"/>
    <x v="3"/>
    <n v="72.13"/>
    <n v="14"/>
    <n v="50.491"/>
    <n v="1009.82"/>
    <x v="67"/>
    <x v="290"/>
    <x v="2"/>
    <n v="721.3"/>
    <n v="4.7619047620000003"/>
    <n v="288.52"/>
    <n v="5.04"/>
    <n v="96.089100000000002"/>
    <n v="21.9588"/>
  </r>
  <r>
    <x v="762"/>
    <x v="0"/>
    <x v="411"/>
    <x v="0"/>
    <x v="0"/>
    <x v="0"/>
    <x v="3"/>
    <n v="63.88"/>
    <n v="11"/>
    <n v="35.134"/>
    <n v="702.68"/>
    <x v="183"/>
    <x v="449"/>
    <x v="0"/>
    <n v="511.04"/>
    <n v="4.7619047620000003"/>
    <n v="191.64"/>
    <n v="9.9"/>
    <n v="96.173500000000004"/>
    <n v="16.840900000000001"/>
  </r>
  <r>
    <x v="763"/>
    <x v="0"/>
    <x v="113"/>
    <x v="0"/>
    <x v="0"/>
    <x v="0"/>
    <x v="3"/>
    <n v="10.69"/>
    <n v="7"/>
    <n v="3.7414999999999998"/>
    <n v="74.83"/>
    <x v="329"/>
    <x v="383"/>
    <x v="0"/>
    <n v="53.45"/>
    <n v="4.7619047620000003"/>
    <n v="21.38"/>
    <n v="7.6"/>
    <n v="96.173500000000004"/>
    <n v="16.840900000000001"/>
  </r>
  <r>
    <x v="764"/>
    <x v="0"/>
    <x v="194"/>
    <x v="0"/>
    <x v="0"/>
    <x v="1"/>
    <x v="0"/>
    <n v="55.5"/>
    <n v="6"/>
    <n v="16.649999999999999"/>
    <n v="333"/>
    <x v="330"/>
    <x v="74"/>
    <x v="2"/>
    <n v="222"/>
    <n v="4.7619047620000003"/>
    <n v="111"/>
    <n v="6.6"/>
    <n v="96.173500000000004"/>
    <n v="16.840900000000001"/>
  </r>
  <r>
    <x v="765"/>
    <x v="0"/>
    <x v="147"/>
    <x v="2"/>
    <x v="1"/>
    <x v="0"/>
    <x v="4"/>
    <n v="95.46"/>
    <n v="11"/>
    <n v="52.503"/>
    <n v="1050.06"/>
    <x v="173"/>
    <x v="138"/>
    <x v="0"/>
    <n v="763.68"/>
    <n v="4.7619047620000003"/>
    <n v="286.38"/>
    <n v="5.64"/>
    <n v="96.089100000000002"/>
    <n v="21.9588"/>
  </r>
  <r>
    <x v="766"/>
    <x v="0"/>
    <x v="400"/>
    <x v="1"/>
    <x v="1"/>
    <x v="0"/>
    <x v="5"/>
    <n v="76.06"/>
    <n v="4"/>
    <n v="15.212"/>
    <n v="304.24"/>
    <x v="138"/>
    <x v="450"/>
    <x v="2"/>
    <n v="228.18"/>
    <n v="4.7619047620000003"/>
    <n v="76.06"/>
    <n v="10"/>
    <n v="96.078500000000005"/>
    <n v="19.763300000000001"/>
  </r>
  <r>
    <x v="767"/>
    <x v="0"/>
    <x v="412"/>
    <x v="2"/>
    <x v="1"/>
    <x v="1"/>
    <x v="3"/>
    <n v="13.69"/>
    <n v="8"/>
    <n v="5.476"/>
    <n v="109.52"/>
    <x v="321"/>
    <x v="451"/>
    <x v="1"/>
    <n v="82.14"/>
    <n v="4.7619047620000003"/>
    <n v="27.38"/>
    <n v="7.56"/>
    <n v="96.089100000000002"/>
    <n v="21.9588"/>
  </r>
  <r>
    <x v="768"/>
    <x v="0"/>
    <x v="287"/>
    <x v="2"/>
    <x v="1"/>
    <x v="0"/>
    <x v="1"/>
    <n v="95.64"/>
    <n v="6"/>
    <n v="28.692"/>
    <n v="573.84"/>
    <x v="91"/>
    <x v="370"/>
    <x v="1"/>
    <n v="382.56"/>
    <n v="4.7619047620000003"/>
    <n v="191.28"/>
    <n v="9.48"/>
    <n v="96.089100000000002"/>
    <n v="21.9588"/>
  </r>
  <r>
    <x v="769"/>
    <x v="0"/>
    <x v="353"/>
    <x v="0"/>
    <x v="1"/>
    <x v="0"/>
    <x v="4"/>
    <n v="11.43"/>
    <n v="6"/>
    <n v="3.4289999999999998"/>
    <n v="68.58"/>
    <x v="130"/>
    <x v="45"/>
    <x v="1"/>
    <n v="68.58"/>
    <n v="4.7619047620000003"/>
    <n v="0"/>
    <n v="7.46"/>
    <n v="96.173500000000004"/>
    <n v="16.840900000000001"/>
  </r>
  <r>
    <x v="770"/>
    <x v="2"/>
    <x v="140"/>
    <x v="2"/>
    <x v="0"/>
    <x v="0"/>
    <x v="3"/>
    <n v="95.54"/>
    <n v="8"/>
    <n v="38.216000000000001"/>
    <n v="764.32"/>
    <x v="137"/>
    <x v="452"/>
    <x v="0"/>
    <n v="382.16"/>
    <n v="4.7619047620000003"/>
    <n v="382.16"/>
    <n v="7.46"/>
    <n v="96.089100000000002"/>
    <n v="21.9588"/>
  </r>
  <r>
    <x v="771"/>
    <x v="1"/>
    <x v="313"/>
    <x v="1"/>
    <x v="0"/>
    <x v="0"/>
    <x v="0"/>
    <n v="85.87"/>
    <n v="11"/>
    <n v="47.228499999999997"/>
    <n v="944.57"/>
    <x v="135"/>
    <x v="54"/>
    <x v="2"/>
    <n v="601.09"/>
    <n v="4.7619047620000003"/>
    <n v="343.48"/>
    <n v="7.46"/>
    <n v="96.078500000000005"/>
    <n v="19.763300000000001"/>
  </r>
  <r>
    <x v="772"/>
    <x v="1"/>
    <x v="413"/>
    <x v="1"/>
    <x v="0"/>
    <x v="0"/>
    <x v="3"/>
    <n v="67.989999999999995"/>
    <n v="11"/>
    <n v="37.394500000000001"/>
    <n v="747.89"/>
    <x v="331"/>
    <x v="453"/>
    <x v="0"/>
    <n v="475.93"/>
    <n v="4.7619047620000003"/>
    <n v="271.95999999999998"/>
    <n v="7.46"/>
    <n v="96.078500000000005"/>
    <n v="19.763300000000001"/>
  </r>
  <r>
    <x v="773"/>
    <x v="1"/>
    <x v="414"/>
    <x v="1"/>
    <x v="1"/>
    <x v="0"/>
    <x v="2"/>
    <n v="52.42"/>
    <n v="1"/>
    <n v="2.621"/>
    <n v="52.42"/>
    <x v="193"/>
    <x v="417"/>
    <x v="2"/>
    <n v="52.42"/>
    <n v="4.7619047620000003"/>
    <n v="0"/>
    <n v="7.46"/>
    <n v="96.078500000000005"/>
    <n v="19.763300000000001"/>
  </r>
  <r>
    <x v="774"/>
    <x v="1"/>
    <x v="227"/>
    <x v="1"/>
    <x v="0"/>
    <x v="1"/>
    <x v="2"/>
    <n v="65.650000000000006"/>
    <n v="3"/>
    <n v="9.8475000000000001"/>
    <n v="196.95"/>
    <x v="269"/>
    <x v="252"/>
    <x v="1"/>
    <n v="131.30000000000001"/>
    <n v="4.7619047620000003"/>
    <n v="65.650000000000006"/>
    <n v="7.46"/>
    <n v="96.078500000000005"/>
    <n v="19.763300000000001"/>
  </r>
  <r>
    <x v="775"/>
    <x v="2"/>
    <x v="30"/>
    <x v="2"/>
    <x v="1"/>
    <x v="0"/>
    <x v="2"/>
    <n v="28.86"/>
    <n v="7"/>
    <n v="10.101000000000001"/>
    <n v="202.02"/>
    <x v="33"/>
    <x v="182"/>
    <x v="2"/>
    <n v="144.30000000000001"/>
    <n v="4.7619047620000003"/>
    <n v="57.72"/>
    <n v="7.46"/>
    <n v="96.089100000000002"/>
    <n v="21.9588"/>
  </r>
  <r>
    <x v="776"/>
    <x v="1"/>
    <x v="164"/>
    <x v="1"/>
    <x v="0"/>
    <x v="1"/>
    <x v="0"/>
    <n v="65.31"/>
    <n v="11"/>
    <n v="35.920499999999997"/>
    <n v="718.41"/>
    <x v="312"/>
    <x v="454"/>
    <x v="2"/>
    <n v="457.17"/>
    <n v="4.7619047620000003"/>
    <n v="261.24"/>
    <n v="4.41"/>
    <n v="96.078500000000005"/>
    <n v="19.763300000000001"/>
  </r>
  <r>
    <x v="777"/>
    <x v="2"/>
    <x v="195"/>
    <x v="2"/>
    <x v="1"/>
    <x v="1"/>
    <x v="3"/>
    <n v="93.38"/>
    <n v="1"/>
    <n v="4.6689999999999996"/>
    <n v="93.38"/>
    <x v="332"/>
    <x v="270"/>
    <x v="1"/>
    <n v="93.38"/>
    <n v="4.7619047620000003"/>
    <n v="0"/>
    <n v="10"/>
    <n v="96.089100000000002"/>
    <n v="21.9588"/>
  </r>
  <r>
    <x v="778"/>
    <x v="1"/>
    <x v="415"/>
    <x v="1"/>
    <x v="0"/>
    <x v="1"/>
    <x v="3"/>
    <n v="25.25"/>
    <n v="8"/>
    <n v="10.1"/>
    <n v="202"/>
    <x v="294"/>
    <x v="455"/>
    <x v="1"/>
    <n v="126.25"/>
    <n v="4.7619047620000003"/>
    <n v="75.75"/>
    <n v="6.4050000000000002"/>
    <n v="96.078500000000005"/>
    <n v="19.763300000000001"/>
  </r>
  <r>
    <x v="779"/>
    <x v="2"/>
    <x v="158"/>
    <x v="2"/>
    <x v="0"/>
    <x v="1"/>
    <x v="1"/>
    <n v="87.87"/>
    <n v="18"/>
    <n v="79.082999999999998"/>
    <n v="1581.66"/>
    <x v="107"/>
    <x v="456"/>
    <x v="0"/>
    <n v="790.83"/>
    <n v="4.7619047620000003"/>
    <n v="790.83"/>
    <n v="6.72"/>
    <n v="96.089100000000002"/>
    <n v="21.9588"/>
  </r>
  <r>
    <x v="780"/>
    <x v="1"/>
    <x v="416"/>
    <x v="1"/>
    <x v="1"/>
    <x v="1"/>
    <x v="0"/>
    <n v="21.8"/>
    <n v="10"/>
    <n v="10.9"/>
    <n v="218"/>
    <x v="224"/>
    <x v="225"/>
    <x v="1"/>
    <n v="174.4"/>
    <n v="4.7619047620000003"/>
    <n v="43.6"/>
    <n v="8.7149999999999999"/>
    <n v="96.078500000000005"/>
    <n v="19.763300000000001"/>
  </r>
  <r>
    <x v="781"/>
    <x v="0"/>
    <x v="359"/>
    <x v="0"/>
    <x v="1"/>
    <x v="0"/>
    <x v="3"/>
    <n v="94.76"/>
    <n v="4"/>
    <n v="18.952000000000002"/>
    <n v="379.04"/>
    <x v="8"/>
    <x v="432"/>
    <x v="0"/>
    <n v="379.04"/>
    <n v="4.7619047620000003"/>
    <n v="0"/>
    <n v="7.8"/>
    <n v="96.173500000000004"/>
    <n v="16.840900000000001"/>
  </r>
  <r>
    <x v="782"/>
    <x v="0"/>
    <x v="417"/>
    <x v="0"/>
    <x v="0"/>
    <x v="0"/>
    <x v="5"/>
    <n v="30.62"/>
    <n v="1"/>
    <n v="1.5309999999999999"/>
    <n v="30.62"/>
    <x v="307"/>
    <x v="341"/>
    <x v="2"/>
    <n v="30.62"/>
    <n v="4.7619047620000003"/>
    <n v="0"/>
    <n v="4.0999999999999996"/>
    <n v="96.173500000000004"/>
    <n v="16.840900000000001"/>
  </r>
  <r>
    <x v="783"/>
    <x v="1"/>
    <x v="97"/>
    <x v="1"/>
    <x v="1"/>
    <x v="0"/>
    <x v="4"/>
    <n v="44.01"/>
    <n v="10"/>
    <n v="22.004999999999999"/>
    <n v="440.1"/>
    <x v="164"/>
    <x v="24"/>
    <x v="1"/>
    <n v="352.08"/>
    <n v="4.7619047620000003"/>
    <n v="88.02"/>
    <n v="9.24"/>
    <n v="96.078500000000005"/>
    <n v="19.763300000000001"/>
  </r>
  <r>
    <x v="784"/>
    <x v="1"/>
    <x v="418"/>
    <x v="1"/>
    <x v="0"/>
    <x v="0"/>
    <x v="0"/>
    <n v="10.16"/>
    <n v="8"/>
    <n v="4.0640000000000001"/>
    <n v="81.28"/>
    <x v="53"/>
    <x v="0"/>
    <x v="0"/>
    <n v="50.8"/>
    <n v="4.7619047620000003"/>
    <n v="30.48"/>
    <n v="4.3049999999999997"/>
    <n v="96.078500000000005"/>
    <n v="19.763300000000001"/>
  </r>
  <r>
    <x v="785"/>
    <x v="0"/>
    <x v="27"/>
    <x v="0"/>
    <x v="1"/>
    <x v="1"/>
    <x v="1"/>
    <n v="74.58"/>
    <n v="7"/>
    <n v="26.103000000000002"/>
    <n v="522.05999999999995"/>
    <x v="333"/>
    <x v="457"/>
    <x v="2"/>
    <n v="522.05999999999995"/>
    <n v="4.7619047620000003"/>
    <n v="0"/>
    <n v="9"/>
    <n v="96.173500000000004"/>
    <n v="16.840900000000001"/>
  </r>
  <r>
    <x v="786"/>
    <x v="1"/>
    <x v="129"/>
    <x v="1"/>
    <x v="1"/>
    <x v="1"/>
    <x v="1"/>
    <n v="71.89"/>
    <n v="10"/>
    <n v="35.945"/>
    <n v="718.9"/>
    <x v="334"/>
    <x v="458"/>
    <x v="0"/>
    <n v="575.12"/>
    <n v="4.7619047620000003"/>
    <n v="143.78"/>
    <n v="5.7750000000000004"/>
    <n v="96.078500000000005"/>
    <n v="19.763300000000001"/>
  </r>
  <r>
    <x v="787"/>
    <x v="1"/>
    <x v="162"/>
    <x v="1"/>
    <x v="1"/>
    <x v="0"/>
    <x v="0"/>
    <n v="10.99"/>
    <n v="6"/>
    <n v="3.2970000000000002"/>
    <n v="65.94"/>
    <x v="88"/>
    <x v="392"/>
    <x v="2"/>
    <n v="54.95"/>
    <n v="4.7619047620000003"/>
    <n v="10.99"/>
    <n v="9.7650000000000006"/>
    <n v="96.078500000000005"/>
    <n v="19.763300000000001"/>
  </r>
  <r>
    <x v="788"/>
    <x v="1"/>
    <x v="261"/>
    <x v="1"/>
    <x v="0"/>
    <x v="1"/>
    <x v="0"/>
    <n v="60.47"/>
    <n v="6"/>
    <n v="18.140999999999998"/>
    <n v="362.82"/>
    <x v="19"/>
    <x v="60"/>
    <x v="2"/>
    <n v="181.41"/>
    <n v="4.7619047620000003"/>
    <n v="181.41"/>
    <n v="5.88"/>
    <n v="96.078500000000005"/>
    <n v="19.763300000000001"/>
  </r>
  <r>
    <x v="789"/>
    <x v="0"/>
    <x v="13"/>
    <x v="0"/>
    <x v="1"/>
    <x v="1"/>
    <x v="3"/>
    <n v="58.91"/>
    <n v="7"/>
    <n v="20.618500000000001"/>
    <n v="412.37"/>
    <x v="335"/>
    <x v="459"/>
    <x v="0"/>
    <n v="412.37"/>
    <n v="4.7619047620000003"/>
    <n v="0"/>
    <n v="9.6999999999999993"/>
    <n v="96.173500000000004"/>
    <n v="16.840900000000001"/>
  </r>
  <r>
    <x v="790"/>
    <x v="0"/>
    <x v="198"/>
    <x v="0"/>
    <x v="1"/>
    <x v="1"/>
    <x v="5"/>
    <n v="46.41"/>
    <n v="1"/>
    <n v="2.3205"/>
    <n v="46.41"/>
    <x v="20"/>
    <x v="460"/>
    <x v="2"/>
    <n v="46.41"/>
    <n v="4.7619047620000003"/>
    <n v="0"/>
    <n v="4"/>
    <n v="96.173500000000004"/>
    <n v="16.840900000000001"/>
  </r>
  <r>
    <x v="791"/>
    <x v="1"/>
    <x v="414"/>
    <x v="1"/>
    <x v="0"/>
    <x v="1"/>
    <x v="3"/>
    <n v="68.55"/>
    <n v="7"/>
    <n v="23.9925"/>
    <n v="479.85"/>
    <x v="188"/>
    <x v="277"/>
    <x v="2"/>
    <n v="274.2"/>
    <n v="4.7619047620000003"/>
    <n v="205.65"/>
    <n v="9.66"/>
    <n v="96.078500000000005"/>
    <n v="19.763300000000001"/>
  </r>
  <r>
    <x v="792"/>
    <x v="2"/>
    <x v="176"/>
    <x v="2"/>
    <x v="1"/>
    <x v="0"/>
    <x v="3"/>
    <n v="97.37"/>
    <n v="14"/>
    <n v="68.159000000000006"/>
    <n v="1363.18"/>
    <x v="336"/>
    <x v="128"/>
    <x v="2"/>
    <n v="973.7"/>
    <n v="4.7619047620000003"/>
    <n v="389.48"/>
    <n v="5.88"/>
    <n v="96.089100000000002"/>
    <n v="21.9588"/>
  </r>
  <r>
    <x v="793"/>
    <x v="0"/>
    <x v="419"/>
    <x v="0"/>
    <x v="0"/>
    <x v="1"/>
    <x v="3"/>
    <n v="92.6"/>
    <n v="10"/>
    <n v="46.3"/>
    <n v="926"/>
    <x v="265"/>
    <x v="299"/>
    <x v="2"/>
    <n v="648.20000000000005"/>
    <n v="4.7619047620000003"/>
    <n v="277.8"/>
    <n v="9.3000000000000007"/>
    <n v="96.173500000000004"/>
    <n v="16.840900000000001"/>
  </r>
  <r>
    <x v="794"/>
    <x v="0"/>
    <x v="84"/>
    <x v="0"/>
    <x v="1"/>
    <x v="0"/>
    <x v="3"/>
    <n v="46.61"/>
    <n v="2"/>
    <n v="4.6609999999999996"/>
    <n v="93.22"/>
    <x v="200"/>
    <x v="35"/>
    <x v="2"/>
    <n v="93.22"/>
    <n v="4.7619047620000003"/>
    <n v="0"/>
    <n v="6.6"/>
    <n v="96.173500000000004"/>
    <n v="16.840900000000001"/>
  </r>
  <r>
    <x v="795"/>
    <x v="2"/>
    <x v="298"/>
    <x v="2"/>
    <x v="1"/>
    <x v="1"/>
    <x v="3"/>
    <n v="27.18"/>
    <n v="3"/>
    <n v="4.077"/>
    <n v="81.540000000000006"/>
    <x v="337"/>
    <x v="461"/>
    <x v="0"/>
    <n v="54.36"/>
    <n v="4.7619047620000003"/>
    <n v="27.18"/>
    <n v="5.16"/>
    <n v="96.089100000000002"/>
    <n v="21.9588"/>
  </r>
  <r>
    <x v="796"/>
    <x v="1"/>
    <x v="311"/>
    <x v="1"/>
    <x v="0"/>
    <x v="0"/>
    <x v="3"/>
    <n v="60.87"/>
    <n v="1"/>
    <n v="3.0434999999999999"/>
    <n v="60.87"/>
    <x v="248"/>
    <x v="38"/>
    <x v="1"/>
    <n v="60.87"/>
    <n v="4.7619047620000003"/>
    <n v="0"/>
    <n v="5.7750000000000004"/>
    <n v="96.078500000000005"/>
    <n v="19.763300000000001"/>
  </r>
  <r>
    <x v="797"/>
    <x v="0"/>
    <x v="281"/>
    <x v="0"/>
    <x v="1"/>
    <x v="0"/>
    <x v="3"/>
    <n v="24.49"/>
    <n v="10"/>
    <n v="12.244999999999999"/>
    <n v="244.9"/>
    <x v="287"/>
    <x v="459"/>
    <x v="1"/>
    <n v="244.9"/>
    <n v="4.7619047620000003"/>
    <n v="0"/>
    <n v="8.1"/>
    <n v="96.173500000000004"/>
    <n v="16.840900000000001"/>
  </r>
  <r>
    <x v="798"/>
    <x v="2"/>
    <x v="420"/>
    <x v="2"/>
    <x v="1"/>
    <x v="1"/>
    <x v="3"/>
    <n v="92.78"/>
    <n v="1"/>
    <n v="4.6390000000000002"/>
    <n v="92.78"/>
    <x v="164"/>
    <x v="155"/>
    <x v="2"/>
    <n v="92.78"/>
    <n v="4.7619047620000003"/>
    <n v="0"/>
    <n v="10"/>
    <n v="96.089100000000002"/>
    <n v="21.9588"/>
  </r>
  <r>
    <x v="799"/>
    <x v="1"/>
    <x v="421"/>
    <x v="1"/>
    <x v="1"/>
    <x v="1"/>
    <x v="4"/>
    <n v="86.69"/>
    <n v="6"/>
    <n v="26.007000000000001"/>
    <n v="520.14"/>
    <x v="72"/>
    <x v="462"/>
    <x v="0"/>
    <n v="433.45"/>
    <n v="4.7619047620000003"/>
    <n v="86.69"/>
    <n v="9.8699999999999992"/>
    <n v="96.078500000000005"/>
    <n v="19.763300000000001"/>
  </r>
  <r>
    <x v="800"/>
    <x v="2"/>
    <x v="422"/>
    <x v="2"/>
    <x v="1"/>
    <x v="1"/>
    <x v="3"/>
    <n v="23.01"/>
    <n v="8"/>
    <n v="9.2040000000000006"/>
    <n v="184.08"/>
    <x v="170"/>
    <x v="463"/>
    <x v="0"/>
    <n v="138.06"/>
    <n v="4.7619047620000003"/>
    <n v="46.02"/>
    <n v="9.48"/>
    <n v="96.089100000000002"/>
    <n v="21.9588"/>
  </r>
  <r>
    <x v="801"/>
    <x v="1"/>
    <x v="152"/>
    <x v="1"/>
    <x v="1"/>
    <x v="0"/>
    <x v="1"/>
    <n v="30.2"/>
    <n v="10"/>
    <n v="15.1"/>
    <n v="302"/>
    <x v="103"/>
    <x v="171"/>
    <x v="0"/>
    <n v="241.6"/>
    <n v="4.7619047620000003"/>
    <n v="60.4"/>
    <n v="5.3550000000000004"/>
    <n v="96.078500000000005"/>
    <n v="19.763300000000001"/>
  </r>
  <r>
    <x v="802"/>
    <x v="1"/>
    <x v="423"/>
    <x v="1"/>
    <x v="1"/>
    <x v="1"/>
    <x v="5"/>
    <n v="67.39"/>
    <n v="8"/>
    <n v="26.956"/>
    <n v="539.12"/>
    <x v="314"/>
    <x v="2"/>
    <x v="0"/>
    <n v="471.73"/>
    <n v="4.7619047620000003"/>
    <n v="67.39"/>
    <n v="7.2450000000000001"/>
    <n v="96.078500000000005"/>
    <n v="19.763300000000001"/>
  </r>
  <r>
    <x v="803"/>
    <x v="0"/>
    <x v="271"/>
    <x v="0"/>
    <x v="0"/>
    <x v="0"/>
    <x v="5"/>
    <n v="48.96"/>
    <n v="13"/>
    <n v="31.824000000000002"/>
    <n v="636.48"/>
    <x v="65"/>
    <x v="94"/>
    <x v="1"/>
    <n v="440.64"/>
    <n v="4.7619047620000003"/>
    <n v="195.84"/>
    <n v="8"/>
    <n v="96.173500000000004"/>
    <n v="16.840900000000001"/>
  </r>
  <r>
    <x v="804"/>
    <x v="2"/>
    <x v="38"/>
    <x v="2"/>
    <x v="0"/>
    <x v="0"/>
    <x v="5"/>
    <n v="75.59"/>
    <n v="18"/>
    <n v="68.031000000000006"/>
    <n v="1360.62"/>
    <x v="70"/>
    <x v="289"/>
    <x v="1"/>
    <n v="680.31"/>
    <n v="4.7619047620000003"/>
    <n v="680.31"/>
    <n v="9.6"/>
    <n v="96.089100000000002"/>
    <n v="21.9588"/>
  </r>
  <r>
    <x v="805"/>
    <x v="0"/>
    <x v="424"/>
    <x v="0"/>
    <x v="1"/>
    <x v="0"/>
    <x v="5"/>
    <n v="77.47"/>
    <n v="4"/>
    <n v="15.494"/>
    <n v="309.88"/>
    <x v="165"/>
    <x v="345"/>
    <x v="1"/>
    <n v="309.88"/>
    <n v="4.7619047620000003"/>
    <n v="0"/>
    <n v="4.2"/>
    <n v="96.173500000000004"/>
    <n v="16.840900000000001"/>
  </r>
  <r>
    <x v="806"/>
    <x v="0"/>
    <x v="425"/>
    <x v="0"/>
    <x v="1"/>
    <x v="0"/>
    <x v="5"/>
    <n v="93.18"/>
    <n v="2"/>
    <n v="9.3179999999999996"/>
    <n v="186.36"/>
    <x v="43"/>
    <x v="464"/>
    <x v="2"/>
    <n v="186.36"/>
    <n v="4.7619047620000003"/>
    <n v="0"/>
    <n v="8.5"/>
    <n v="96.173500000000004"/>
    <n v="16.840900000000001"/>
  </r>
  <r>
    <x v="807"/>
    <x v="0"/>
    <x v="108"/>
    <x v="0"/>
    <x v="1"/>
    <x v="0"/>
    <x v="5"/>
    <n v="50.23"/>
    <n v="4"/>
    <n v="10.045999999999999"/>
    <n v="200.92"/>
    <x v="44"/>
    <x v="465"/>
    <x v="1"/>
    <n v="200.92"/>
    <n v="4.7619047620000003"/>
    <n v="0"/>
    <n v="9"/>
    <n v="96.173500000000004"/>
    <n v="16.840900000000001"/>
  </r>
  <r>
    <x v="808"/>
    <x v="2"/>
    <x v="158"/>
    <x v="2"/>
    <x v="1"/>
    <x v="0"/>
    <x v="5"/>
    <n v="17.75"/>
    <n v="1"/>
    <n v="0.88749999999999996"/>
    <n v="17.75"/>
    <x v="149"/>
    <x v="440"/>
    <x v="1"/>
    <n v="17.75"/>
    <n v="4.7619047620000003"/>
    <n v="0"/>
    <n v="10"/>
    <n v="96.089100000000002"/>
    <n v="21.9588"/>
  </r>
  <r>
    <x v="809"/>
    <x v="1"/>
    <x v="20"/>
    <x v="1"/>
    <x v="1"/>
    <x v="0"/>
    <x v="5"/>
    <n v="62.18"/>
    <n v="12"/>
    <n v="37.308"/>
    <n v="746.16"/>
    <x v="236"/>
    <x v="373"/>
    <x v="0"/>
    <n v="621.79999999999995"/>
    <n v="4.7619047620000003"/>
    <n v="124.36"/>
    <n v="6.3"/>
    <n v="96.078500000000005"/>
    <n v="19.763300000000001"/>
  </r>
  <r>
    <x v="810"/>
    <x v="2"/>
    <x v="195"/>
    <x v="2"/>
    <x v="1"/>
    <x v="1"/>
    <x v="5"/>
    <n v="10.75"/>
    <n v="11"/>
    <n v="5.9124999999999996"/>
    <n v="118.25"/>
    <x v="247"/>
    <x v="242"/>
    <x v="0"/>
    <n v="86"/>
    <n v="4.7619047620000003"/>
    <n v="32.25"/>
    <n v="7.44"/>
    <n v="96.089100000000002"/>
    <n v="21.9588"/>
  </r>
  <r>
    <x v="811"/>
    <x v="0"/>
    <x v="426"/>
    <x v="0"/>
    <x v="1"/>
    <x v="0"/>
    <x v="5"/>
    <n v="40.26"/>
    <n v="10"/>
    <n v="20.13"/>
    <n v="402.6"/>
    <x v="248"/>
    <x v="191"/>
    <x v="2"/>
    <n v="402.6"/>
    <n v="4.7619047620000003"/>
    <n v="0"/>
    <n v="5"/>
    <n v="96.173500000000004"/>
    <n v="16.840900000000001"/>
  </r>
  <r>
    <x v="812"/>
    <x v="1"/>
    <x v="427"/>
    <x v="1"/>
    <x v="0"/>
    <x v="0"/>
    <x v="5"/>
    <n v="64.97"/>
    <n v="8"/>
    <n v="25.988"/>
    <n v="519.76"/>
    <x v="338"/>
    <x v="299"/>
    <x v="2"/>
    <n v="324.85000000000002"/>
    <n v="4.7619047620000003"/>
    <n v="194.91"/>
    <n v="6.8250000000000002"/>
    <n v="96.078500000000005"/>
    <n v="19.763300000000001"/>
  </r>
  <r>
    <x v="813"/>
    <x v="0"/>
    <x v="163"/>
    <x v="0"/>
    <x v="1"/>
    <x v="1"/>
    <x v="5"/>
    <n v="95.15"/>
    <n v="1"/>
    <n v="4.7575000000000003"/>
    <n v="95.15"/>
    <x v="192"/>
    <x v="466"/>
    <x v="1"/>
    <n v="95.15"/>
    <n v="4.7619047620000003"/>
    <n v="0"/>
    <n v="6"/>
    <n v="96.173500000000004"/>
    <n v="16.840900000000001"/>
  </r>
  <r>
    <x v="814"/>
    <x v="0"/>
    <x v="428"/>
    <x v="0"/>
    <x v="0"/>
    <x v="0"/>
    <x v="5"/>
    <n v="48.62"/>
    <n v="11"/>
    <n v="26.741"/>
    <n v="534.82000000000005"/>
    <x v="335"/>
    <x v="315"/>
    <x v="1"/>
    <n v="388.96"/>
    <n v="4.7619047620000003"/>
    <n v="145.86000000000001"/>
    <n v="5"/>
    <n v="96.173500000000004"/>
    <n v="16.840900000000001"/>
  </r>
  <r>
    <x v="815"/>
    <x v="2"/>
    <x v="348"/>
    <x v="2"/>
    <x v="1"/>
    <x v="0"/>
    <x v="2"/>
    <n v="53.21"/>
    <n v="11"/>
    <n v="29.265499999999999"/>
    <n v="585.30999999999995"/>
    <x v="318"/>
    <x v="463"/>
    <x v="0"/>
    <n v="425.68"/>
    <n v="4.7619047620000003"/>
    <n v="159.63"/>
    <n v="6"/>
    <n v="96.089100000000002"/>
    <n v="21.9588"/>
  </r>
  <r>
    <x v="816"/>
    <x v="1"/>
    <x v="429"/>
    <x v="1"/>
    <x v="1"/>
    <x v="0"/>
    <x v="5"/>
    <n v="45.44"/>
    <n v="8"/>
    <n v="18.175999999999998"/>
    <n v="363.52"/>
    <x v="253"/>
    <x v="23"/>
    <x v="1"/>
    <n v="318.08"/>
    <n v="4.7619047620000003"/>
    <n v="45.44"/>
    <n v="9.66"/>
    <n v="96.078500000000005"/>
    <n v="19.763300000000001"/>
  </r>
  <r>
    <x v="817"/>
    <x v="0"/>
    <x v="368"/>
    <x v="0"/>
    <x v="1"/>
    <x v="1"/>
    <x v="2"/>
    <n v="33.880000000000003"/>
    <n v="8"/>
    <n v="13.552"/>
    <n v="271.04000000000002"/>
    <x v="339"/>
    <x v="245"/>
    <x v="0"/>
    <n v="271.04000000000002"/>
    <n v="4.7619047620000003"/>
    <n v="0"/>
    <n v="9.6"/>
    <n v="96.173500000000004"/>
    <n v="16.840900000000001"/>
  </r>
  <r>
    <x v="818"/>
    <x v="0"/>
    <x v="157"/>
    <x v="2"/>
    <x v="0"/>
    <x v="1"/>
    <x v="0"/>
    <n v="96.16"/>
    <n v="8"/>
    <n v="38.463999999999999"/>
    <n v="769.28"/>
    <x v="221"/>
    <x v="356"/>
    <x v="2"/>
    <n v="384.64"/>
    <n v="4.7619047620000003"/>
    <n v="384.64"/>
    <n v="10"/>
    <n v="96.089100000000002"/>
    <n v="21.9588"/>
  </r>
  <r>
    <x v="819"/>
    <x v="0"/>
    <x v="46"/>
    <x v="2"/>
    <x v="0"/>
    <x v="1"/>
    <x v="2"/>
    <n v="47.16"/>
    <n v="10"/>
    <n v="23.58"/>
    <n v="471.6"/>
    <x v="248"/>
    <x v="63"/>
    <x v="2"/>
    <n v="235.8"/>
    <n v="4.7619047620000003"/>
    <n v="235.8"/>
    <n v="7.46"/>
    <n v="96.089100000000002"/>
    <n v="21.9588"/>
  </r>
  <r>
    <x v="820"/>
    <x v="0"/>
    <x v="203"/>
    <x v="2"/>
    <x v="1"/>
    <x v="1"/>
    <x v="1"/>
    <n v="52.89"/>
    <n v="6"/>
    <n v="15.867000000000001"/>
    <n v="317.33999999999997"/>
    <x v="114"/>
    <x v="467"/>
    <x v="0"/>
    <n v="211.56"/>
    <n v="4.7619047620000003"/>
    <n v="105.78"/>
    <n v="7.46"/>
    <n v="96.089100000000002"/>
    <n v="21.9588"/>
  </r>
  <r>
    <x v="821"/>
    <x v="0"/>
    <x v="361"/>
    <x v="0"/>
    <x v="0"/>
    <x v="0"/>
    <x v="4"/>
    <n v="47.68"/>
    <n v="3"/>
    <n v="7.1520000000000001"/>
    <n v="143.04"/>
    <x v="12"/>
    <x v="468"/>
    <x v="2"/>
    <n v="95.36"/>
    <n v="4.7619047620000003"/>
    <n v="47.68"/>
    <n v="7.46"/>
    <n v="96.173500000000004"/>
    <n v="16.840900000000001"/>
  </r>
  <r>
    <x v="822"/>
    <x v="1"/>
    <x v="430"/>
    <x v="1"/>
    <x v="0"/>
    <x v="1"/>
    <x v="3"/>
    <n v="10.17"/>
    <n v="1"/>
    <n v="0.50849999999999995"/>
    <n v="10.17"/>
    <x v="59"/>
    <x v="331"/>
    <x v="1"/>
    <n v="10.17"/>
    <n v="4.7619047620000003"/>
    <n v="0"/>
    <n v="7.46"/>
    <n v="96.078500000000005"/>
    <n v="19.763300000000001"/>
  </r>
  <r>
    <x v="823"/>
    <x v="0"/>
    <x v="431"/>
    <x v="0"/>
    <x v="1"/>
    <x v="0"/>
    <x v="3"/>
    <n v="68.709999999999994"/>
    <n v="3"/>
    <n v="10.3065"/>
    <n v="206.13"/>
    <x v="20"/>
    <x v="469"/>
    <x v="1"/>
    <n v="206.13"/>
    <n v="4.7619047620000003"/>
    <n v="0"/>
    <n v="7.46"/>
    <n v="96.173500000000004"/>
    <n v="16.840900000000001"/>
  </r>
  <r>
    <x v="824"/>
    <x v="2"/>
    <x v="41"/>
    <x v="2"/>
    <x v="0"/>
    <x v="0"/>
    <x v="3"/>
    <n v="60.08"/>
    <n v="14"/>
    <n v="42.055999999999997"/>
    <n v="841.12"/>
    <x v="139"/>
    <x v="150"/>
    <x v="2"/>
    <n v="420.56"/>
    <n v="4.7619047620000003"/>
    <n v="420.56"/>
    <n v="7.46"/>
    <n v="96.089100000000002"/>
    <n v="21.9588"/>
  </r>
  <r>
    <x v="825"/>
    <x v="0"/>
    <x v="432"/>
    <x v="0"/>
    <x v="0"/>
    <x v="0"/>
    <x v="3"/>
    <n v="22.01"/>
    <n v="6"/>
    <n v="6.6029999999999998"/>
    <n v="132.06"/>
    <x v="7"/>
    <x v="470"/>
    <x v="2"/>
    <n v="88.04"/>
    <n v="4.7619047620000003"/>
    <n v="44.02"/>
    <n v="7.46"/>
    <n v="96.173500000000004"/>
    <n v="16.840900000000001"/>
  </r>
  <r>
    <x v="826"/>
    <x v="2"/>
    <x v="32"/>
    <x v="2"/>
    <x v="0"/>
    <x v="0"/>
    <x v="3"/>
    <n v="72.11"/>
    <n v="18"/>
    <n v="64.899000000000001"/>
    <n v="1297.98"/>
    <x v="147"/>
    <x v="318"/>
    <x v="2"/>
    <n v="648.99"/>
    <n v="4.7619047620000003"/>
    <n v="648.99"/>
    <n v="7.46"/>
    <n v="96.089100000000002"/>
    <n v="21.9588"/>
  </r>
  <r>
    <x v="827"/>
    <x v="0"/>
    <x v="433"/>
    <x v="0"/>
    <x v="0"/>
    <x v="1"/>
    <x v="3"/>
    <n v="41.28"/>
    <n v="4"/>
    <n v="8.2560000000000002"/>
    <n v="165.12"/>
    <x v="299"/>
    <x v="78"/>
    <x v="2"/>
    <n v="123.84"/>
    <n v="4.7619047620000003"/>
    <n v="41.28"/>
    <n v="7.46"/>
    <n v="96.173500000000004"/>
    <n v="16.840900000000001"/>
  </r>
  <r>
    <x v="828"/>
    <x v="1"/>
    <x v="217"/>
    <x v="1"/>
    <x v="1"/>
    <x v="1"/>
    <x v="3"/>
    <n v="64.95"/>
    <n v="12"/>
    <n v="38.97"/>
    <n v="779.4"/>
    <x v="267"/>
    <x v="185"/>
    <x v="1"/>
    <n v="649.5"/>
    <n v="4.7619047620000003"/>
    <n v="129.9"/>
    <n v="7.46"/>
    <n v="96.078500000000005"/>
    <n v="19.763300000000001"/>
  </r>
  <r>
    <x v="829"/>
    <x v="0"/>
    <x v="397"/>
    <x v="0"/>
    <x v="0"/>
    <x v="0"/>
    <x v="3"/>
    <n v="74.22"/>
    <n v="14"/>
    <n v="51.954000000000001"/>
    <n v="1039.08"/>
    <x v="299"/>
    <x v="51"/>
    <x v="2"/>
    <n v="742.2"/>
    <n v="4.7619047620000003"/>
    <n v="296.88"/>
    <n v="7.46"/>
    <n v="96.173500000000004"/>
    <n v="16.840900000000001"/>
  </r>
  <r>
    <x v="830"/>
    <x v="0"/>
    <x v="125"/>
    <x v="0"/>
    <x v="1"/>
    <x v="1"/>
    <x v="3"/>
    <n v="10.56"/>
    <n v="8"/>
    <n v="4.2240000000000002"/>
    <n v="84.48"/>
    <x v="340"/>
    <x v="255"/>
    <x v="1"/>
    <n v="84.48"/>
    <n v="4.7619047620000003"/>
    <n v="0"/>
    <n v="7.46"/>
    <n v="96.173500000000004"/>
    <n v="16.840900000000001"/>
  </r>
  <r>
    <x v="831"/>
    <x v="2"/>
    <x v="157"/>
    <x v="2"/>
    <x v="1"/>
    <x v="1"/>
    <x v="3"/>
    <n v="62.57"/>
    <n v="6"/>
    <n v="18.771000000000001"/>
    <n v="375.42"/>
    <x v="117"/>
    <x v="78"/>
    <x v="1"/>
    <n v="250.28"/>
    <n v="4.7619047620000003"/>
    <n v="125.14"/>
    <n v="7.46"/>
    <n v="96.089100000000002"/>
    <n v="21.9588"/>
  </r>
  <r>
    <x v="832"/>
    <x v="2"/>
    <x v="145"/>
    <x v="2"/>
    <x v="0"/>
    <x v="0"/>
    <x v="3"/>
    <n v="11.85"/>
    <n v="15"/>
    <n v="8.8874999999999993"/>
    <n v="177.75"/>
    <x v="311"/>
    <x v="414"/>
    <x v="1"/>
    <n v="94.8"/>
    <n v="4.7619047620000003"/>
    <n v="82.95"/>
    <n v="7.46"/>
    <n v="96.089100000000002"/>
    <n v="21.9588"/>
  </r>
  <r>
    <x v="833"/>
    <x v="0"/>
    <x v="434"/>
    <x v="0"/>
    <x v="0"/>
    <x v="1"/>
    <x v="0"/>
    <n v="91.3"/>
    <n v="1"/>
    <n v="4.5650000000000004"/>
    <n v="91.3"/>
    <x v="77"/>
    <x v="51"/>
    <x v="0"/>
    <n v="91.3"/>
    <n v="4.7619047620000003"/>
    <n v="0"/>
    <n v="9.1999999999999993"/>
    <n v="96.173500000000004"/>
    <n v="16.840900000000001"/>
  </r>
  <r>
    <x v="834"/>
    <x v="2"/>
    <x v="41"/>
    <x v="2"/>
    <x v="1"/>
    <x v="0"/>
    <x v="4"/>
    <n v="40.729999999999997"/>
    <n v="10"/>
    <n v="20.364999999999998"/>
    <n v="407.3"/>
    <x v="271"/>
    <x v="471"/>
    <x v="0"/>
    <n v="285.11"/>
    <n v="4.7619047620000003"/>
    <n v="122.19"/>
    <n v="6.48"/>
    <n v="96.089100000000002"/>
    <n v="21.9588"/>
  </r>
  <r>
    <x v="835"/>
    <x v="0"/>
    <x v="394"/>
    <x v="0"/>
    <x v="1"/>
    <x v="1"/>
    <x v="5"/>
    <n v="52.38"/>
    <n v="1"/>
    <n v="2.6190000000000002"/>
    <n v="52.38"/>
    <x v="238"/>
    <x v="143"/>
    <x v="1"/>
    <n v="52.38"/>
    <n v="4.7619047620000003"/>
    <n v="0"/>
    <n v="5.8"/>
    <n v="96.173500000000004"/>
    <n v="16.840900000000001"/>
  </r>
  <r>
    <x v="836"/>
    <x v="0"/>
    <x v="68"/>
    <x v="0"/>
    <x v="1"/>
    <x v="1"/>
    <x v="5"/>
    <n v="38.54"/>
    <n v="5"/>
    <n v="9.6349999999999998"/>
    <n v="192.7"/>
    <x v="153"/>
    <x v="229"/>
    <x v="0"/>
    <n v="192.7"/>
    <n v="4.7619047620000003"/>
    <n v="0"/>
    <n v="5.6"/>
    <n v="96.173500000000004"/>
    <n v="16.840900000000001"/>
  </r>
  <r>
    <x v="837"/>
    <x v="2"/>
    <x v="22"/>
    <x v="2"/>
    <x v="1"/>
    <x v="1"/>
    <x v="3"/>
    <n v="44.63"/>
    <n v="8"/>
    <n v="17.852"/>
    <n v="357.04"/>
    <x v="341"/>
    <x v="390"/>
    <x v="2"/>
    <n v="267.77999999999997"/>
    <n v="4.7619047620000003"/>
    <n v="89.26"/>
    <n v="6.12"/>
    <n v="96.089100000000002"/>
    <n v="21.9588"/>
  </r>
  <r>
    <x v="838"/>
    <x v="1"/>
    <x v="264"/>
    <x v="1"/>
    <x v="1"/>
    <x v="1"/>
    <x v="1"/>
    <n v="55.87"/>
    <n v="12"/>
    <n v="33.521999999999998"/>
    <n v="670.44"/>
    <x v="14"/>
    <x v="66"/>
    <x v="1"/>
    <n v="558.70000000000005"/>
    <n v="4.7619047620000003"/>
    <n v="111.74"/>
    <n v="6.09"/>
    <n v="96.078500000000005"/>
    <n v="19.763300000000001"/>
  </r>
  <r>
    <x v="839"/>
    <x v="1"/>
    <x v="381"/>
    <x v="1"/>
    <x v="1"/>
    <x v="0"/>
    <x v="3"/>
    <n v="29.22"/>
    <n v="7"/>
    <n v="10.227"/>
    <n v="204.54"/>
    <x v="342"/>
    <x v="335"/>
    <x v="0"/>
    <n v="175.32"/>
    <n v="4.7619047620000003"/>
    <n v="29.22"/>
    <n v="5.25"/>
    <n v="96.078500000000005"/>
    <n v="19.763300000000001"/>
  </r>
  <r>
    <x v="840"/>
    <x v="0"/>
    <x v="280"/>
    <x v="0"/>
    <x v="1"/>
    <x v="1"/>
    <x v="5"/>
    <n v="51.94"/>
    <n v="3"/>
    <n v="7.7910000000000004"/>
    <n v="155.82"/>
    <x v="241"/>
    <x v="472"/>
    <x v="1"/>
    <n v="155.82"/>
    <n v="4.7619047620000003"/>
    <n v="0"/>
    <n v="7.9"/>
    <n v="96.173500000000004"/>
    <n v="16.840900000000001"/>
  </r>
  <r>
    <x v="841"/>
    <x v="2"/>
    <x v="186"/>
    <x v="2"/>
    <x v="1"/>
    <x v="1"/>
    <x v="1"/>
    <n v="60.3"/>
    <n v="1"/>
    <n v="3.0150000000000001"/>
    <n v="60.3"/>
    <x v="303"/>
    <x v="180"/>
    <x v="1"/>
    <n v="60.3"/>
    <n v="4.7619047620000003"/>
    <n v="0"/>
    <n v="7.2"/>
    <n v="96.089100000000002"/>
    <n v="21.9588"/>
  </r>
  <r>
    <x v="842"/>
    <x v="0"/>
    <x v="54"/>
    <x v="0"/>
    <x v="1"/>
    <x v="0"/>
    <x v="3"/>
    <n v="39.47"/>
    <n v="2"/>
    <n v="3.9470000000000001"/>
    <n v="78.94"/>
    <x v="90"/>
    <x v="473"/>
    <x v="2"/>
    <n v="78.94"/>
    <n v="4.7619047620000003"/>
    <n v="0"/>
    <n v="5"/>
    <n v="96.173500000000004"/>
    <n v="16.840900000000001"/>
  </r>
  <r>
    <x v="843"/>
    <x v="1"/>
    <x v="435"/>
    <x v="1"/>
    <x v="1"/>
    <x v="0"/>
    <x v="2"/>
    <n v="14.87"/>
    <n v="2"/>
    <n v="1.4870000000000001"/>
    <n v="29.74"/>
    <x v="22"/>
    <x v="470"/>
    <x v="2"/>
    <n v="29.74"/>
    <n v="4.7619047620000003"/>
    <n v="0"/>
    <n v="9.3450000000000006"/>
    <n v="96.078500000000005"/>
    <n v="19.763300000000001"/>
  </r>
  <r>
    <x v="844"/>
    <x v="0"/>
    <x v="177"/>
    <x v="0"/>
    <x v="1"/>
    <x v="1"/>
    <x v="5"/>
    <n v="21.32"/>
    <n v="1"/>
    <n v="1.0660000000000001"/>
    <n v="21.32"/>
    <x v="150"/>
    <x v="31"/>
    <x v="1"/>
    <n v="21.32"/>
    <n v="4.7619047620000003"/>
    <n v="0"/>
    <n v="5.9"/>
    <n v="96.173500000000004"/>
    <n v="16.840900000000001"/>
  </r>
  <r>
    <x v="845"/>
    <x v="0"/>
    <x v="378"/>
    <x v="0"/>
    <x v="1"/>
    <x v="1"/>
    <x v="1"/>
    <n v="93.78"/>
    <n v="3"/>
    <n v="14.067"/>
    <n v="281.33999999999997"/>
    <x v="9"/>
    <x v="102"/>
    <x v="2"/>
    <n v="281.33999999999997"/>
    <n v="4.7619047620000003"/>
    <n v="0"/>
    <n v="5.9"/>
    <n v="96.173500000000004"/>
    <n v="16.840900000000001"/>
  </r>
  <r>
    <x v="846"/>
    <x v="0"/>
    <x v="436"/>
    <x v="0"/>
    <x v="1"/>
    <x v="1"/>
    <x v="1"/>
    <n v="73.260000000000005"/>
    <n v="1"/>
    <n v="3.6629999999999998"/>
    <n v="73.260000000000005"/>
    <x v="69"/>
    <x v="182"/>
    <x v="0"/>
    <n v="73.260000000000005"/>
    <n v="4.7619047620000003"/>
    <n v="0"/>
    <n v="9.6999999999999993"/>
    <n v="96.173500000000004"/>
    <n v="16.840900000000001"/>
  </r>
  <r>
    <x v="847"/>
    <x v="1"/>
    <x v="239"/>
    <x v="1"/>
    <x v="1"/>
    <x v="0"/>
    <x v="3"/>
    <n v="22.38"/>
    <n v="1"/>
    <n v="1.119"/>
    <n v="22.38"/>
    <x v="343"/>
    <x v="48"/>
    <x v="2"/>
    <n v="22.38"/>
    <n v="4.7619047620000003"/>
    <n v="0"/>
    <n v="9.0299999999999994"/>
    <n v="96.078500000000005"/>
    <n v="19.763300000000001"/>
  </r>
  <r>
    <x v="848"/>
    <x v="1"/>
    <x v="300"/>
    <x v="1"/>
    <x v="1"/>
    <x v="0"/>
    <x v="2"/>
    <n v="72.88"/>
    <n v="11"/>
    <n v="40.084000000000003"/>
    <n v="801.68"/>
    <x v="344"/>
    <x v="371"/>
    <x v="1"/>
    <n v="655.92"/>
    <n v="4.7619047620000003"/>
    <n v="145.76"/>
    <n v="4.2"/>
    <n v="96.078500000000005"/>
    <n v="19.763300000000001"/>
  </r>
  <r>
    <x v="849"/>
    <x v="0"/>
    <x v="437"/>
    <x v="0"/>
    <x v="1"/>
    <x v="0"/>
    <x v="5"/>
    <n v="99.1"/>
    <n v="6"/>
    <n v="29.73"/>
    <n v="594.6"/>
    <x v="191"/>
    <x v="90"/>
    <x v="1"/>
    <n v="594.6"/>
    <n v="4.7619047620000003"/>
    <n v="0"/>
    <n v="4.2"/>
    <n v="96.173500000000004"/>
    <n v="16.840900000000001"/>
  </r>
  <r>
    <x v="850"/>
    <x v="0"/>
    <x v="438"/>
    <x v="0"/>
    <x v="1"/>
    <x v="1"/>
    <x v="5"/>
    <n v="74.099999999999994"/>
    <n v="1"/>
    <n v="3.7050000000000001"/>
    <n v="74.099999999999994"/>
    <x v="57"/>
    <x v="474"/>
    <x v="1"/>
    <n v="74.099999999999994"/>
    <n v="4.7619047620000003"/>
    <n v="0"/>
    <n v="9.1999999999999993"/>
    <n v="96.173500000000004"/>
    <n v="16.840900000000001"/>
  </r>
  <r>
    <x v="851"/>
    <x v="0"/>
    <x v="301"/>
    <x v="0"/>
    <x v="1"/>
    <x v="0"/>
    <x v="5"/>
    <n v="98.48"/>
    <n v="2"/>
    <n v="9.8480000000000008"/>
    <n v="196.96"/>
    <x v="133"/>
    <x v="33"/>
    <x v="0"/>
    <n v="196.96"/>
    <n v="4.7619047620000003"/>
    <n v="0"/>
    <n v="9.1999999999999993"/>
    <n v="96.173500000000004"/>
    <n v="16.840900000000001"/>
  </r>
  <r>
    <x v="852"/>
    <x v="1"/>
    <x v="55"/>
    <x v="1"/>
    <x v="1"/>
    <x v="1"/>
    <x v="0"/>
    <n v="53.19"/>
    <n v="8"/>
    <n v="21.276"/>
    <n v="425.52"/>
    <x v="209"/>
    <x v="324"/>
    <x v="0"/>
    <n v="372.33"/>
    <n v="4.7619047620000003"/>
    <n v="53.19"/>
    <n v="5.25"/>
    <n v="96.078500000000005"/>
    <n v="19.763300000000001"/>
  </r>
  <r>
    <x v="853"/>
    <x v="2"/>
    <x v="22"/>
    <x v="2"/>
    <x v="1"/>
    <x v="0"/>
    <x v="1"/>
    <n v="52.79"/>
    <n v="14"/>
    <n v="36.953000000000003"/>
    <n v="739.06"/>
    <x v="106"/>
    <x v="452"/>
    <x v="0"/>
    <n v="527.9"/>
    <n v="4.7619047620000003"/>
    <n v="211.16"/>
    <n v="10"/>
    <n v="96.089100000000002"/>
    <n v="21.9588"/>
  </r>
  <r>
    <x v="854"/>
    <x v="0"/>
    <x v="29"/>
    <x v="0"/>
    <x v="1"/>
    <x v="0"/>
    <x v="0"/>
    <n v="95.95"/>
    <n v="5"/>
    <n v="23.987500000000001"/>
    <n v="479.75"/>
    <x v="309"/>
    <x v="239"/>
    <x v="0"/>
    <n v="479.75"/>
    <n v="4.7619047620000003"/>
    <n v="0"/>
    <n v="8.8000000000000007"/>
    <n v="96.173500000000004"/>
    <n v="16.840900000000001"/>
  </r>
  <r>
    <x v="855"/>
    <x v="2"/>
    <x v="133"/>
    <x v="2"/>
    <x v="1"/>
    <x v="0"/>
    <x v="5"/>
    <n v="36.51"/>
    <n v="13"/>
    <n v="23.7315"/>
    <n v="474.63"/>
    <x v="251"/>
    <x v="196"/>
    <x v="1"/>
    <n v="328.59"/>
    <n v="4.7619047620000003"/>
    <n v="146.04"/>
    <n v="5.04"/>
    <n v="96.089100000000002"/>
    <n v="21.9588"/>
  </r>
  <r>
    <x v="856"/>
    <x v="2"/>
    <x v="379"/>
    <x v="2"/>
    <x v="1"/>
    <x v="1"/>
    <x v="2"/>
    <n v="21.12"/>
    <n v="11"/>
    <n v="11.616"/>
    <n v="232.32"/>
    <x v="241"/>
    <x v="475"/>
    <x v="1"/>
    <n v="168.96"/>
    <n v="4.7619047620000003"/>
    <n v="63.36"/>
    <n v="7.56"/>
    <n v="96.089100000000002"/>
    <n v="21.9588"/>
  </r>
  <r>
    <x v="857"/>
    <x v="0"/>
    <x v="144"/>
    <x v="0"/>
    <x v="1"/>
    <x v="0"/>
    <x v="4"/>
    <n v="28.31"/>
    <n v="4"/>
    <n v="5.6619999999999999"/>
    <n v="113.24"/>
    <x v="211"/>
    <x v="476"/>
    <x v="1"/>
    <n v="113.24"/>
    <n v="4.7619047620000003"/>
    <n v="0"/>
    <n v="8.1999999999999993"/>
    <n v="96.173500000000004"/>
    <n v="16.840900000000001"/>
  </r>
  <r>
    <x v="858"/>
    <x v="2"/>
    <x v="308"/>
    <x v="2"/>
    <x v="1"/>
    <x v="1"/>
    <x v="0"/>
    <n v="57.59"/>
    <n v="8"/>
    <n v="23.036000000000001"/>
    <n v="460.72"/>
    <x v="262"/>
    <x v="477"/>
    <x v="1"/>
    <n v="345.54"/>
    <n v="4.7619047620000003"/>
    <n v="115.18"/>
    <n v="6.12"/>
    <n v="96.089100000000002"/>
    <n v="21.9588"/>
  </r>
  <r>
    <x v="859"/>
    <x v="0"/>
    <x v="159"/>
    <x v="0"/>
    <x v="1"/>
    <x v="0"/>
    <x v="3"/>
    <n v="47.63"/>
    <n v="9"/>
    <n v="21.433499999999999"/>
    <n v="428.67"/>
    <x v="76"/>
    <x v="478"/>
    <x v="1"/>
    <n v="428.67"/>
    <n v="4.7619047620000003"/>
    <n v="0"/>
    <n v="5"/>
    <n v="96.173500000000004"/>
    <n v="16.840900000000001"/>
  </r>
  <r>
    <x v="860"/>
    <x v="1"/>
    <x v="173"/>
    <x v="1"/>
    <x v="1"/>
    <x v="0"/>
    <x v="3"/>
    <n v="86.27"/>
    <n v="1"/>
    <n v="4.3135000000000003"/>
    <n v="86.27"/>
    <x v="56"/>
    <x v="38"/>
    <x v="0"/>
    <n v="86.27"/>
    <n v="4.7619047620000003"/>
    <n v="0"/>
    <n v="7.35"/>
    <n v="96.078500000000005"/>
    <n v="19.763300000000001"/>
  </r>
  <r>
    <x v="861"/>
    <x v="0"/>
    <x v="276"/>
    <x v="0"/>
    <x v="1"/>
    <x v="1"/>
    <x v="3"/>
    <n v="12.76"/>
    <n v="2"/>
    <n v="1.276"/>
    <n v="25.52"/>
    <x v="18"/>
    <x v="191"/>
    <x v="0"/>
    <n v="25.52"/>
    <n v="4.7619047620000003"/>
    <n v="0"/>
    <n v="7.8"/>
    <n v="96.173500000000004"/>
    <n v="16.840900000000001"/>
  </r>
  <r>
    <x v="862"/>
    <x v="2"/>
    <x v="26"/>
    <x v="2"/>
    <x v="1"/>
    <x v="0"/>
    <x v="3"/>
    <n v="11.28"/>
    <n v="13"/>
    <n v="7.3319999999999999"/>
    <n v="146.63999999999999"/>
    <x v="3"/>
    <x v="479"/>
    <x v="2"/>
    <n v="101.52"/>
    <n v="4.7619047620000003"/>
    <n v="45.12"/>
    <n v="5.16"/>
    <n v="96.089100000000002"/>
    <n v="21.9588"/>
  </r>
  <r>
    <x v="863"/>
    <x v="2"/>
    <x v="255"/>
    <x v="2"/>
    <x v="1"/>
    <x v="0"/>
    <x v="3"/>
    <n v="51.07"/>
    <n v="10"/>
    <n v="25.535"/>
    <n v="510.7"/>
    <x v="183"/>
    <x v="437"/>
    <x v="1"/>
    <n v="357.49"/>
    <n v="4.7619047620000003"/>
    <n v="153.21"/>
    <n v="8.4"/>
    <n v="96.089100000000002"/>
    <n v="21.9588"/>
  </r>
  <r>
    <x v="864"/>
    <x v="0"/>
    <x v="439"/>
    <x v="0"/>
    <x v="1"/>
    <x v="0"/>
    <x v="3"/>
    <n v="79.59"/>
    <n v="3"/>
    <n v="11.938499999999999"/>
    <n v="238.77"/>
    <x v="90"/>
    <x v="101"/>
    <x v="1"/>
    <n v="238.77"/>
    <n v="4.7619047620000003"/>
    <n v="0"/>
    <n v="6.6"/>
    <n v="96.173500000000004"/>
    <n v="16.840900000000001"/>
  </r>
  <r>
    <x v="865"/>
    <x v="1"/>
    <x v="362"/>
    <x v="1"/>
    <x v="1"/>
    <x v="1"/>
    <x v="0"/>
    <n v="33.81"/>
    <n v="4"/>
    <n v="6.7619999999999996"/>
    <n v="135.24"/>
    <x v="237"/>
    <x v="480"/>
    <x v="0"/>
    <n v="101.43"/>
    <n v="4.7619047620000003"/>
    <n v="33.81"/>
    <n v="7.665"/>
    <n v="96.078500000000005"/>
    <n v="19.763300000000001"/>
  </r>
  <r>
    <x v="866"/>
    <x v="2"/>
    <x v="440"/>
    <x v="2"/>
    <x v="1"/>
    <x v="1"/>
    <x v="3"/>
    <n v="90.53"/>
    <n v="11"/>
    <n v="49.791499999999999"/>
    <n v="995.83"/>
    <x v="336"/>
    <x v="481"/>
    <x v="2"/>
    <n v="724.24"/>
    <n v="4.7619047620000003"/>
    <n v="271.58999999999997"/>
    <n v="7.8"/>
    <n v="96.089100000000002"/>
    <n v="21.9588"/>
  </r>
  <r>
    <x v="867"/>
    <x v="1"/>
    <x v="399"/>
    <x v="1"/>
    <x v="1"/>
    <x v="0"/>
    <x v="5"/>
    <n v="62.82"/>
    <n v="2"/>
    <n v="6.282"/>
    <n v="125.64"/>
    <x v="300"/>
    <x v="482"/>
    <x v="0"/>
    <n v="125.64"/>
    <n v="4.7619047620000003"/>
    <n v="0"/>
    <n v="5.1449999999999996"/>
    <n v="96.078500000000005"/>
    <n v="19.763300000000001"/>
  </r>
  <r>
    <x v="868"/>
    <x v="1"/>
    <x v="441"/>
    <x v="1"/>
    <x v="0"/>
    <x v="1"/>
    <x v="5"/>
    <n v="24.31"/>
    <n v="6"/>
    <n v="7.2930000000000001"/>
    <n v="145.86000000000001"/>
    <x v="168"/>
    <x v="268"/>
    <x v="2"/>
    <n v="72.930000000000007"/>
    <n v="4.7619047620000003"/>
    <n v="72.930000000000007"/>
    <n v="4.5149999999999997"/>
    <n v="96.078500000000005"/>
    <n v="19.763300000000001"/>
  </r>
  <r>
    <x v="869"/>
    <x v="0"/>
    <x v="149"/>
    <x v="0"/>
    <x v="1"/>
    <x v="1"/>
    <x v="5"/>
    <n v="64.59"/>
    <n v="4"/>
    <n v="12.917999999999999"/>
    <n v="258.36"/>
    <x v="225"/>
    <x v="483"/>
    <x v="0"/>
    <n v="258.36"/>
    <n v="4.7619047620000003"/>
    <n v="0"/>
    <n v="9.3000000000000007"/>
    <n v="96.173500000000004"/>
    <n v="16.840900000000001"/>
  </r>
  <r>
    <x v="870"/>
    <x v="0"/>
    <x v="432"/>
    <x v="0"/>
    <x v="0"/>
    <x v="1"/>
    <x v="5"/>
    <n v="24.82"/>
    <n v="10"/>
    <n v="12.41"/>
    <n v="248.2"/>
    <x v="55"/>
    <x v="373"/>
    <x v="2"/>
    <n v="173.74"/>
    <n v="4.7619047620000003"/>
    <n v="74.459999999999994"/>
    <n v="7.1"/>
    <n v="96.173500000000004"/>
    <n v="16.840900000000001"/>
  </r>
  <r>
    <x v="871"/>
    <x v="1"/>
    <x v="33"/>
    <x v="1"/>
    <x v="1"/>
    <x v="1"/>
    <x v="5"/>
    <n v="56.5"/>
    <n v="1"/>
    <n v="2.8250000000000002"/>
    <n v="56.5"/>
    <x v="324"/>
    <x v="484"/>
    <x v="0"/>
    <n v="56.5"/>
    <n v="4.7619047620000003"/>
    <n v="0"/>
    <n v="10"/>
    <n v="96.078500000000005"/>
    <n v="19.763300000000001"/>
  </r>
  <r>
    <x v="872"/>
    <x v="2"/>
    <x v="231"/>
    <x v="2"/>
    <x v="0"/>
    <x v="0"/>
    <x v="1"/>
    <n v="21.43"/>
    <n v="20"/>
    <n v="21.43"/>
    <n v="428.6"/>
    <x v="245"/>
    <x v="159"/>
    <x v="1"/>
    <n v="214.3"/>
    <n v="4.7619047620000003"/>
    <n v="214.3"/>
    <n v="7.44"/>
    <n v="96.089100000000002"/>
    <n v="21.9588"/>
  </r>
  <r>
    <x v="873"/>
    <x v="0"/>
    <x v="442"/>
    <x v="0"/>
    <x v="0"/>
    <x v="1"/>
    <x v="3"/>
    <n v="89.06"/>
    <n v="8"/>
    <n v="35.624000000000002"/>
    <n v="712.48"/>
    <x v="7"/>
    <x v="111"/>
    <x v="1"/>
    <n v="534.36"/>
    <n v="4.7619047620000003"/>
    <n v="178.12"/>
    <n v="9.9"/>
    <n v="96.173500000000004"/>
    <n v="16.840900000000001"/>
  </r>
  <r>
    <x v="874"/>
    <x v="0"/>
    <x v="401"/>
    <x v="0"/>
    <x v="0"/>
    <x v="1"/>
    <x v="4"/>
    <n v="23.29"/>
    <n v="6"/>
    <n v="6.9870000000000001"/>
    <n v="139.74"/>
    <x v="39"/>
    <x v="408"/>
    <x v="2"/>
    <n v="93.16"/>
    <n v="4.7619047620000003"/>
    <n v="46.58"/>
    <n v="5.9"/>
    <n v="96.173500000000004"/>
    <n v="16.840900000000001"/>
  </r>
  <r>
    <x v="875"/>
    <x v="1"/>
    <x v="326"/>
    <x v="1"/>
    <x v="1"/>
    <x v="1"/>
    <x v="4"/>
    <n v="65.260000000000005"/>
    <n v="10"/>
    <n v="32.630000000000003"/>
    <n v="652.6"/>
    <x v="45"/>
    <x v="214"/>
    <x v="0"/>
    <n v="522.08000000000004"/>
    <n v="4.7619047620000003"/>
    <n v="130.52000000000001"/>
    <n v="6.6150000000000002"/>
    <n v="96.078500000000005"/>
    <n v="19.763300000000001"/>
  </r>
  <r>
    <x v="876"/>
    <x v="1"/>
    <x v="83"/>
    <x v="1"/>
    <x v="1"/>
    <x v="1"/>
    <x v="5"/>
    <n v="52.35"/>
    <n v="1"/>
    <n v="2.6175000000000002"/>
    <n v="52.35"/>
    <x v="17"/>
    <x v="438"/>
    <x v="1"/>
    <n v="52.35"/>
    <n v="4.7619047620000003"/>
    <n v="0"/>
    <n v="4.2"/>
    <n v="96.078500000000005"/>
    <n v="19.763300000000001"/>
  </r>
  <r>
    <x v="877"/>
    <x v="2"/>
    <x v="147"/>
    <x v="2"/>
    <x v="1"/>
    <x v="1"/>
    <x v="1"/>
    <n v="39.75"/>
    <n v="1"/>
    <n v="1.9875"/>
    <n v="39.75"/>
    <x v="202"/>
    <x v="99"/>
    <x v="1"/>
    <n v="39.75"/>
    <n v="4.7619047620000003"/>
    <n v="0"/>
    <n v="7.32"/>
    <n v="96.089100000000002"/>
    <n v="21.9588"/>
  </r>
  <r>
    <x v="878"/>
    <x v="0"/>
    <x v="443"/>
    <x v="0"/>
    <x v="1"/>
    <x v="0"/>
    <x v="1"/>
    <n v="90.02"/>
    <n v="8"/>
    <n v="36.008000000000003"/>
    <n v="720.16"/>
    <x v="224"/>
    <x v="394"/>
    <x v="2"/>
    <n v="720.16"/>
    <n v="4.7619047620000003"/>
    <n v="0"/>
    <n v="4.5"/>
    <n v="96.173500000000004"/>
    <n v="16.840900000000001"/>
  </r>
  <r>
    <x v="879"/>
    <x v="2"/>
    <x v="325"/>
    <x v="2"/>
    <x v="1"/>
    <x v="0"/>
    <x v="1"/>
    <n v="12.1"/>
    <n v="11"/>
    <n v="6.6550000000000002"/>
    <n v="133.1"/>
    <x v="194"/>
    <x v="79"/>
    <x v="0"/>
    <n v="96.8"/>
    <n v="4.7619047620000003"/>
    <n v="36.299999999999997"/>
    <n v="10"/>
    <n v="96.089100000000002"/>
    <n v="21.9588"/>
  </r>
  <r>
    <x v="880"/>
    <x v="2"/>
    <x v="9"/>
    <x v="2"/>
    <x v="1"/>
    <x v="0"/>
    <x v="2"/>
    <n v="33.21"/>
    <n v="14"/>
    <n v="23.247"/>
    <n v="464.94"/>
    <x v="299"/>
    <x v="485"/>
    <x v="0"/>
    <n v="332.1"/>
    <n v="4.7619047620000003"/>
    <n v="132.84"/>
    <n v="7.2"/>
    <n v="96.089100000000002"/>
    <n v="21.9588"/>
  </r>
  <r>
    <x v="881"/>
    <x v="1"/>
    <x v="67"/>
    <x v="1"/>
    <x v="1"/>
    <x v="0"/>
    <x v="5"/>
    <n v="10.18"/>
    <n v="10"/>
    <n v="5.09"/>
    <n v="101.8"/>
    <x v="97"/>
    <x v="423"/>
    <x v="2"/>
    <n v="81.44"/>
    <n v="4.7619047620000003"/>
    <n v="20.36"/>
    <n v="9.9749999999999996"/>
    <n v="96.078500000000005"/>
    <n v="19.763300000000001"/>
  </r>
  <r>
    <x v="882"/>
    <x v="2"/>
    <x v="303"/>
    <x v="2"/>
    <x v="1"/>
    <x v="1"/>
    <x v="3"/>
    <n v="31.99"/>
    <n v="14"/>
    <n v="22.393000000000001"/>
    <n v="447.86"/>
    <x v="89"/>
    <x v="486"/>
    <x v="2"/>
    <n v="319.89999999999998"/>
    <n v="4.7619047620000003"/>
    <n v="127.96"/>
    <n v="10"/>
    <n v="96.089100000000002"/>
    <n v="21.9588"/>
  </r>
  <r>
    <x v="883"/>
    <x v="0"/>
    <x v="444"/>
    <x v="0"/>
    <x v="1"/>
    <x v="0"/>
    <x v="4"/>
    <n v="34.42"/>
    <n v="6"/>
    <n v="10.326000000000001"/>
    <n v="206.52"/>
    <x v="124"/>
    <x v="47"/>
    <x v="0"/>
    <n v="206.52"/>
    <n v="4.7619047620000003"/>
    <n v="0"/>
    <n v="7.5"/>
    <n v="96.173500000000004"/>
    <n v="16.840900000000001"/>
  </r>
  <r>
    <x v="884"/>
    <x v="0"/>
    <x v="445"/>
    <x v="0"/>
    <x v="1"/>
    <x v="0"/>
    <x v="2"/>
    <n v="83.34"/>
    <n v="2"/>
    <n v="8.3339999999999996"/>
    <n v="166.68"/>
    <x v="40"/>
    <x v="303"/>
    <x v="1"/>
    <n v="166.68"/>
    <n v="4.7619047620000003"/>
    <n v="0"/>
    <n v="7.6"/>
    <n v="96.173500000000004"/>
    <n v="16.840900000000001"/>
  </r>
  <r>
    <x v="885"/>
    <x v="0"/>
    <x v="438"/>
    <x v="0"/>
    <x v="1"/>
    <x v="1"/>
    <x v="3"/>
    <n v="45.58"/>
    <n v="7"/>
    <n v="15.952999999999999"/>
    <n v="319.06"/>
    <x v="33"/>
    <x v="487"/>
    <x v="1"/>
    <n v="319.06"/>
    <n v="4.7619047620000003"/>
    <n v="0"/>
    <n v="5"/>
    <n v="96.173500000000004"/>
    <n v="16.840900000000001"/>
  </r>
  <r>
    <x v="886"/>
    <x v="0"/>
    <x v="65"/>
    <x v="0"/>
    <x v="1"/>
    <x v="1"/>
    <x v="2"/>
    <n v="87.9"/>
    <n v="1"/>
    <n v="4.3949999999999996"/>
    <n v="87.9"/>
    <x v="257"/>
    <x v="144"/>
    <x v="0"/>
    <n v="87.9"/>
    <n v="4.7619047620000003"/>
    <n v="0"/>
    <n v="6.7"/>
    <n v="96.173500000000004"/>
    <n v="16.840900000000001"/>
  </r>
  <r>
    <x v="887"/>
    <x v="0"/>
    <x v="446"/>
    <x v="0"/>
    <x v="1"/>
    <x v="0"/>
    <x v="1"/>
    <n v="73.47"/>
    <n v="10"/>
    <n v="36.734999999999999"/>
    <n v="734.7"/>
    <x v="153"/>
    <x v="488"/>
    <x v="0"/>
    <n v="734.7"/>
    <n v="4.7619047620000003"/>
    <n v="0"/>
    <n v="9.5"/>
    <n v="96.173500000000004"/>
    <n v="16.840900000000001"/>
  </r>
  <r>
    <x v="888"/>
    <x v="1"/>
    <x v="150"/>
    <x v="1"/>
    <x v="1"/>
    <x v="0"/>
    <x v="5"/>
    <n v="12.19"/>
    <n v="10"/>
    <n v="6.0949999999999998"/>
    <n v="121.9"/>
    <x v="167"/>
    <x v="433"/>
    <x v="0"/>
    <n v="97.52"/>
    <n v="4.7619047620000003"/>
    <n v="24.38"/>
    <n v="7.14"/>
    <n v="96.078500000000005"/>
    <n v="19.763300000000001"/>
  </r>
  <r>
    <x v="889"/>
    <x v="0"/>
    <x v="243"/>
    <x v="0"/>
    <x v="1"/>
    <x v="1"/>
    <x v="3"/>
    <n v="76.92"/>
    <n v="10"/>
    <n v="38.46"/>
    <n v="769.2"/>
    <x v="227"/>
    <x v="267"/>
    <x v="0"/>
    <n v="769.2"/>
    <n v="4.7619047620000003"/>
    <n v="0"/>
    <n v="5.6"/>
    <n v="96.173500000000004"/>
    <n v="16.840900000000001"/>
  </r>
  <r>
    <x v="890"/>
    <x v="1"/>
    <x v="447"/>
    <x v="1"/>
    <x v="1"/>
    <x v="0"/>
    <x v="0"/>
    <n v="83.66"/>
    <n v="6"/>
    <n v="25.097999999999999"/>
    <n v="501.96"/>
    <x v="102"/>
    <x v="306"/>
    <x v="1"/>
    <n v="418.3"/>
    <n v="4.7619047620000003"/>
    <n v="83.66"/>
    <n v="7.56"/>
    <n v="96.078500000000005"/>
    <n v="19.763300000000001"/>
  </r>
  <r>
    <x v="891"/>
    <x v="2"/>
    <x v="263"/>
    <x v="2"/>
    <x v="1"/>
    <x v="0"/>
    <x v="3"/>
    <n v="57.91"/>
    <n v="11"/>
    <n v="31.8505"/>
    <n v="637.01"/>
    <x v="256"/>
    <x v="379"/>
    <x v="1"/>
    <n v="463.28"/>
    <n v="4.7619047620000003"/>
    <n v="173.73"/>
    <n v="9.7200000000000006"/>
    <n v="96.089100000000002"/>
    <n v="21.9588"/>
  </r>
  <r>
    <x v="892"/>
    <x v="1"/>
    <x v="110"/>
    <x v="1"/>
    <x v="1"/>
    <x v="0"/>
    <x v="3"/>
    <n v="92.49"/>
    <n v="6"/>
    <n v="27.747"/>
    <n v="554.94000000000005"/>
    <x v="280"/>
    <x v="489"/>
    <x v="2"/>
    <n v="462.45"/>
    <n v="4.7619047620000003"/>
    <n v="92.49"/>
    <n v="9.0299999999999994"/>
    <n v="96.078500000000005"/>
    <n v="19.763300000000001"/>
  </r>
  <r>
    <x v="893"/>
    <x v="2"/>
    <x v="132"/>
    <x v="2"/>
    <x v="1"/>
    <x v="1"/>
    <x v="3"/>
    <n v="28.38"/>
    <n v="7"/>
    <n v="9.9329999999999998"/>
    <n v="198.66"/>
    <x v="166"/>
    <x v="490"/>
    <x v="1"/>
    <n v="141.9"/>
    <n v="4.7619047620000003"/>
    <n v="56.76"/>
    <n v="10"/>
    <n v="96.089100000000002"/>
    <n v="21.9588"/>
  </r>
  <r>
    <x v="894"/>
    <x v="2"/>
    <x v="28"/>
    <x v="2"/>
    <x v="1"/>
    <x v="1"/>
    <x v="3"/>
    <n v="50.45"/>
    <n v="8"/>
    <n v="20.18"/>
    <n v="403.6"/>
    <x v="61"/>
    <x v="204"/>
    <x v="2"/>
    <n v="302.7"/>
    <n v="4.7619047620000003"/>
    <n v="100.9"/>
    <n v="10"/>
    <n v="96.089100000000002"/>
    <n v="21.9588"/>
  </r>
  <r>
    <x v="895"/>
    <x v="2"/>
    <x v="134"/>
    <x v="2"/>
    <x v="1"/>
    <x v="1"/>
    <x v="3"/>
    <n v="99.16"/>
    <n v="11"/>
    <n v="54.537999999999997"/>
    <n v="1090.76"/>
    <x v="43"/>
    <x v="59"/>
    <x v="2"/>
    <n v="793.28"/>
    <n v="4.7619047620000003"/>
    <n v="297.48"/>
    <n v="5.04"/>
    <n v="96.089100000000002"/>
    <n v="21.9588"/>
  </r>
  <r>
    <x v="896"/>
    <x v="1"/>
    <x v="272"/>
    <x v="1"/>
    <x v="1"/>
    <x v="1"/>
    <x v="3"/>
    <n v="60.74"/>
    <n v="8"/>
    <n v="24.295999999999999"/>
    <n v="485.92"/>
    <x v="109"/>
    <x v="293"/>
    <x v="0"/>
    <n v="425.18"/>
    <n v="4.7619047620000003"/>
    <n v="60.74"/>
    <n v="5.25"/>
    <n v="96.078500000000005"/>
    <n v="19.763300000000001"/>
  </r>
  <r>
    <x v="897"/>
    <x v="1"/>
    <x v="208"/>
    <x v="1"/>
    <x v="1"/>
    <x v="0"/>
    <x v="3"/>
    <n v="47.27"/>
    <n v="7"/>
    <n v="16.544499999999999"/>
    <n v="330.89"/>
    <x v="210"/>
    <x v="79"/>
    <x v="1"/>
    <n v="283.62"/>
    <n v="4.7619047620000003"/>
    <n v="47.27"/>
    <n v="9.24"/>
    <n v="96.078500000000005"/>
    <n v="19.763300000000001"/>
  </r>
  <r>
    <x v="898"/>
    <x v="1"/>
    <x v="141"/>
    <x v="1"/>
    <x v="1"/>
    <x v="1"/>
    <x v="3"/>
    <n v="85.6"/>
    <n v="8"/>
    <n v="34.24"/>
    <n v="684.8"/>
    <x v="155"/>
    <x v="491"/>
    <x v="1"/>
    <n v="599.20000000000005"/>
    <n v="4.7619047620000003"/>
    <n v="85.6"/>
    <n v="5.5650000000000004"/>
    <n v="96.078500000000005"/>
    <n v="19.763300000000001"/>
  </r>
  <r>
    <x v="899"/>
    <x v="0"/>
    <x v="448"/>
    <x v="0"/>
    <x v="1"/>
    <x v="1"/>
    <x v="3"/>
    <n v="35.04"/>
    <n v="9"/>
    <n v="15.768000000000001"/>
    <n v="315.36"/>
    <x v="42"/>
    <x v="151"/>
    <x v="0"/>
    <n v="315.36"/>
    <n v="4.7619047620000003"/>
    <n v="0"/>
    <n v="4.5999999999999996"/>
    <n v="96.173500000000004"/>
    <n v="16.840900000000001"/>
  </r>
  <r>
    <x v="900"/>
    <x v="1"/>
    <x v="449"/>
    <x v="1"/>
    <x v="1"/>
    <x v="0"/>
    <x v="3"/>
    <n v="44.84"/>
    <n v="11"/>
    <n v="24.661999999999999"/>
    <n v="493.24"/>
    <x v="271"/>
    <x v="466"/>
    <x v="2"/>
    <n v="403.56"/>
    <n v="4.7619047620000003"/>
    <n v="89.68"/>
    <n v="7.875"/>
    <n v="96.078500000000005"/>
    <n v="19.763300000000001"/>
  </r>
  <r>
    <x v="901"/>
    <x v="2"/>
    <x v="266"/>
    <x v="2"/>
    <x v="1"/>
    <x v="1"/>
    <x v="3"/>
    <n v="45.97"/>
    <n v="6"/>
    <n v="13.791"/>
    <n v="275.82"/>
    <x v="90"/>
    <x v="110"/>
    <x v="0"/>
    <n v="183.88"/>
    <n v="4.7619047620000003"/>
    <n v="91.94"/>
    <n v="6.12"/>
    <n v="96.089100000000002"/>
    <n v="21.9588"/>
  </r>
  <r>
    <x v="902"/>
    <x v="0"/>
    <x v="431"/>
    <x v="0"/>
    <x v="1"/>
    <x v="0"/>
    <x v="0"/>
    <n v="27.73"/>
    <n v="5"/>
    <n v="6.9325000000000001"/>
    <n v="138.65"/>
    <x v="1"/>
    <x v="277"/>
    <x v="2"/>
    <n v="138.65"/>
    <n v="4.7619047620000003"/>
    <n v="0"/>
    <n v="4.2"/>
    <n v="96.173500000000004"/>
    <n v="16.840900000000001"/>
  </r>
  <r>
    <x v="903"/>
    <x v="0"/>
    <x v="397"/>
    <x v="0"/>
    <x v="1"/>
    <x v="1"/>
    <x v="2"/>
    <n v="11.53"/>
    <n v="7"/>
    <n v="4.0354999999999999"/>
    <n v="80.709999999999994"/>
    <x v="120"/>
    <x v="492"/>
    <x v="1"/>
    <n v="80.709999999999994"/>
    <n v="4.7619047620000003"/>
    <n v="0"/>
    <n v="8.1"/>
    <n v="96.173500000000004"/>
    <n v="16.840900000000001"/>
  </r>
  <r>
    <x v="904"/>
    <x v="1"/>
    <x v="450"/>
    <x v="1"/>
    <x v="1"/>
    <x v="0"/>
    <x v="0"/>
    <n v="58.32"/>
    <n v="2"/>
    <n v="5.8319999999999999"/>
    <n v="116.64"/>
    <x v="340"/>
    <x v="179"/>
    <x v="0"/>
    <n v="116.64"/>
    <n v="4.7619047620000003"/>
    <n v="0"/>
    <n v="6.3"/>
    <n v="96.078500000000005"/>
    <n v="19.763300000000001"/>
  </r>
  <r>
    <x v="905"/>
    <x v="1"/>
    <x v="107"/>
    <x v="1"/>
    <x v="1"/>
    <x v="0"/>
    <x v="4"/>
    <n v="78.38"/>
    <n v="5"/>
    <n v="19.594999999999999"/>
    <n v="391.9"/>
    <x v="289"/>
    <x v="493"/>
    <x v="1"/>
    <n v="313.52"/>
    <n v="4.7619047620000003"/>
    <n v="78.38"/>
    <n v="8.2949999999999999"/>
    <n v="96.078500000000005"/>
    <n v="19.763300000000001"/>
  </r>
  <r>
    <x v="906"/>
    <x v="1"/>
    <x v="451"/>
    <x v="1"/>
    <x v="1"/>
    <x v="1"/>
    <x v="0"/>
    <n v="84.61"/>
    <n v="12"/>
    <n v="50.765999999999998"/>
    <n v="1015.32"/>
    <x v="211"/>
    <x v="262"/>
    <x v="2"/>
    <n v="846.1"/>
    <n v="4.7619047620000003"/>
    <n v="169.22"/>
    <n v="9.24"/>
    <n v="96.078500000000005"/>
    <n v="19.763300000000001"/>
  </r>
  <r>
    <x v="907"/>
    <x v="2"/>
    <x v="314"/>
    <x v="2"/>
    <x v="1"/>
    <x v="0"/>
    <x v="0"/>
    <n v="82.88"/>
    <n v="7"/>
    <n v="29.007999999999999"/>
    <n v="580.16"/>
    <x v="334"/>
    <x v="402"/>
    <x v="2"/>
    <n v="414.4"/>
    <n v="4.7619047620000003"/>
    <n v="165.76"/>
    <n v="7.92"/>
    <n v="96.089100000000002"/>
    <n v="21.9588"/>
  </r>
  <r>
    <x v="908"/>
    <x v="0"/>
    <x v="452"/>
    <x v="0"/>
    <x v="1"/>
    <x v="0"/>
    <x v="2"/>
    <n v="79.540000000000006"/>
    <n v="2"/>
    <n v="7.9539999999999997"/>
    <n v="159.08000000000001"/>
    <x v="72"/>
    <x v="269"/>
    <x v="0"/>
    <n v="159.08000000000001"/>
    <n v="4.7619047620000003"/>
    <n v="0"/>
    <n v="6.2"/>
    <n v="96.173500000000004"/>
    <n v="16.840900000000001"/>
  </r>
  <r>
    <x v="909"/>
    <x v="2"/>
    <x v="39"/>
    <x v="2"/>
    <x v="1"/>
    <x v="0"/>
    <x v="4"/>
    <n v="49.01"/>
    <n v="14"/>
    <n v="34.307000000000002"/>
    <n v="686.14"/>
    <x v="30"/>
    <x v="494"/>
    <x v="2"/>
    <n v="490.1"/>
    <n v="4.7619047620000003"/>
    <n v="196.04"/>
    <n v="5.04"/>
    <n v="96.089100000000002"/>
    <n v="21.9588"/>
  </r>
  <r>
    <x v="910"/>
    <x v="2"/>
    <x v="420"/>
    <x v="2"/>
    <x v="1"/>
    <x v="0"/>
    <x v="2"/>
    <n v="29.15"/>
    <n v="4"/>
    <n v="5.83"/>
    <n v="116.6"/>
    <x v="186"/>
    <x v="245"/>
    <x v="2"/>
    <n v="87.45"/>
    <n v="4.7619047620000003"/>
    <n v="29.15"/>
    <n v="8.76"/>
    <n v="96.089100000000002"/>
    <n v="21.9588"/>
  </r>
  <r>
    <x v="911"/>
    <x v="1"/>
    <x v="270"/>
    <x v="1"/>
    <x v="1"/>
    <x v="0"/>
    <x v="1"/>
    <n v="56.13"/>
    <n v="5"/>
    <n v="14.032500000000001"/>
    <n v="280.64999999999998"/>
    <x v="140"/>
    <x v="354"/>
    <x v="0"/>
    <n v="224.52"/>
    <n v="4.7619047620000003"/>
    <n v="56.13"/>
    <n v="9.0299999999999994"/>
    <n v="96.078500000000005"/>
    <n v="19.763300000000001"/>
  </r>
  <r>
    <x v="912"/>
    <x v="0"/>
    <x v="188"/>
    <x v="0"/>
    <x v="1"/>
    <x v="0"/>
    <x v="4"/>
    <n v="93.12"/>
    <n v="8"/>
    <n v="37.247999999999998"/>
    <n v="744.96"/>
    <x v="296"/>
    <x v="495"/>
    <x v="1"/>
    <n v="744.96"/>
    <n v="4.7619047620000003"/>
    <n v="0"/>
    <n v="6.8"/>
    <n v="96.173500000000004"/>
    <n v="16.840900000000001"/>
  </r>
  <r>
    <x v="913"/>
    <x v="0"/>
    <x v="453"/>
    <x v="0"/>
    <x v="1"/>
    <x v="1"/>
    <x v="5"/>
    <n v="51.34"/>
    <n v="8"/>
    <n v="20.536000000000001"/>
    <n v="410.72"/>
    <x v="203"/>
    <x v="158"/>
    <x v="0"/>
    <n v="410.72"/>
    <n v="4.7619047620000003"/>
    <n v="0"/>
    <n v="7.6"/>
    <n v="96.173500000000004"/>
    <n v="16.840900000000001"/>
  </r>
  <r>
    <x v="914"/>
    <x v="0"/>
    <x v="454"/>
    <x v="0"/>
    <x v="1"/>
    <x v="0"/>
    <x v="2"/>
    <n v="99.6"/>
    <n v="3"/>
    <n v="14.94"/>
    <n v="298.8"/>
    <x v="88"/>
    <x v="40"/>
    <x v="1"/>
    <n v="298.8"/>
    <n v="4.7619047620000003"/>
    <n v="0"/>
    <n v="5.8"/>
    <n v="96.173500000000004"/>
    <n v="16.840900000000001"/>
  </r>
  <r>
    <x v="915"/>
    <x v="1"/>
    <x v="313"/>
    <x v="1"/>
    <x v="1"/>
    <x v="0"/>
    <x v="1"/>
    <n v="35.49"/>
    <n v="7"/>
    <n v="12.4215"/>
    <n v="248.43"/>
    <x v="213"/>
    <x v="343"/>
    <x v="1"/>
    <n v="212.94"/>
    <n v="4.7619047620000003"/>
    <n v="35.49"/>
    <n v="4.3049999999999997"/>
    <n v="96.078500000000005"/>
    <n v="19.763300000000001"/>
  </r>
  <r>
    <x v="916"/>
    <x v="1"/>
    <x v="130"/>
    <x v="1"/>
    <x v="1"/>
    <x v="1"/>
    <x v="3"/>
    <n v="42.85"/>
    <n v="1"/>
    <n v="2.1425000000000001"/>
    <n v="42.85"/>
    <x v="345"/>
    <x v="29"/>
    <x v="2"/>
    <n v="42.85"/>
    <n v="4.7619047620000003"/>
    <n v="0"/>
    <n v="9.7650000000000006"/>
    <n v="96.078500000000005"/>
    <n v="19.763300000000001"/>
  </r>
  <r>
    <x v="917"/>
    <x v="0"/>
    <x v="236"/>
    <x v="0"/>
    <x v="1"/>
    <x v="0"/>
    <x v="5"/>
    <n v="94.67"/>
    <n v="4"/>
    <n v="18.934000000000001"/>
    <n v="378.68"/>
    <x v="89"/>
    <x v="153"/>
    <x v="1"/>
    <n v="378.68"/>
    <n v="4.7619047620000003"/>
    <n v="0"/>
    <n v="6.8"/>
    <n v="96.173500000000004"/>
    <n v="16.840900000000001"/>
  </r>
  <r>
    <x v="918"/>
    <x v="2"/>
    <x v="174"/>
    <x v="2"/>
    <x v="1"/>
    <x v="1"/>
    <x v="4"/>
    <n v="68.97"/>
    <n v="4"/>
    <n v="13.794"/>
    <n v="275.88"/>
    <x v="77"/>
    <x v="55"/>
    <x v="0"/>
    <n v="206.91"/>
    <n v="4.7619047620000003"/>
    <n v="68.97"/>
    <n v="10"/>
    <n v="96.089100000000002"/>
    <n v="21.9588"/>
  </r>
  <r>
    <x v="919"/>
    <x v="2"/>
    <x v="157"/>
    <x v="2"/>
    <x v="1"/>
    <x v="0"/>
    <x v="1"/>
    <n v="26.26"/>
    <n v="4"/>
    <n v="5.2519999999999998"/>
    <n v="105.04"/>
    <x v="110"/>
    <x v="482"/>
    <x v="0"/>
    <n v="78.78"/>
    <n v="4.7619047620000003"/>
    <n v="26.26"/>
    <n v="7.56"/>
    <n v="96.089100000000002"/>
    <n v="21.9588"/>
  </r>
  <r>
    <x v="920"/>
    <x v="1"/>
    <x v="455"/>
    <x v="1"/>
    <x v="1"/>
    <x v="0"/>
    <x v="4"/>
    <n v="35.79"/>
    <n v="11"/>
    <n v="19.6845"/>
    <n v="393.69"/>
    <x v="196"/>
    <x v="379"/>
    <x v="2"/>
    <n v="322.11"/>
    <n v="4.7619047620000003"/>
    <n v="71.58"/>
    <n v="5.3550000000000004"/>
    <n v="96.078500000000005"/>
    <n v="19.763300000000001"/>
  </r>
  <r>
    <x v="921"/>
    <x v="2"/>
    <x v="9"/>
    <x v="2"/>
    <x v="1"/>
    <x v="0"/>
    <x v="4"/>
    <n v="16.37"/>
    <n v="8"/>
    <n v="6.548"/>
    <n v="130.96"/>
    <x v="194"/>
    <x v="496"/>
    <x v="1"/>
    <n v="98.22"/>
    <n v="4.7619047620000003"/>
    <n v="32.74"/>
    <n v="8.4"/>
    <n v="96.089100000000002"/>
    <n v="21.9588"/>
  </r>
  <r>
    <x v="922"/>
    <x v="1"/>
    <x v="456"/>
    <x v="1"/>
    <x v="1"/>
    <x v="0"/>
    <x v="4"/>
    <n v="12.73"/>
    <n v="2"/>
    <n v="1.2729999999999999"/>
    <n v="25.46"/>
    <x v="284"/>
    <x v="334"/>
    <x v="2"/>
    <n v="25.46"/>
    <n v="4.7619047620000003"/>
    <n v="0"/>
    <n v="5.46"/>
    <n v="96.078500000000005"/>
    <n v="19.763300000000001"/>
  </r>
  <r>
    <x v="923"/>
    <x v="1"/>
    <x v="430"/>
    <x v="1"/>
    <x v="1"/>
    <x v="0"/>
    <x v="3"/>
    <n v="83.14"/>
    <n v="8"/>
    <n v="33.256"/>
    <n v="665.12"/>
    <x v="238"/>
    <x v="359"/>
    <x v="2"/>
    <n v="581.98"/>
    <n v="4.7619047620000003"/>
    <n v="83.14"/>
    <n v="6.93"/>
    <n v="96.078500000000005"/>
    <n v="19.763300000000001"/>
  </r>
  <r>
    <x v="924"/>
    <x v="1"/>
    <x v="381"/>
    <x v="1"/>
    <x v="1"/>
    <x v="0"/>
    <x v="3"/>
    <n v="35.22"/>
    <n v="7"/>
    <n v="12.327"/>
    <n v="246.54"/>
    <x v="133"/>
    <x v="497"/>
    <x v="0"/>
    <n v="211.32"/>
    <n v="4.7619047620000003"/>
    <n v="35.22"/>
    <n v="6.8250000000000002"/>
    <n v="96.078500000000005"/>
    <n v="19.763300000000001"/>
  </r>
  <r>
    <x v="925"/>
    <x v="2"/>
    <x v="161"/>
    <x v="2"/>
    <x v="1"/>
    <x v="0"/>
    <x v="1"/>
    <n v="13.78"/>
    <n v="6"/>
    <n v="4.1340000000000003"/>
    <n v="82.68"/>
    <x v="23"/>
    <x v="498"/>
    <x v="0"/>
    <n v="55.12"/>
    <n v="4.7619047620000003"/>
    <n v="27.56"/>
    <n v="10"/>
    <n v="96.089100000000002"/>
    <n v="21.9588"/>
  </r>
  <r>
    <x v="926"/>
    <x v="2"/>
    <x v="457"/>
    <x v="2"/>
    <x v="1"/>
    <x v="1"/>
    <x v="3"/>
    <n v="88.31"/>
    <n v="1"/>
    <n v="4.4154999999999998"/>
    <n v="88.31"/>
    <x v="41"/>
    <x v="180"/>
    <x v="2"/>
    <n v="88.31"/>
    <n v="4.7619047620000003"/>
    <n v="0"/>
    <n v="6.24"/>
    <n v="96.089100000000002"/>
    <n v="21.9588"/>
  </r>
  <r>
    <x v="927"/>
    <x v="0"/>
    <x v="18"/>
    <x v="0"/>
    <x v="1"/>
    <x v="0"/>
    <x v="0"/>
    <n v="39.619999999999997"/>
    <n v="9"/>
    <n v="17.829000000000001"/>
    <n v="356.58"/>
    <x v="37"/>
    <x v="297"/>
    <x v="2"/>
    <n v="356.58"/>
    <n v="4.7619047620000003"/>
    <n v="0"/>
    <n v="6.8"/>
    <n v="96.173500000000004"/>
    <n v="16.840900000000001"/>
  </r>
  <r>
    <x v="928"/>
    <x v="2"/>
    <x v="31"/>
    <x v="2"/>
    <x v="1"/>
    <x v="0"/>
    <x v="1"/>
    <n v="88.25"/>
    <n v="13"/>
    <n v="57.362499999999997"/>
    <n v="1147.25"/>
    <x v="186"/>
    <x v="259"/>
    <x v="2"/>
    <n v="794.25"/>
    <n v="4.7619047620000003"/>
    <n v="353"/>
    <n v="9.1199999999999992"/>
    <n v="96.089100000000002"/>
    <n v="21.9588"/>
  </r>
  <r>
    <x v="929"/>
    <x v="2"/>
    <x v="303"/>
    <x v="2"/>
    <x v="1"/>
    <x v="1"/>
    <x v="3"/>
    <n v="25.31"/>
    <n v="3"/>
    <n v="3.7965"/>
    <n v="75.930000000000007"/>
    <x v="176"/>
    <x v="206"/>
    <x v="0"/>
    <n v="50.62"/>
    <n v="4.7619047620000003"/>
    <n v="25.31"/>
    <n v="8.64"/>
    <n v="96.089100000000002"/>
    <n v="21.9588"/>
  </r>
  <r>
    <x v="930"/>
    <x v="2"/>
    <x v="9"/>
    <x v="2"/>
    <x v="1"/>
    <x v="1"/>
    <x v="4"/>
    <n v="99.92"/>
    <n v="8"/>
    <n v="39.968000000000004"/>
    <n v="799.36"/>
    <x v="221"/>
    <x v="499"/>
    <x v="0"/>
    <n v="599.52"/>
    <n v="4.7619047620000003"/>
    <n v="199.84"/>
    <n v="8.52"/>
    <n v="96.089100000000002"/>
    <n v="21.9588"/>
  </r>
  <r>
    <x v="931"/>
    <x v="1"/>
    <x v="458"/>
    <x v="1"/>
    <x v="1"/>
    <x v="0"/>
    <x v="3"/>
    <n v="83.35"/>
    <n v="2"/>
    <n v="8.3350000000000009"/>
    <n v="166.7"/>
    <x v="21"/>
    <x v="500"/>
    <x v="2"/>
    <n v="166.7"/>
    <n v="4.7619047620000003"/>
    <n v="0"/>
    <n v="9.9749999999999996"/>
    <n v="96.078500000000005"/>
    <n v="19.763300000000001"/>
  </r>
  <r>
    <x v="932"/>
    <x v="0"/>
    <x v="353"/>
    <x v="0"/>
    <x v="1"/>
    <x v="0"/>
    <x v="3"/>
    <n v="74.44"/>
    <n v="10"/>
    <n v="37.22"/>
    <n v="744.4"/>
    <x v="43"/>
    <x v="335"/>
    <x v="0"/>
    <n v="744.4"/>
    <n v="4.7619047620000003"/>
    <n v="0"/>
    <n v="5.0999999999999996"/>
    <n v="96.173500000000004"/>
    <n v="16.840900000000001"/>
  </r>
  <r>
    <x v="933"/>
    <x v="1"/>
    <x v="57"/>
    <x v="1"/>
    <x v="1"/>
    <x v="1"/>
    <x v="3"/>
    <n v="64.08"/>
    <n v="8"/>
    <n v="25.632000000000001"/>
    <n v="512.64"/>
    <x v="346"/>
    <x v="62"/>
    <x v="0"/>
    <n v="448.56"/>
    <n v="4.7619047620000003"/>
    <n v="64.08"/>
    <n v="7.98"/>
    <n v="96.078500000000005"/>
    <n v="19.763300000000001"/>
  </r>
  <r>
    <x v="934"/>
    <x v="2"/>
    <x v="71"/>
    <x v="2"/>
    <x v="1"/>
    <x v="0"/>
    <x v="3"/>
    <n v="63.15"/>
    <n v="8"/>
    <n v="25.26"/>
    <n v="505.2"/>
    <x v="156"/>
    <x v="181"/>
    <x v="0"/>
    <n v="378.9"/>
    <n v="4.7619047620000003"/>
    <n v="126.3"/>
    <n v="10"/>
    <n v="96.089100000000002"/>
    <n v="21.9588"/>
  </r>
  <r>
    <x v="935"/>
    <x v="1"/>
    <x v="237"/>
    <x v="1"/>
    <x v="1"/>
    <x v="1"/>
    <x v="3"/>
    <n v="85.72"/>
    <n v="4"/>
    <n v="17.143999999999998"/>
    <n v="342.88"/>
    <x v="257"/>
    <x v="123"/>
    <x v="0"/>
    <n v="257.16000000000003"/>
    <n v="4.7619047620000003"/>
    <n v="85.72"/>
    <n v="5.3550000000000004"/>
    <n v="96.078500000000005"/>
    <n v="19.763300000000001"/>
  </r>
  <r>
    <x v="936"/>
    <x v="1"/>
    <x v="459"/>
    <x v="1"/>
    <x v="1"/>
    <x v="0"/>
    <x v="3"/>
    <n v="78.89"/>
    <n v="8"/>
    <n v="31.556000000000001"/>
    <n v="631.12"/>
    <x v="125"/>
    <x v="28"/>
    <x v="0"/>
    <n v="552.23"/>
    <n v="4.7619047620000003"/>
    <n v="78.89"/>
    <n v="7.875"/>
    <n v="96.078500000000005"/>
    <n v="19.763300000000001"/>
  </r>
  <r>
    <x v="937"/>
    <x v="0"/>
    <x v="460"/>
    <x v="0"/>
    <x v="1"/>
    <x v="0"/>
    <x v="3"/>
    <n v="89.48"/>
    <n v="5"/>
    <n v="22.37"/>
    <n v="447.4"/>
    <x v="324"/>
    <x v="392"/>
    <x v="1"/>
    <n v="447.4"/>
    <n v="4.7619047620000003"/>
    <n v="0"/>
    <n v="7.4"/>
    <n v="96.173500000000004"/>
    <n v="16.840900000000001"/>
  </r>
  <r>
    <x v="938"/>
    <x v="0"/>
    <x v="137"/>
    <x v="0"/>
    <x v="1"/>
    <x v="0"/>
    <x v="3"/>
    <n v="92.09"/>
    <n v="3"/>
    <n v="13.813499999999999"/>
    <n v="276.27"/>
    <x v="102"/>
    <x v="501"/>
    <x v="1"/>
    <n v="276.27"/>
    <n v="4.7619047620000003"/>
    <n v="0"/>
    <n v="4.2"/>
    <n v="96.173500000000004"/>
    <n v="16.840900000000001"/>
  </r>
  <r>
    <x v="939"/>
    <x v="1"/>
    <x v="362"/>
    <x v="1"/>
    <x v="1"/>
    <x v="0"/>
    <x v="3"/>
    <n v="57.29"/>
    <n v="7"/>
    <n v="20.051500000000001"/>
    <n v="401.03"/>
    <x v="82"/>
    <x v="72"/>
    <x v="0"/>
    <n v="343.74"/>
    <n v="4.7619047620000003"/>
    <n v="57.29"/>
    <n v="6.1950000000000003"/>
    <n v="96.078500000000005"/>
    <n v="19.763300000000001"/>
  </r>
  <r>
    <x v="940"/>
    <x v="0"/>
    <x v="461"/>
    <x v="0"/>
    <x v="1"/>
    <x v="1"/>
    <x v="3"/>
    <n v="66.52"/>
    <n v="4"/>
    <n v="13.304"/>
    <n v="266.08"/>
    <x v="232"/>
    <x v="92"/>
    <x v="0"/>
    <n v="266.08"/>
    <n v="4.7619047620000003"/>
    <n v="0"/>
    <n v="6.9"/>
    <n v="96.173500000000004"/>
    <n v="16.840900000000001"/>
  </r>
  <r>
    <x v="941"/>
    <x v="1"/>
    <x v="366"/>
    <x v="1"/>
    <x v="1"/>
    <x v="1"/>
    <x v="3"/>
    <n v="99.82"/>
    <n v="11"/>
    <n v="54.901000000000003"/>
    <n v="1098.02"/>
    <x v="342"/>
    <x v="100"/>
    <x v="1"/>
    <n v="898.38"/>
    <n v="4.7619047620000003"/>
    <n v="199.64"/>
    <n v="6.93"/>
    <n v="96.078500000000005"/>
    <n v="19.763300000000001"/>
  </r>
  <r>
    <x v="942"/>
    <x v="0"/>
    <x v="433"/>
    <x v="0"/>
    <x v="1"/>
    <x v="0"/>
    <x v="4"/>
    <n v="45.68"/>
    <n v="10"/>
    <n v="22.84"/>
    <n v="456.8"/>
    <x v="289"/>
    <x v="171"/>
    <x v="0"/>
    <n v="456.8"/>
    <n v="4.7619047620000003"/>
    <n v="0"/>
    <n v="5.7"/>
    <n v="96.173500000000004"/>
    <n v="16.840900000000001"/>
  </r>
  <r>
    <x v="943"/>
    <x v="0"/>
    <x v="93"/>
    <x v="0"/>
    <x v="1"/>
    <x v="1"/>
    <x v="0"/>
    <n v="50.79"/>
    <n v="5"/>
    <n v="12.6975"/>
    <n v="253.95"/>
    <x v="29"/>
    <x v="222"/>
    <x v="2"/>
    <n v="253.95"/>
    <n v="4.7619047620000003"/>
    <n v="0"/>
    <n v="5.3"/>
    <n v="96.173500000000004"/>
    <n v="16.840900000000001"/>
  </r>
  <r>
    <x v="944"/>
    <x v="0"/>
    <x v="290"/>
    <x v="0"/>
    <x v="1"/>
    <x v="1"/>
    <x v="0"/>
    <n v="10.08"/>
    <n v="7"/>
    <n v="3.528"/>
    <n v="70.56"/>
    <x v="169"/>
    <x v="253"/>
    <x v="1"/>
    <n v="70.56"/>
    <n v="4.7619047620000003"/>
    <n v="0"/>
    <n v="4.2"/>
    <n v="96.173500000000004"/>
    <n v="16.840900000000001"/>
  </r>
  <r>
    <x v="945"/>
    <x v="0"/>
    <x v="462"/>
    <x v="0"/>
    <x v="1"/>
    <x v="0"/>
    <x v="1"/>
    <n v="93.88"/>
    <n v="7"/>
    <n v="32.857999999999997"/>
    <n v="657.16"/>
    <x v="44"/>
    <x v="159"/>
    <x v="2"/>
    <n v="657.16"/>
    <n v="4.7619047620000003"/>
    <n v="0"/>
    <n v="7.3"/>
    <n v="96.173500000000004"/>
    <n v="16.840900000000001"/>
  </r>
  <r>
    <x v="946"/>
    <x v="1"/>
    <x v="152"/>
    <x v="1"/>
    <x v="1"/>
    <x v="1"/>
    <x v="1"/>
    <n v="84.25"/>
    <n v="2"/>
    <n v="8.4250000000000007"/>
    <n v="168.5"/>
    <x v="347"/>
    <x v="385"/>
    <x v="2"/>
    <n v="168.5"/>
    <n v="4.7619047620000003"/>
    <n v="0"/>
    <n v="5.5650000000000004"/>
    <n v="96.078500000000005"/>
    <n v="19.763300000000001"/>
  </r>
  <r>
    <x v="947"/>
    <x v="2"/>
    <x v="328"/>
    <x v="2"/>
    <x v="1"/>
    <x v="1"/>
    <x v="5"/>
    <n v="53.78"/>
    <n v="1"/>
    <n v="2.6890000000000001"/>
    <n v="53.78"/>
    <x v="45"/>
    <x v="430"/>
    <x v="0"/>
    <n v="53.78"/>
    <n v="4.7619047620000003"/>
    <n v="0"/>
    <n v="5.64"/>
    <n v="96.089100000000002"/>
    <n v="21.9588"/>
  </r>
  <r>
    <x v="948"/>
    <x v="1"/>
    <x v="456"/>
    <x v="1"/>
    <x v="1"/>
    <x v="1"/>
    <x v="4"/>
    <n v="35.81"/>
    <n v="6"/>
    <n v="10.743"/>
    <n v="214.86"/>
    <x v="86"/>
    <x v="114"/>
    <x v="0"/>
    <n v="179.05"/>
    <n v="4.7619047620000003"/>
    <n v="35.81"/>
    <n v="8.2949999999999999"/>
    <n v="96.078500000000005"/>
    <n v="19.763300000000001"/>
  </r>
  <r>
    <x v="949"/>
    <x v="2"/>
    <x v="321"/>
    <x v="2"/>
    <x v="1"/>
    <x v="0"/>
    <x v="2"/>
    <n v="26.43"/>
    <n v="11"/>
    <n v="14.5365"/>
    <n v="290.73"/>
    <x v="244"/>
    <x v="442"/>
    <x v="0"/>
    <n v="211.44"/>
    <n v="4.7619047620000003"/>
    <n v="79.290000000000006"/>
    <n v="10"/>
    <n v="96.089100000000002"/>
    <n v="21.9588"/>
  </r>
  <r>
    <x v="950"/>
    <x v="2"/>
    <x v="118"/>
    <x v="2"/>
    <x v="1"/>
    <x v="1"/>
    <x v="0"/>
    <n v="39.909999999999997"/>
    <n v="4"/>
    <n v="7.9820000000000002"/>
    <n v="159.63999999999999"/>
    <x v="62"/>
    <x v="343"/>
    <x v="0"/>
    <n v="119.73"/>
    <n v="4.7619047620000003"/>
    <n v="39.909999999999997"/>
    <n v="10"/>
    <n v="96.089100000000002"/>
    <n v="21.9588"/>
  </r>
  <r>
    <x v="951"/>
    <x v="2"/>
    <x v="303"/>
    <x v="2"/>
    <x v="0"/>
    <x v="0"/>
    <x v="4"/>
    <n v="21.9"/>
    <n v="6"/>
    <n v="6.57"/>
    <n v="131.4"/>
    <x v="149"/>
    <x v="362"/>
    <x v="0"/>
    <n v="65.7"/>
    <n v="4.7619047620000003"/>
    <n v="65.7"/>
    <n v="5.64"/>
    <n v="96.089100000000002"/>
    <n v="21.9588"/>
  </r>
  <r>
    <x v="952"/>
    <x v="2"/>
    <x v="15"/>
    <x v="2"/>
    <x v="0"/>
    <x v="0"/>
    <x v="2"/>
    <n v="62.85"/>
    <n v="8"/>
    <n v="25.14"/>
    <n v="502.8"/>
    <x v="48"/>
    <x v="93"/>
    <x v="0"/>
    <n v="251.4"/>
    <n v="4.7619047620000003"/>
    <n v="251.4"/>
    <n v="10"/>
    <n v="96.089100000000002"/>
    <n v="21.9588"/>
  </r>
  <r>
    <x v="953"/>
    <x v="1"/>
    <x v="311"/>
    <x v="1"/>
    <x v="0"/>
    <x v="0"/>
    <x v="2"/>
    <n v="21.04"/>
    <n v="7"/>
    <n v="7.3639999999999999"/>
    <n v="147.28"/>
    <x v="177"/>
    <x v="139"/>
    <x v="1"/>
    <n v="84.16"/>
    <n v="4.7619047620000003"/>
    <n v="63.12"/>
    <n v="7.98"/>
    <n v="96.078500000000005"/>
    <n v="19.763300000000001"/>
  </r>
  <r>
    <x v="954"/>
    <x v="2"/>
    <x v="180"/>
    <x v="2"/>
    <x v="0"/>
    <x v="1"/>
    <x v="4"/>
    <n v="65.91"/>
    <n v="11"/>
    <n v="36.250500000000002"/>
    <n v="725.01"/>
    <x v="230"/>
    <x v="393"/>
    <x v="1"/>
    <n v="395.46"/>
    <n v="4.7619047620000003"/>
    <n v="329.55"/>
    <n v="6.84"/>
    <n v="96.089100000000002"/>
    <n v="21.9588"/>
  </r>
  <r>
    <x v="955"/>
    <x v="0"/>
    <x v="117"/>
    <x v="0"/>
    <x v="1"/>
    <x v="0"/>
    <x v="5"/>
    <n v="42.57"/>
    <n v="7"/>
    <n v="14.8995"/>
    <n v="297.99"/>
    <x v="246"/>
    <x v="159"/>
    <x v="1"/>
    <n v="297.99"/>
    <n v="4.7619047620000003"/>
    <n v="0"/>
    <n v="6.8"/>
    <n v="96.173500000000004"/>
    <n v="16.840900000000001"/>
  </r>
  <r>
    <x v="956"/>
    <x v="1"/>
    <x v="79"/>
    <x v="1"/>
    <x v="0"/>
    <x v="1"/>
    <x v="2"/>
    <n v="50.49"/>
    <n v="15"/>
    <n v="37.8675"/>
    <n v="757.35"/>
    <x v="58"/>
    <x v="361"/>
    <x v="1"/>
    <n v="454.41"/>
    <n v="4.7619047620000003"/>
    <n v="302.94"/>
    <n v="5.67"/>
    <n v="96.078500000000005"/>
    <n v="19.763300000000001"/>
  </r>
  <r>
    <x v="957"/>
    <x v="2"/>
    <x v="128"/>
    <x v="2"/>
    <x v="1"/>
    <x v="1"/>
    <x v="1"/>
    <n v="46.02"/>
    <n v="8"/>
    <n v="18.408000000000001"/>
    <n v="368.16"/>
    <x v="321"/>
    <x v="57"/>
    <x v="1"/>
    <n v="276.12"/>
    <n v="4.7619047620000003"/>
    <n v="92.04"/>
    <n v="8.52"/>
    <n v="96.089100000000002"/>
    <n v="21.9588"/>
  </r>
  <r>
    <x v="958"/>
    <x v="1"/>
    <x v="34"/>
    <x v="1"/>
    <x v="1"/>
    <x v="0"/>
    <x v="4"/>
    <n v="15.8"/>
    <n v="12"/>
    <n v="9.48"/>
    <n v="189.6"/>
    <x v="0"/>
    <x v="348"/>
    <x v="1"/>
    <n v="158"/>
    <n v="4.7619047620000003"/>
    <n v="31.6"/>
    <n v="8.19"/>
    <n v="96.078500000000005"/>
    <n v="19.763300000000001"/>
  </r>
  <r>
    <x v="959"/>
    <x v="0"/>
    <x v="463"/>
    <x v="0"/>
    <x v="0"/>
    <x v="0"/>
    <x v="2"/>
    <n v="98.66"/>
    <n v="13"/>
    <n v="64.129000000000005"/>
    <n v="1282.58"/>
    <x v="238"/>
    <x v="133"/>
    <x v="1"/>
    <n v="887.94"/>
    <n v="4.7619047620000003"/>
    <n v="394.64"/>
    <n v="8.4"/>
    <n v="96.173500000000004"/>
    <n v="16.840900000000001"/>
  </r>
  <r>
    <x v="960"/>
    <x v="1"/>
    <x v="313"/>
    <x v="1"/>
    <x v="0"/>
    <x v="1"/>
    <x v="5"/>
    <n v="91.98"/>
    <n v="1"/>
    <n v="4.5990000000000002"/>
    <n v="91.98"/>
    <x v="18"/>
    <x v="406"/>
    <x v="1"/>
    <n v="91.98"/>
    <n v="4.7619047620000003"/>
    <n v="0"/>
    <n v="10"/>
    <n v="96.078500000000005"/>
    <n v="19.763300000000001"/>
  </r>
  <r>
    <x v="961"/>
    <x v="0"/>
    <x v="373"/>
    <x v="0"/>
    <x v="0"/>
    <x v="1"/>
    <x v="1"/>
    <n v="20.89"/>
    <n v="3"/>
    <n v="3.1335000000000002"/>
    <n v="62.67"/>
    <x v="226"/>
    <x v="40"/>
    <x v="1"/>
    <n v="41.78"/>
    <n v="4.7619047620000003"/>
    <n v="20.89"/>
    <n v="9.8000000000000007"/>
    <n v="96.173500000000004"/>
    <n v="16.840900000000001"/>
  </r>
  <r>
    <x v="962"/>
    <x v="0"/>
    <x v="221"/>
    <x v="0"/>
    <x v="1"/>
    <x v="0"/>
    <x v="5"/>
    <n v="15.5"/>
    <n v="1"/>
    <n v="0.77500000000000002"/>
    <n v="15.5"/>
    <x v="203"/>
    <x v="502"/>
    <x v="2"/>
    <n v="15.5"/>
    <n v="4.7619047620000003"/>
    <n v="0"/>
    <n v="7.4"/>
    <n v="96.173500000000004"/>
    <n v="16.840900000000001"/>
  </r>
  <r>
    <x v="963"/>
    <x v="1"/>
    <x v="450"/>
    <x v="1"/>
    <x v="0"/>
    <x v="1"/>
    <x v="1"/>
    <n v="96.82"/>
    <n v="6"/>
    <n v="29.045999999999999"/>
    <n v="580.91999999999996"/>
    <x v="53"/>
    <x v="291"/>
    <x v="1"/>
    <n v="290.45999999999998"/>
    <n v="4.7619047620000003"/>
    <n v="290.45999999999998"/>
    <n v="7.0350000000000001"/>
    <n v="96.078500000000005"/>
    <n v="19.763300000000001"/>
  </r>
  <r>
    <x v="964"/>
    <x v="2"/>
    <x v="203"/>
    <x v="2"/>
    <x v="1"/>
    <x v="1"/>
    <x v="2"/>
    <n v="33.33"/>
    <n v="3"/>
    <n v="4.9995000000000003"/>
    <n v="99.99"/>
    <x v="290"/>
    <x v="400"/>
    <x v="2"/>
    <n v="66.66"/>
    <n v="4.7619047620000003"/>
    <n v="33.33"/>
    <n v="7.68"/>
    <n v="96.089100000000002"/>
    <n v="21.9588"/>
  </r>
  <r>
    <x v="965"/>
    <x v="2"/>
    <x v="210"/>
    <x v="2"/>
    <x v="1"/>
    <x v="0"/>
    <x v="5"/>
    <n v="38.270000000000003"/>
    <n v="3"/>
    <n v="5.7404999999999999"/>
    <n v="114.81"/>
    <x v="267"/>
    <x v="503"/>
    <x v="2"/>
    <n v="76.540000000000006"/>
    <n v="4.7619047620000003"/>
    <n v="38.270000000000003"/>
    <n v="6.96"/>
    <n v="96.089100000000002"/>
    <n v="21.9588"/>
  </r>
  <r>
    <x v="966"/>
    <x v="0"/>
    <x v="170"/>
    <x v="0"/>
    <x v="1"/>
    <x v="0"/>
    <x v="5"/>
    <n v="33.299999999999997"/>
    <n v="9"/>
    <n v="14.984999999999999"/>
    <n v="299.7"/>
    <x v="130"/>
    <x v="398"/>
    <x v="0"/>
    <n v="299.7"/>
    <n v="4.7619047620000003"/>
    <n v="0"/>
    <n v="7.2"/>
    <n v="96.173500000000004"/>
    <n v="16.840900000000001"/>
  </r>
  <r>
    <x v="967"/>
    <x v="0"/>
    <x v="464"/>
    <x v="0"/>
    <x v="0"/>
    <x v="1"/>
    <x v="5"/>
    <n v="81.010000000000005"/>
    <n v="4"/>
    <n v="16.202000000000002"/>
    <n v="324.04000000000002"/>
    <x v="331"/>
    <x v="197"/>
    <x v="2"/>
    <n v="243.03"/>
    <n v="4.7619047620000003"/>
    <n v="81.010000000000005"/>
    <n v="9.3000000000000007"/>
    <n v="96.173500000000004"/>
    <n v="16.840900000000001"/>
  </r>
  <r>
    <x v="968"/>
    <x v="0"/>
    <x v="373"/>
    <x v="0"/>
    <x v="1"/>
    <x v="0"/>
    <x v="5"/>
    <n v="15.8"/>
    <n v="3"/>
    <n v="2.37"/>
    <n v="47.4"/>
    <x v="64"/>
    <x v="454"/>
    <x v="1"/>
    <n v="47.4"/>
    <n v="4.7619047620000003"/>
    <n v="0"/>
    <n v="9.5"/>
    <n v="96.173500000000004"/>
    <n v="16.840900000000001"/>
  </r>
  <r>
    <x v="969"/>
    <x v="2"/>
    <x v="78"/>
    <x v="2"/>
    <x v="0"/>
    <x v="0"/>
    <x v="5"/>
    <n v="34.49"/>
    <n v="10"/>
    <n v="17.245000000000001"/>
    <n v="344.9"/>
    <x v="93"/>
    <x v="143"/>
    <x v="2"/>
    <n v="172.45"/>
    <n v="4.7619047620000003"/>
    <n v="172.45"/>
    <n v="10"/>
    <n v="96.089100000000002"/>
    <n v="21.9588"/>
  </r>
  <r>
    <x v="970"/>
    <x v="2"/>
    <x v="314"/>
    <x v="2"/>
    <x v="0"/>
    <x v="0"/>
    <x v="2"/>
    <n v="84.63"/>
    <n v="20"/>
    <n v="84.63"/>
    <n v="1692.6"/>
    <x v="348"/>
    <x v="150"/>
    <x v="2"/>
    <n v="846.3"/>
    <n v="4.7619047620000003"/>
    <n v="846.3"/>
    <n v="10"/>
    <n v="96.089100000000002"/>
    <n v="21.9588"/>
  </r>
  <r>
    <x v="971"/>
    <x v="2"/>
    <x v="158"/>
    <x v="2"/>
    <x v="0"/>
    <x v="1"/>
    <x v="4"/>
    <n v="36.909999999999997"/>
    <n v="14"/>
    <n v="25.837"/>
    <n v="516.74"/>
    <x v="18"/>
    <x v="477"/>
    <x v="0"/>
    <n v="258.37"/>
    <n v="4.7619047620000003"/>
    <n v="258.37"/>
    <n v="8.0399999999999991"/>
    <n v="96.089100000000002"/>
    <n v="21.9588"/>
  </r>
  <r>
    <x v="972"/>
    <x v="2"/>
    <x v="402"/>
    <x v="2"/>
    <x v="1"/>
    <x v="1"/>
    <x v="1"/>
    <n v="87.08"/>
    <n v="10"/>
    <n v="43.54"/>
    <n v="870.8"/>
    <x v="83"/>
    <x v="504"/>
    <x v="1"/>
    <n v="609.55999999999995"/>
    <n v="4.7619047620000003"/>
    <n v="261.24"/>
    <n v="6.6"/>
    <n v="96.089100000000002"/>
    <n v="21.9588"/>
  </r>
  <r>
    <x v="973"/>
    <x v="0"/>
    <x v="465"/>
    <x v="0"/>
    <x v="1"/>
    <x v="1"/>
    <x v="3"/>
    <n v="80.08"/>
    <n v="3"/>
    <n v="12.012"/>
    <n v="240.24"/>
    <x v="232"/>
    <x v="406"/>
    <x v="1"/>
    <n v="240.24"/>
    <n v="4.7619047620000003"/>
    <n v="0"/>
    <n v="5.4"/>
    <n v="96.173500000000004"/>
    <n v="16.840900000000001"/>
  </r>
  <r>
    <x v="974"/>
    <x v="1"/>
    <x v="466"/>
    <x v="1"/>
    <x v="1"/>
    <x v="1"/>
    <x v="3"/>
    <n v="86.13"/>
    <n v="2"/>
    <n v="8.6129999999999995"/>
    <n v="172.26"/>
    <x v="200"/>
    <x v="422"/>
    <x v="1"/>
    <n v="172.26"/>
    <n v="4.7619047620000003"/>
    <n v="0"/>
    <n v="8.61"/>
    <n v="96.078500000000005"/>
    <n v="19.763300000000001"/>
  </r>
  <r>
    <x v="975"/>
    <x v="2"/>
    <x v="254"/>
    <x v="2"/>
    <x v="0"/>
    <x v="1"/>
    <x v="3"/>
    <n v="49.92"/>
    <n v="4"/>
    <n v="9.984"/>
    <n v="199.68"/>
    <x v="85"/>
    <x v="479"/>
    <x v="2"/>
    <n v="99.84"/>
    <n v="4.7619047620000003"/>
    <n v="99.84"/>
    <n v="8.4"/>
    <n v="96.089100000000002"/>
    <n v="21.9588"/>
  </r>
  <r>
    <x v="976"/>
    <x v="0"/>
    <x v="467"/>
    <x v="0"/>
    <x v="1"/>
    <x v="0"/>
    <x v="3"/>
    <n v="74.66"/>
    <n v="4"/>
    <n v="14.932"/>
    <n v="298.64"/>
    <x v="109"/>
    <x v="17"/>
    <x v="1"/>
    <n v="298.64"/>
    <n v="4.7619047620000003"/>
    <n v="0"/>
    <n v="8.5"/>
    <n v="96.173500000000004"/>
    <n v="16.840900000000001"/>
  </r>
  <r>
    <x v="977"/>
    <x v="2"/>
    <x v="98"/>
    <x v="2"/>
    <x v="0"/>
    <x v="1"/>
    <x v="3"/>
    <n v="26.6"/>
    <n v="11"/>
    <n v="14.63"/>
    <n v="292.60000000000002"/>
    <x v="300"/>
    <x v="50"/>
    <x v="0"/>
    <n v="159.6"/>
    <n v="4.7619047620000003"/>
    <n v="133"/>
    <n v="5.88"/>
    <n v="96.089100000000002"/>
    <n v="21.9588"/>
  </r>
  <r>
    <x v="978"/>
    <x v="2"/>
    <x v="158"/>
    <x v="2"/>
    <x v="1"/>
    <x v="0"/>
    <x v="3"/>
    <n v="25.45"/>
    <n v="1"/>
    <n v="1.2725"/>
    <n v="25.45"/>
    <x v="301"/>
    <x v="397"/>
    <x v="2"/>
    <n v="25.45"/>
    <n v="4.7619047620000003"/>
    <n v="0"/>
    <n v="6.12"/>
    <n v="96.089100000000002"/>
    <n v="21.9588"/>
  </r>
  <r>
    <x v="979"/>
    <x v="2"/>
    <x v="325"/>
    <x v="2"/>
    <x v="1"/>
    <x v="0"/>
    <x v="3"/>
    <n v="67.77"/>
    <n v="1"/>
    <n v="3.3885000000000001"/>
    <n v="67.77"/>
    <x v="16"/>
    <x v="413"/>
    <x v="2"/>
    <n v="67.77"/>
    <n v="4.7619047620000003"/>
    <n v="0"/>
    <n v="7.8"/>
    <n v="96.089100000000002"/>
    <n v="21.9588"/>
  </r>
  <r>
    <x v="980"/>
    <x v="1"/>
    <x v="50"/>
    <x v="1"/>
    <x v="0"/>
    <x v="1"/>
    <x v="3"/>
    <n v="59.59"/>
    <n v="7"/>
    <n v="20.8565"/>
    <n v="417.13"/>
    <x v="78"/>
    <x v="69"/>
    <x v="1"/>
    <n v="238.36"/>
    <n v="4.7619047620000003"/>
    <n v="178.77"/>
    <n v="10"/>
    <n v="96.078500000000005"/>
    <n v="19.763300000000001"/>
  </r>
  <r>
    <x v="981"/>
    <x v="0"/>
    <x v="431"/>
    <x v="0"/>
    <x v="1"/>
    <x v="1"/>
    <x v="3"/>
    <n v="58.15"/>
    <n v="4"/>
    <n v="11.63"/>
    <n v="232.6"/>
    <x v="216"/>
    <x v="292"/>
    <x v="1"/>
    <n v="232.6"/>
    <n v="4.7619047620000003"/>
    <n v="0"/>
    <n v="8.4"/>
    <n v="96.173500000000004"/>
    <n v="16.840900000000001"/>
  </r>
  <r>
    <x v="982"/>
    <x v="0"/>
    <x v="468"/>
    <x v="0"/>
    <x v="0"/>
    <x v="0"/>
    <x v="3"/>
    <n v="97.48"/>
    <n v="13"/>
    <n v="63.362000000000002"/>
    <n v="1267.24"/>
    <x v="204"/>
    <x v="401"/>
    <x v="0"/>
    <n v="877.32"/>
    <n v="4.7619047620000003"/>
    <n v="389.92"/>
    <n v="7.4"/>
    <n v="96.173500000000004"/>
    <n v="16.840900000000001"/>
  </r>
  <r>
    <x v="983"/>
    <x v="1"/>
    <x v="418"/>
    <x v="1"/>
    <x v="1"/>
    <x v="1"/>
    <x v="0"/>
    <n v="99.96"/>
    <n v="8"/>
    <n v="39.984000000000002"/>
    <n v="799.68"/>
    <x v="239"/>
    <x v="373"/>
    <x v="1"/>
    <n v="699.72"/>
    <n v="4.7619047620000003"/>
    <n v="99.96"/>
    <n v="6.4050000000000002"/>
    <n v="96.078500000000005"/>
    <n v="19.763300000000001"/>
  </r>
  <r>
    <x v="984"/>
    <x v="1"/>
    <x v="469"/>
    <x v="1"/>
    <x v="1"/>
    <x v="1"/>
    <x v="1"/>
    <n v="96.37"/>
    <n v="8"/>
    <n v="38.548000000000002"/>
    <n v="770.96"/>
    <x v="74"/>
    <x v="335"/>
    <x v="1"/>
    <n v="674.59"/>
    <n v="4.7619047620000003"/>
    <n v="96.37"/>
    <n v="6.3"/>
    <n v="96.078500000000005"/>
    <n v="19.763300000000001"/>
  </r>
  <r>
    <x v="985"/>
    <x v="2"/>
    <x v="32"/>
    <x v="2"/>
    <x v="1"/>
    <x v="0"/>
    <x v="5"/>
    <n v="63.71"/>
    <n v="7"/>
    <n v="22.298500000000001"/>
    <n v="445.97"/>
    <x v="116"/>
    <x v="171"/>
    <x v="0"/>
    <n v="318.55"/>
    <n v="4.7619047620000003"/>
    <n v="127.42"/>
    <n v="10"/>
    <n v="96.089100000000002"/>
    <n v="21.9588"/>
  </r>
  <r>
    <x v="986"/>
    <x v="2"/>
    <x v="457"/>
    <x v="2"/>
    <x v="1"/>
    <x v="0"/>
    <x v="0"/>
    <n v="14.76"/>
    <n v="3"/>
    <n v="2.214"/>
    <n v="44.28"/>
    <x v="117"/>
    <x v="51"/>
    <x v="0"/>
    <n v="29.52"/>
    <n v="4.7619047620000003"/>
    <n v="14.76"/>
    <n v="5.16"/>
    <n v="96.089100000000002"/>
    <n v="21.9588"/>
  </r>
  <r>
    <x v="987"/>
    <x v="2"/>
    <x v="348"/>
    <x v="2"/>
    <x v="0"/>
    <x v="1"/>
    <x v="0"/>
    <n v="62"/>
    <n v="15"/>
    <n v="46.5"/>
    <n v="930"/>
    <x v="219"/>
    <x v="168"/>
    <x v="2"/>
    <n v="496"/>
    <n v="4.7619047620000003"/>
    <n v="434"/>
    <n v="7.44"/>
    <n v="96.089100000000002"/>
    <n v="21.9588"/>
  </r>
  <r>
    <x v="988"/>
    <x v="1"/>
    <x v="52"/>
    <x v="1"/>
    <x v="0"/>
    <x v="1"/>
    <x v="5"/>
    <n v="82.34"/>
    <n v="17"/>
    <n v="69.989000000000004"/>
    <n v="1399.78"/>
    <x v="233"/>
    <x v="505"/>
    <x v="0"/>
    <n v="823.4"/>
    <n v="4.7619047620000003"/>
    <n v="576.38"/>
    <n v="4.5149999999999997"/>
    <n v="96.078500000000005"/>
    <n v="19.763300000000001"/>
  </r>
  <r>
    <x v="989"/>
    <x v="2"/>
    <x v="412"/>
    <x v="2"/>
    <x v="0"/>
    <x v="1"/>
    <x v="5"/>
    <n v="75.37"/>
    <n v="15"/>
    <n v="56.527500000000003"/>
    <n v="1130.55"/>
    <x v="266"/>
    <x v="52"/>
    <x v="2"/>
    <n v="602.96"/>
    <n v="4.7619047620000003"/>
    <n v="527.59"/>
    <n v="10"/>
    <n v="96.089100000000002"/>
    <n v="21.9588"/>
  </r>
  <r>
    <x v="990"/>
    <x v="0"/>
    <x v="24"/>
    <x v="0"/>
    <x v="1"/>
    <x v="0"/>
    <x v="5"/>
    <n v="56.56"/>
    <n v="5"/>
    <n v="14.14"/>
    <n v="282.8"/>
    <x v="312"/>
    <x v="216"/>
    <x v="2"/>
    <n v="282.8"/>
    <n v="4.7619047620000003"/>
    <n v="0"/>
    <n v="4.5"/>
    <n v="96.173500000000004"/>
    <n v="16.840900000000001"/>
  </r>
  <r>
    <x v="991"/>
    <x v="2"/>
    <x v="420"/>
    <x v="2"/>
    <x v="1"/>
    <x v="0"/>
    <x v="5"/>
    <n v="76.599999999999994"/>
    <n v="14"/>
    <n v="53.62"/>
    <n v="1072.4000000000001"/>
    <x v="77"/>
    <x v="397"/>
    <x v="0"/>
    <n v="766"/>
    <n v="4.7619047620000003"/>
    <n v="306.39999999999998"/>
    <n v="7.2"/>
    <n v="96.089100000000002"/>
    <n v="21.9588"/>
  </r>
  <r>
    <x v="992"/>
    <x v="0"/>
    <x v="288"/>
    <x v="0"/>
    <x v="1"/>
    <x v="1"/>
    <x v="5"/>
    <n v="58.03"/>
    <n v="2"/>
    <n v="5.8029999999999999"/>
    <n v="116.06"/>
    <x v="23"/>
    <x v="351"/>
    <x v="0"/>
    <n v="116.06"/>
    <n v="4.7619047620000003"/>
    <n v="0"/>
    <n v="8.8000000000000007"/>
    <n v="96.173500000000004"/>
    <n v="16.840900000000001"/>
  </r>
  <r>
    <x v="993"/>
    <x v="2"/>
    <x v="308"/>
    <x v="2"/>
    <x v="1"/>
    <x v="1"/>
    <x v="5"/>
    <n v="17.489999999999998"/>
    <n v="14"/>
    <n v="12.243"/>
    <n v="244.86"/>
    <x v="231"/>
    <x v="476"/>
    <x v="0"/>
    <n v="174.9"/>
    <n v="4.7619047620000003"/>
    <n v="69.959999999999994"/>
    <n v="7.92"/>
    <n v="96.089100000000002"/>
    <n v="21.9588"/>
  </r>
  <r>
    <x v="994"/>
    <x v="1"/>
    <x v="268"/>
    <x v="1"/>
    <x v="0"/>
    <x v="0"/>
    <x v="5"/>
    <n v="60.95"/>
    <n v="1"/>
    <n v="3.0474999999999999"/>
    <n v="60.95"/>
    <x v="102"/>
    <x v="335"/>
    <x v="0"/>
    <n v="60.95"/>
    <n v="4.7619047620000003"/>
    <n v="0"/>
    <n v="6.1950000000000003"/>
    <n v="96.078500000000005"/>
    <n v="19.763300000000001"/>
  </r>
  <r>
    <x v="995"/>
    <x v="1"/>
    <x v="429"/>
    <x v="1"/>
    <x v="1"/>
    <x v="1"/>
    <x v="5"/>
    <n v="40.35"/>
    <n v="1"/>
    <n v="2.0175000000000001"/>
    <n v="40.35"/>
    <x v="13"/>
    <x v="190"/>
    <x v="0"/>
    <n v="40.35"/>
    <n v="4.7619047620000003"/>
    <n v="0"/>
    <n v="6.51"/>
    <n v="96.078500000000005"/>
    <n v="19.763300000000001"/>
  </r>
  <r>
    <x v="996"/>
    <x v="2"/>
    <x v="266"/>
    <x v="2"/>
    <x v="1"/>
    <x v="0"/>
    <x v="5"/>
    <n v="97.38"/>
    <n v="14"/>
    <n v="68.165999999999997"/>
    <n v="1363.32"/>
    <x v="313"/>
    <x v="361"/>
    <x v="0"/>
    <n v="973.8"/>
    <n v="4.7619047620000003"/>
    <n v="389.52"/>
    <n v="5.28"/>
    <n v="96.089100000000002"/>
    <n v="21.9588"/>
  </r>
  <r>
    <x v="997"/>
    <x v="0"/>
    <x v="470"/>
    <x v="0"/>
    <x v="0"/>
    <x v="1"/>
    <x v="5"/>
    <n v="31.84"/>
    <n v="1"/>
    <n v="1.5920000000000001"/>
    <n v="31.84"/>
    <x v="198"/>
    <x v="93"/>
    <x v="1"/>
    <n v="31.84"/>
    <n v="4.7619047620000003"/>
    <n v="0"/>
    <n v="7.7"/>
    <n v="96.173500000000004"/>
    <n v="16.840900000000001"/>
  </r>
  <r>
    <x v="998"/>
    <x v="0"/>
    <x v="280"/>
    <x v="0"/>
    <x v="1"/>
    <x v="1"/>
    <x v="5"/>
    <n v="65.819999999999993"/>
    <n v="1"/>
    <n v="3.2909999999999999"/>
    <n v="65.819999999999993"/>
    <x v="67"/>
    <x v="439"/>
    <x v="1"/>
    <n v="65.819999999999993"/>
    <n v="4.7619047620000003"/>
    <n v="0"/>
    <n v="4.0999999999999996"/>
    <n v="96.173500000000004"/>
    <n v="16.840900000000001"/>
  </r>
  <r>
    <x v="999"/>
    <x v="0"/>
    <x v="131"/>
    <x v="0"/>
    <x v="0"/>
    <x v="0"/>
    <x v="5"/>
    <n v="88.34"/>
    <n v="10"/>
    <n v="44.17"/>
    <n v="883.4"/>
    <x v="281"/>
    <x v="360"/>
    <x v="1"/>
    <n v="618.38"/>
    <n v="4.7619047620000003"/>
    <n v="265.02"/>
    <n v="6.6"/>
    <n v="96.173500000000004"/>
    <n v="16.8409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5AC7B0-AD44-4E66-AAE6-366B3D13708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1" firstHeaderRow="1" firstDataRow="1" firstDataCol="1"/>
  <pivotFields count="24">
    <pivotField showAll="0"/>
    <pivotField showAll="0">
      <items count="4">
        <item x="0"/>
        <item x="2"/>
        <item x="1"/>
        <item t="default"/>
      </items>
    </pivotField>
    <pivotField showAll="0"/>
    <pivotField showAll="0">
      <items count="4">
        <item x="2"/>
        <item x="1"/>
        <item x="0"/>
        <item t="default"/>
      </items>
    </pivotField>
    <pivotField axis="axisRow" showAll="0">
      <items count="3">
        <item sd="0" x="0"/>
        <item sd="0" x="1"/>
        <item t="default"/>
      </items>
    </pivotField>
    <pivotField axis="axisRow" showAll="0">
      <items count="3">
        <item x="0"/>
        <item x="1"/>
        <item t="default"/>
      </items>
    </pivotField>
    <pivotField showAll="0">
      <items count="7">
        <item x="1"/>
        <item x="5"/>
        <item x="2"/>
        <item x="0"/>
        <item x="4"/>
        <item x="3"/>
        <item t="default"/>
      </items>
    </pivotField>
    <pivotField showAll="0"/>
    <pivotField showAll="0"/>
    <pivotField showAll="0"/>
    <pivotField dataField="1" showAll="0"/>
    <pivotField numFmtId="14" showAll="0">
      <items count="350">
        <item x="320"/>
        <item x="267"/>
        <item x="210"/>
        <item x="119"/>
        <item x="5"/>
        <item x="250"/>
        <item x="157"/>
        <item x="252"/>
        <item x="44"/>
        <item x="120"/>
        <item x="305"/>
        <item x="54"/>
        <item x="262"/>
        <item x="198"/>
        <item x="197"/>
        <item x="31"/>
        <item x="26"/>
        <item x="341"/>
        <item x="298"/>
        <item x="111"/>
        <item x="332"/>
        <item x="293"/>
        <item x="121"/>
        <item x="128"/>
        <item x="56"/>
        <item x="231"/>
        <item x="202"/>
        <item x="184"/>
        <item x="233"/>
        <item x="82"/>
        <item x="188"/>
        <item x="288"/>
        <item x="316"/>
        <item x="46"/>
        <item x="39"/>
        <item x="65"/>
        <item x="322"/>
        <item x="163"/>
        <item x="192"/>
        <item x="112"/>
        <item x="153"/>
        <item x="23"/>
        <item x="290"/>
        <item x="172"/>
        <item x="53"/>
        <item x="156"/>
        <item x="0"/>
        <item x="42"/>
        <item x="151"/>
        <item x="134"/>
        <item x="45"/>
        <item x="244"/>
        <item x="66"/>
        <item x="114"/>
        <item x="345"/>
        <item x="193"/>
        <item x="230"/>
        <item x="225"/>
        <item x="191"/>
        <item x="28"/>
        <item x="158"/>
        <item x="331"/>
        <item x="17"/>
        <item x="348"/>
        <item x="24"/>
        <item x="143"/>
        <item x="76"/>
        <item x="334"/>
        <item x="176"/>
        <item x="228"/>
        <item x="324"/>
        <item x="140"/>
        <item x="213"/>
        <item x="67"/>
        <item x="61"/>
        <item x="336"/>
        <item x="185"/>
        <item x="104"/>
        <item x="177"/>
        <item x="94"/>
        <item x="159"/>
        <item x="347"/>
        <item x="160"/>
        <item x="4"/>
        <item x="232"/>
        <item x="85"/>
        <item x="214"/>
        <item x="49"/>
        <item x="314"/>
        <item x="245"/>
        <item x="327"/>
        <item x="216"/>
        <item x="295"/>
        <item x="9"/>
        <item x="284"/>
        <item x="118"/>
        <item x="310"/>
        <item x="175"/>
        <item x="174"/>
        <item x="204"/>
        <item x="196"/>
        <item x="330"/>
        <item x="83"/>
        <item x="91"/>
        <item x="113"/>
        <item x="215"/>
        <item x="127"/>
        <item x="81"/>
        <item x="257"/>
        <item x="187"/>
        <item x="99"/>
        <item x="41"/>
        <item x="280"/>
        <item x="52"/>
        <item x="22"/>
        <item x="84"/>
        <item x="282"/>
        <item x="106"/>
        <item x="189"/>
        <item x="344"/>
        <item x="57"/>
        <item x="19"/>
        <item x="34"/>
        <item x="78"/>
        <item x="277"/>
        <item x="319"/>
        <item x="337"/>
        <item x="152"/>
        <item x="229"/>
        <item x="329"/>
        <item x="211"/>
        <item x="335"/>
        <item x="270"/>
        <item x="306"/>
        <item x="182"/>
        <item x="79"/>
        <item x="90"/>
        <item x="136"/>
        <item x="323"/>
        <item x="126"/>
        <item x="1"/>
        <item x="226"/>
        <item x="237"/>
        <item x="307"/>
        <item x="278"/>
        <item x="242"/>
        <item x="68"/>
        <item x="48"/>
        <item x="29"/>
        <item x="130"/>
        <item x="246"/>
        <item x="222"/>
        <item x="135"/>
        <item x="248"/>
        <item x="103"/>
        <item x="107"/>
        <item x="274"/>
        <item x="7"/>
        <item x="32"/>
        <item x="207"/>
        <item x="171"/>
        <item x="129"/>
        <item x="63"/>
        <item x="86"/>
        <item x="150"/>
        <item x="261"/>
        <item x="294"/>
        <item x="205"/>
        <item x="110"/>
        <item x="309"/>
        <item x="74"/>
        <item x="55"/>
        <item x="315"/>
        <item x="206"/>
        <item x="203"/>
        <item x="209"/>
        <item x="346"/>
        <item x="219"/>
        <item x="201"/>
        <item x="264"/>
        <item x="178"/>
        <item x="18"/>
        <item x="131"/>
        <item x="256"/>
        <item x="35"/>
        <item x="137"/>
        <item x="170"/>
        <item x="15"/>
        <item x="96"/>
        <item x="221"/>
        <item x="255"/>
        <item x="89"/>
        <item x="218"/>
        <item x="317"/>
        <item x="69"/>
        <item x="10"/>
        <item x="200"/>
        <item x="194"/>
        <item x="303"/>
        <item x="238"/>
        <item x="291"/>
        <item x="301"/>
        <item x="165"/>
        <item x="269"/>
        <item x="243"/>
        <item x="155"/>
        <item x="162"/>
        <item x="236"/>
        <item x="223"/>
        <item x="260"/>
        <item x="180"/>
        <item x="146"/>
        <item x="199"/>
        <item x="258"/>
        <item x="98"/>
        <item x="72"/>
        <item x="108"/>
        <item x="342"/>
        <item x="312"/>
        <item x="116"/>
        <item x="30"/>
        <item x="308"/>
        <item x="289"/>
        <item x="321"/>
        <item x="259"/>
        <item x="287"/>
        <item x="12"/>
        <item x="11"/>
        <item x="115"/>
        <item x="195"/>
        <item x="279"/>
        <item x="40"/>
        <item x="97"/>
        <item x="276"/>
        <item x="161"/>
        <item x="27"/>
        <item x="154"/>
        <item x="283"/>
        <item x="263"/>
        <item x="208"/>
        <item x="101"/>
        <item x="328"/>
        <item x="183"/>
        <item x="296"/>
        <item x="167"/>
        <item x="51"/>
        <item x="102"/>
        <item x="36"/>
        <item x="224"/>
        <item x="64"/>
        <item x="297"/>
        <item x="254"/>
        <item x="311"/>
        <item x="247"/>
        <item x="179"/>
        <item x="59"/>
        <item x="168"/>
        <item x="286"/>
        <item x="33"/>
        <item x="333"/>
        <item x="292"/>
        <item x="241"/>
        <item x="13"/>
        <item x="304"/>
        <item x="62"/>
        <item x="340"/>
        <item x="186"/>
        <item x="43"/>
        <item x="139"/>
        <item x="234"/>
        <item x="122"/>
        <item x="281"/>
        <item x="240"/>
        <item x="338"/>
        <item x="38"/>
        <item x="144"/>
        <item x="47"/>
        <item x="235"/>
        <item x="20"/>
        <item x="212"/>
        <item x="239"/>
        <item x="217"/>
        <item x="325"/>
        <item x="109"/>
        <item x="166"/>
        <item x="95"/>
        <item x="253"/>
        <item x="37"/>
        <item x="77"/>
        <item x="147"/>
        <item x="273"/>
        <item x="142"/>
        <item x="164"/>
        <item x="272"/>
        <item x="148"/>
        <item x="149"/>
        <item x="87"/>
        <item x="25"/>
        <item x="125"/>
        <item x="75"/>
        <item x="300"/>
        <item x="265"/>
        <item x="181"/>
        <item x="3"/>
        <item x="133"/>
        <item x="326"/>
        <item x="169"/>
        <item x="58"/>
        <item x="302"/>
        <item x="124"/>
        <item x="141"/>
        <item x="14"/>
        <item x="251"/>
        <item x="8"/>
        <item x="268"/>
        <item x="117"/>
        <item x="249"/>
        <item x="105"/>
        <item x="285"/>
        <item x="339"/>
        <item x="16"/>
        <item x="80"/>
        <item x="343"/>
        <item x="73"/>
        <item x="271"/>
        <item x="132"/>
        <item x="60"/>
        <item x="93"/>
        <item x="190"/>
        <item x="71"/>
        <item x="88"/>
        <item x="173"/>
        <item x="6"/>
        <item x="299"/>
        <item x="70"/>
        <item x="145"/>
        <item x="92"/>
        <item x="227"/>
        <item x="266"/>
        <item x="220"/>
        <item x="318"/>
        <item x="100"/>
        <item x="21"/>
        <item x="138"/>
        <item x="2"/>
        <item x="275"/>
        <item x="313"/>
        <item x="50"/>
        <item x="12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2">
    <field x="4"/>
    <field x="5"/>
  </rowFields>
  <rowItems count="3">
    <i>
      <x/>
    </i>
    <i>
      <x v="1"/>
    </i>
    <i t="grand">
      <x/>
    </i>
  </rowItems>
  <colItems count="1">
    <i/>
  </colItems>
  <dataFields count="1">
    <dataField name="Sum of Total"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FD1C3B-87E0-4571-8A70-41D3032008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11" firstHeaderRow="1" firstDataRow="1" firstDataCol="1"/>
  <pivotFields count="24">
    <pivotField showAll="0"/>
    <pivotField axis="axisRow" showAll="0">
      <items count="4">
        <item sd="0" x="0"/>
        <item sd="0" x="2"/>
        <item sd="0" x="1"/>
        <item t="default"/>
      </items>
    </pivotField>
    <pivotField showAll="0"/>
    <pivotField showAll="0">
      <items count="4">
        <item x="2"/>
        <item x="1"/>
        <item x="0"/>
        <item t="default"/>
      </items>
    </pivotField>
    <pivotField axis="axisRow" showAll="0">
      <items count="3">
        <item x="0"/>
        <item x="1"/>
        <item t="default"/>
      </items>
    </pivotField>
    <pivotField showAll="0">
      <items count="3">
        <item x="0"/>
        <item x="1"/>
        <item t="default"/>
      </items>
    </pivotField>
    <pivotField showAll="0"/>
    <pivotField showAll="0"/>
    <pivotField showAll="0"/>
    <pivotField showAll="0"/>
    <pivotField dataField="1" showAll="0"/>
    <pivotField numFmtId="14" showAll="0">
      <items count="350">
        <item x="320"/>
        <item x="267"/>
        <item x="210"/>
        <item x="119"/>
        <item x="5"/>
        <item x="250"/>
        <item x="157"/>
        <item x="252"/>
        <item x="44"/>
        <item x="120"/>
        <item x="305"/>
        <item x="54"/>
        <item x="262"/>
        <item x="198"/>
        <item x="197"/>
        <item x="31"/>
        <item x="26"/>
        <item x="341"/>
        <item x="298"/>
        <item x="111"/>
        <item x="332"/>
        <item x="293"/>
        <item x="121"/>
        <item x="128"/>
        <item x="56"/>
        <item x="231"/>
        <item x="202"/>
        <item x="184"/>
        <item x="233"/>
        <item x="82"/>
        <item x="188"/>
        <item x="288"/>
        <item x="316"/>
        <item x="46"/>
        <item x="39"/>
        <item x="65"/>
        <item x="322"/>
        <item x="163"/>
        <item x="192"/>
        <item x="112"/>
        <item x="153"/>
        <item x="23"/>
        <item x="290"/>
        <item x="172"/>
        <item x="53"/>
        <item x="156"/>
        <item x="0"/>
        <item x="42"/>
        <item x="151"/>
        <item x="134"/>
        <item x="45"/>
        <item x="244"/>
        <item x="66"/>
        <item x="114"/>
        <item x="345"/>
        <item x="193"/>
        <item x="230"/>
        <item x="225"/>
        <item x="191"/>
        <item x="28"/>
        <item x="158"/>
        <item x="331"/>
        <item x="17"/>
        <item x="348"/>
        <item x="24"/>
        <item x="143"/>
        <item x="76"/>
        <item x="334"/>
        <item x="176"/>
        <item x="228"/>
        <item x="324"/>
        <item x="140"/>
        <item x="213"/>
        <item x="67"/>
        <item x="61"/>
        <item x="336"/>
        <item x="185"/>
        <item x="104"/>
        <item x="177"/>
        <item x="94"/>
        <item x="159"/>
        <item x="347"/>
        <item x="160"/>
        <item x="4"/>
        <item x="232"/>
        <item x="85"/>
        <item x="214"/>
        <item x="49"/>
        <item x="314"/>
        <item x="245"/>
        <item x="327"/>
        <item x="216"/>
        <item x="295"/>
        <item x="9"/>
        <item x="284"/>
        <item x="118"/>
        <item x="310"/>
        <item x="175"/>
        <item x="174"/>
        <item x="204"/>
        <item x="196"/>
        <item x="330"/>
        <item x="83"/>
        <item x="91"/>
        <item x="113"/>
        <item x="215"/>
        <item x="127"/>
        <item x="81"/>
        <item x="257"/>
        <item x="187"/>
        <item x="99"/>
        <item x="41"/>
        <item x="280"/>
        <item x="52"/>
        <item x="22"/>
        <item x="84"/>
        <item x="282"/>
        <item x="106"/>
        <item x="189"/>
        <item x="344"/>
        <item x="57"/>
        <item x="19"/>
        <item x="34"/>
        <item x="78"/>
        <item x="277"/>
        <item x="319"/>
        <item x="337"/>
        <item x="152"/>
        <item x="229"/>
        <item x="329"/>
        <item x="211"/>
        <item x="335"/>
        <item x="270"/>
        <item x="306"/>
        <item x="182"/>
        <item x="79"/>
        <item x="90"/>
        <item x="136"/>
        <item x="323"/>
        <item x="126"/>
        <item x="1"/>
        <item x="226"/>
        <item x="237"/>
        <item x="307"/>
        <item x="278"/>
        <item x="242"/>
        <item x="68"/>
        <item x="48"/>
        <item x="29"/>
        <item x="130"/>
        <item x="246"/>
        <item x="222"/>
        <item x="135"/>
        <item x="248"/>
        <item x="103"/>
        <item x="107"/>
        <item x="274"/>
        <item x="7"/>
        <item x="32"/>
        <item x="207"/>
        <item x="171"/>
        <item x="129"/>
        <item x="63"/>
        <item x="86"/>
        <item x="150"/>
        <item x="261"/>
        <item x="294"/>
        <item x="205"/>
        <item x="110"/>
        <item x="309"/>
        <item x="74"/>
        <item x="55"/>
        <item x="315"/>
        <item x="206"/>
        <item x="203"/>
        <item x="209"/>
        <item x="346"/>
        <item x="219"/>
        <item x="201"/>
        <item x="264"/>
        <item x="178"/>
        <item x="18"/>
        <item x="131"/>
        <item x="256"/>
        <item x="35"/>
        <item x="137"/>
        <item x="170"/>
        <item x="15"/>
        <item x="96"/>
        <item x="221"/>
        <item x="255"/>
        <item x="89"/>
        <item x="218"/>
        <item x="317"/>
        <item x="69"/>
        <item x="10"/>
        <item x="200"/>
        <item x="194"/>
        <item x="303"/>
        <item x="238"/>
        <item x="291"/>
        <item x="301"/>
        <item x="165"/>
        <item x="269"/>
        <item x="243"/>
        <item x="155"/>
        <item x="162"/>
        <item x="236"/>
        <item x="223"/>
        <item x="260"/>
        <item x="180"/>
        <item x="146"/>
        <item x="199"/>
        <item x="258"/>
        <item x="98"/>
        <item x="72"/>
        <item x="108"/>
        <item x="342"/>
        <item x="312"/>
        <item x="116"/>
        <item x="30"/>
        <item x="308"/>
        <item x="289"/>
        <item x="321"/>
        <item x="259"/>
        <item x="287"/>
        <item x="12"/>
        <item x="11"/>
        <item x="115"/>
        <item x="195"/>
        <item x="279"/>
        <item x="40"/>
        <item x="97"/>
        <item x="276"/>
        <item x="161"/>
        <item x="27"/>
        <item x="154"/>
        <item x="283"/>
        <item x="263"/>
        <item x="208"/>
        <item x="101"/>
        <item x="328"/>
        <item x="183"/>
        <item x="296"/>
        <item x="167"/>
        <item x="51"/>
        <item x="102"/>
        <item x="36"/>
        <item x="224"/>
        <item x="64"/>
        <item x="297"/>
        <item x="254"/>
        <item x="311"/>
        <item x="247"/>
        <item x="179"/>
        <item x="59"/>
        <item x="168"/>
        <item x="286"/>
        <item x="33"/>
        <item x="333"/>
        <item x="292"/>
        <item x="241"/>
        <item x="13"/>
        <item x="304"/>
        <item x="62"/>
        <item x="340"/>
        <item x="186"/>
        <item x="43"/>
        <item x="139"/>
        <item x="234"/>
        <item x="122"/>
        <item x="281"/>
        <item x="240"/>
        <item x="338"/>
        <item x="38"/>
        <item x="144"/>
        <item x="47"/>
        <item x="235"/>
        <item x="20"/>
        <item x="212"/>
        <item x="239"/>
        <item x="217"/>
        <item x="325"/>
        <item x="109"/>
        <item x="166"/>
        <item x="95"/>
        <item x="253"/>
        <item x="37"/>
        <item x="77"/>
        <item x="147"/>
        <item x="273"/>
        <item x="142"/>
        <item x="164"/>
        <item x="272"/>
        <item x="148"/>
        <item x="149"/>
        <item x="87"/>
        <item x="25"/>
        <item x="125"/>
        <item x="75"/>
        <item x="300"/>
        <item x="265"/>
        <item x="181"/>
        <item x="3"/>
        <item x="133"/>
        <item x="326"/>
        <item x="169"/>
        <item x="58"/>
        <item x="302"/>
        <item x="124"/>
        <item x="141"/>
        <item x="14"/>
        <item x="251"/>
        <item x="8"/>
        <item x="268"/>
        <item x="117"/>
        <item x="249"/>
        <item x="105"/>
        <item x="285"/>
        <item x="339"/>
        <item x="16"/>
        <item x="80"/>
        <item x="343"/>
        <item x="73"/>
        <item x="271"/>
        <item x="132"/>
        <item x="60"/>
        <item x="93"/>
        <item x="190"/>
        <item x="71"/>
        <item x="88"/>
        <item x="173"/>
        <item x="6"/>
        <item x="299"/>
        <item x="70"/>
        <item x="145"/>
        <item x="92"/>
        <item x="227"/>
        <item x="266"/>
        <item x="220"/>
        <item x="318"/>
        <item x="100"/>
        <item x="21"/>
        <item x="138"/>
        <item x="2"/>
        <item x="275"/>
        <item x="313"/>
        <item x="50"/>
        <item x="12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2">
    <field x="1"/>
    <field x="4"/>
  </rowFields>
  <rowItems count="4">
    <i>
      <x/>
    </i>
    <i>
      <x v="1"/>
    </i>
    <i>
      <x v="2"/>
    </i>
    <i t="grand">
      <x/>
    </i>
  </rowItems>
  <colItems count="1">
    <i/>
  </colItems>
  <dataFields count="1">
    <dataField name="Average of Total"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6519D9-A881-424F-AF9D-7DDCA3D8E02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5:F22" firstHeaderRow="0" firstDataRow="1" firstDataCol="1"/>
  <pivotFields count="24">
    <pivotField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items count="4">
        <item x="0"/>
        <item x="2"/>
        <item x="1"/>
        <item t="default"/>
      </items>
    </pivotField>
    <pivotField showAll="0">
      <items count="472">
        <item x="420"/>
        <item x="39"/>
        <item x="46"/>
        <item x="323"/>
        <item x="266"/>
        <item x="85"/>
        <item x="216"/>
        <item x="19"/>
        <item x="180"/>
        <item x="298"/>
        <item x="304"/>
        <item x="186"/>
        <item x="32"/>
        <item x="317"/>
        <item x="348"/>
        <item x="282"/>
        <item x="134"/>
        <item x="21"/>
        <item x="38"/>
        <item x="215"/>
        <item x="98"/>
        <item x="44"/>
        <item x="114"/>
        <item x="102"/>
        <item x="293"/>
        <item x="157"/>
        <item x="210"/>
        <item x="277"/>
        <item x="350"/>
        <item x="133"/>
        <item x="82"/>
        <item x="412"/>
        <item x="308"/>
        <item x="45"/>
        <item x="51"/>
        <item x="140"/>
        <item x="335"/>
        <item x="252"/>
        <item x="26"/>
        <item x="309"/>
        <item x="106"/>
        <item x="22"/>
        <item x="139"/>
        <item x="344"/>
        <item x="31"/>
        <item x="112"/>
        <item x="422"/>
        <item x="255"/>
        <item x="28"/>
        <item x="111"/>
        <item x="263"/>
        <item x="356"/>
        <item x="314"/>
        <item x="115"/>
        <item x="88"/>
        <item x="118"/>
        <item x="158"/>
        <item x="63"/>
        <item x="187"/>
        <item x="11"/>
        <item x="321"/>
        <item x="402"/>
        <item x="303"/>
        <item x="191"/>
        <item x="440"/>
        <item x="30"/>
        <item x="379"/>
        <item x="254"/>
        <item x="161"/>
        <item x="41"/>
        <item x="287"/>
        <item x="145"/>
        <item x="9"/>
        <item x="195"/>
        <item x="103"/>
        <item x="15"/>
        <item x="174"/>
        <item x="176"/>
        <item x="147"/>
        <item x="260"/>
        <item x="71"/>
        <item x="231"/>
        <item x="179"/>
        <item x="328"/>
        <item x="49"/>
        <item x="132"/>
        <item x="457"/>
        <item x="203"/>
        <item x="175"/>
        <item x="325"/>
        <item x="128"/>
        <item x="199"/>
        <item x="333"/>
        <item x="78"/>
        <item x="10"/>
        <item x="57"/>
        <item x="64"/>
        <item x="83"/>
        <item x="169"/>
        <item x="213"/>
        <item x="327"/>
        <item x="239"/>
        <item x="283"/>
        <item x="90"/>
        <item x="152"/>
        <item x="42"/>
        <item x="75"/>
        <item x="167"/>
        <item x="141"/>
        <item x="418"/>
        <item x="200"/>
        <item x="386"/>
        <item x="450"/>
        <item x="171"/>
        <item x="299"/>
        <item x="208"/>
        <item x="399"/>
        <item x="430"/>
        <item x="400"/>
        <item x="267"/>
        <item x="336"/>
        <item x="37"/>
        <item x="340"/>
        <item x="119"/>
        <item x="227"/>
        <item x="95"/>
        <item x="97"/>
        <item x="315"/>
        <item x="346"/>
        <item x="403"/>
        <item x="405"/>
        <item x="413"/>
        <item x="116"/>
        <item x="265"/>
        <item x="390"/>
        <item x="414"/>
        <item x="73"/>
        <item x="469"/>
        <item x="380"/>
        <item x="396"/>
        <item x="101"/>
        <item x="459"/>
        <item x="47"/>
        <item x="89"/>
        <item x="264"/>
        <item x="311"/>
        <item x="40"/>
        <item x="241"/>
        <item x="423"/>
        <item x="155"/>
        <item x="80"/>
        <item x="124"/>
        <item x="55"/>
        <item x="217"/>
        <item x="62"/>
        <item x="275"/>
        <item x="455"/>
        <item x="150"/>
        <item x="190"/>
        <item x="240"/>
        <item x="162"/>
        <item x="193"/>
        <item x="451"/>
        <item x="270"/>
        <item x="67"/>
        <item x="447"/>
        <item x="237"/>
        <item x="322"/>
        <item x="164"/>
        <item x="435"/>
        <item x="165"/>
        <item x="129"/>
        <item x="218"/>
        <item x="185"/>
        <item x="381"/>
        <item x="100"/>
        <item x="33"/>
        <item x="86"/>
        <item x="416"/>
        <item x="50"/>
        <item x="130"/>
        <item x="466"/>
        <item x="153"/>
        <item x="421"/>
        <item x="79"/>
        <item x="229"/>
        <item x="56"/>
        <item x="349"/>
        <item x="238"/>
        <item x="91"/>
        <item x="366"/>
        <item x="122"/>
        <item x="268"/>
        <item x="135"/>
        <item x="107"/>
        <item x="449"/>
        <item x="72"/>
        <item x="121"/>
        <item x="391"/>
        <item x="5"/>
        <item x="395"/>
        <item x="160"/>
        <item x="441"/>
        <item x="138"/>
        <item x="382"/>
        <item x="261"/>
        <item x="458"/>
        <item x="172"/>
        <item x="415"/>
        <item x="69"/>
        <item x="284"/>
        <item x="292"/>
        <item x="223"/>
        <item x="74"/>
        <item x="365"/>
        <item x="364"/>
        <item x="406"/>
        <item x="392"/>
        <item x="313"/>
        <item x="34"/>
        <item x="146"/>
        <item x="429"/>
        <item x="181"/>
        <item x="48"/>
        <item x="109"/>
        <item x="110"/>
        <item x="362"/>
        <item x="456"/>
        <item x="272"/>
        <item x="354"/>
        <item x="20"/>
        <item x="326"/>
        <item x="343"/>
        <item x="407"/>
        <item x="256"/>
        <item x="224"/>
        <item x="43"/>
        <item x="7"/>
        <item x="60"/>
        <item x="173"/>
        <item x="168"/>
        <item x="1"/>
        <item x="334"/>
        <item x="66"/>
        <item x="427"/>
        <item x="300"/>
        <item x="312"/>
        <item x="253"/>
        <item x="295"/>
        <item x="70"/>
        <item x="246"/>
        <item x="201"/>
        <item x="207"/>
        <item x="372"/>
        <item x="126"/>
        <item x="52"/>
        <item x="120"/>
        <item x="360"/>
        <item x="310"/>
        <item x="404"/>
        <item x="184"/>
        <item x="96"/>
        <item x="182"/>
        <item x="294"/>
        <item x="212"/>
        <item x="156"/>
        <item x="341"/>
        <item x="245"/>
        <item x="278"/>
        <item x="230"/>
        <item x="288"/>
        <item x="273"/>
        <item x="104"/>
        <item x="233"/>
        <item x="368"/>
        <item x="232"/>
        <item x="87"/>
        <item x="163"/>
        <item x="286"/>
        <item x="143"/>
        <item x="108"/>
        <item x="27"/>
        <item x="151"/>
        <item x="117"/>
        <item x="93"/>
        <item x="387"/>
        <item x="276"/>
        <item x="437"/>
        <item x="460"/>
        <item x="332"/>
        <item x="291"/>
        <item x="99"/>
        <item x="192"/>
        <item x="444"/>
        <item x="18"/>
        <item x="384"/>
        <item x="131"/>
        <item x="374"/>
        <item x="258"/>
        <item x="177"/>
        <item x="411"/>
        <item x="25"/>
        <item x="249"/>
        <item x="358"/>
        <item x="280"/>
        <item x="389"/>
        <item x="183"/>
        <item x="137"/>
        <item x="464"/>
        <item x="17"/>
        <item x="234"/>
        <item x="425"/>
        <item x="228"/>
        <item x="144"/>
        <item x="442"/>
        <item x="370"/>
        <item x="337"/>
        <item x="470"/>
        <item x="250"/>
        <item x="142"/>
        <item x="443"/>
        <item x="465"/>
        <item x="339"/>
        <item x="461"/>
        <item x="432"/>
        <item x="401"/>
        <item x="351"/>
        <item x="388"/>
        <item x="178"/>
        <item x="205"/>
        <item x="204"/>
        <item x="417"/>
        <item x="92"/>
        <item x="289"/>
        <item x="462"/>
        <item x="14"/>
        <item x="434"/>
        <item x="251"/>
        <item x="373"/>
        <item x="105"/>
        <item x="8"/>
        <item x="12"/>
        <item x="154"/>
        <item x="428"/>
        <item x="376"/>
        <item x="424"/>
        <item x="53"/>
        <item x="206"/>
        <item x="136"/>
        <item x="6"/>
        <item x="269"/>
        <item x="369"/>
        <item x="13"/>
        <item x="219"/>
        <item x="297"/>
        <item x="363"/>
        <item x="243"/>
        <item x="211"/>
        <item x="125"/>
        <item x="397"/>
        <item x="305"/>
        <item x="127"/>
        <item x="197"/>
        <item x="433"/>
        <item x="209"/>
        <item x="113"/>
        <item x="359"/>
        <item x="2"/>
        <item x="61"/>
        <item x="330"/>
        <item x="331"/>
        <item x="285"/>
        <item x="446"/>
        <item x="290"/>
        <item x="170"/>
        <item x="196"/>
        <item x="54"/>
        <item x="148"/>
        <item x="194"/>
        <item x="257"/>
        <item x="29"/>
        <item x="375"/>
        <item x="226"/>
        <item x="431"/>
        <item x="36"/>
        <item x="361"/>
        <item x="23"/>
        <item x="68"/>
        <item x="188"/>
        <item x="235"/>
        <item x="357"/>
        <item x="468"/>
        <item x="225"/>
        <item x="367"/>
        <item x="76"/>
        <item x="84"/>
        <item x="4"/>
        <item x="222"/>
        <item x="302"/>
        <item x="445"/>
        <item x="16"/>
        <item x="221"/>
        <item x="338"/>
        <item x="319"/>
        <item x="436"/>
        <item x="345"/>
        <item x="393"/>
        <item x="166"/>
        <item x="247"/>
        <item x="58"/>
        <item x="220"/>
        <item x="281"/>
        <item x="342"/>
        <item x="383"/>
        <item x="77"/>
        <item x="189"/>
        <item x="320"/>
        <item x="307"/>
        <item x="306"/>
        <item x="94"/>
        <item x="352"/>
        <item x="410"/>
        <item x="438"/>
        <item x="301"/>
        <item x="467"/>
        <item x="448"/>
        <item x="259"/>
        <item x="271"/>
        <item x="453"/>
        <item x="355"/>
        <item x="159"/>
        <item x="279"/>
        <item x="296"/>
        <item x="353"/>
        <item x="59"/>
        <item x="409"/>
        <item x="244"/>
        <item x="371"/>
        <item x="324"/>
        <item x="248"/>
        <item x="316"/>
        <item x="262"/>
        <item x="236"/>
        <item x="378"/>
        <item x="123"/>
        <item x="454"/>
        <item x="24"/>
        <item x="329"/>
        <item x="274"/>
        <item x="419"/>
        <item x="214"/>
        <item x="394"/>
        <item x="149"/>
        <item x="242"/>
        <item x="377"/>
        <item x="35"/>
        <item x="426"/>
        <item x="318"/>
        <item x="385"/>
        <item x="198"/>
        <item x="0"/>
        <item x="347"/>
        <item x="398"/>
        <item x="463"/>
        <item x="65"/>
        <item x="202"/>
        <item x="3"/>
        <item x="439"/>
        <item x="81"/>
        <item x="408"/>
        <item x="452"/>
        <item t="default"/>
      </items>
    </pivotField>
    <pivotField showAll="0"/>
    <pivotField showAll="0">
      <items count="3">
        <item x="0"/>
        <item x="1"/>
        <item t="default"/>
      </items>
    </pivotField>
    <pivotField showAll="0">
      <items count="3">
        <item x="0"/>
        <item x="1"/>
        <item t="default"/>
      </items>
    </pivotField>
    <pivotField axis="axisRow" showAll="0">
      <items count="7">
        <item x="1"/>
        <item x="5"/>
        <item x="2"/>
        <item x="0"/>
        <item x="4"/>
        <item x="3"/>
        <item t="default"/>
      </items>
    </pivotField>
    <pivotField showAll="0"/>
    <pivotField dataField="1" showAll="0"/>
    <pivotField showAll="0"/>
    <pivotField dataField="1" showAll="0"/>
    <pivotField numFmtId="14" showAll="0">
      <items count="350">
        <item x="320"/>
        <item x="267"/>
        <item x="210"/>
        <item x="119"/>
        <item x="5"/>
        <item x="250"/>
        <item x="157"/>
        <item x="252"/>
        <item x="44"/>
        <item x="120"/>
        <item x="305"/>
        <item x="54"/>
        <item x="262"/>
        <item x="198"/>
        <item x="197"/>
        <item x="31"/>
        <item x="26"/>
        <item x="341"/>
        <item x="298"/>
        <item x="111"/>
        <item x="332"/>
        <item x="293"/>
        <item x="121"/>
        <item x="128"/>
        <item x="56"/>
        <item x="231"/>
        <item x="202"/>
        <item x="184"/>
        <item x="233"/>
        <item x="82"/>
        <item x="188"/>
        <item x="288"/>
        <item x="316"/>
        <item x="46"/>
        <item x="39"/>
        <item x="65"/>
        <item x="322"/>
        <item x="163"/>
        <item x="192"/>
        <item x="112"/>
        <item x="153"/>
        <item x="23"/>
        <item x="290"/>
        <item x="172"/>
        <item x="53"/>
        <item x="156"/>
        <item x="0"/>
        <item x="42"/>
        <item x="151"/>
        <item x="134"/>
        <item x="45"/>
        <item x="244"/>
        <item x="66"/>
        <item x="114"/>
        <item x="345"/>
        <item x="193"/>
        <item x="230"/>
        <item x="225"/>
        <item x="191"/>
        <item x="28"/>
        <item x="158"/>
        <item x="331"/>
        <item x="17"/>
        <item x="348"/>
        <item x="24"/>
        <item x="143"/>
        <item x="76"/>
        <item x="334"/>
        <item x="176"/>
        <item x="228"/>
        <item x="324"/>
        <item x="140"/>
        <item x="213"/>
        <item x="67"/>
        <item x="61"/>
        <item x="336"/>
        <item x="185"/>
        <item x="104"/>
        <item x="177"/>
        <item x="94"/>
        <item x="159"/>
        <item x="347"/>
        <item x="160"/>
        <item x="4"/>
        <item x="232"/>
        <item x="85"/>
        <item x="214"/>
        <item x="49"/>
        <item x="314"/>
        <item x="245"/>
        <item x="327"/>
        <item x="216"/>
        <item x="295"/>
        <item x="9"/>
        <item x="284"/>
        <item x="118"/>
        <item x="310"/>
        <item x="175"/>
        <item x="174"/>
        <item x="204"/>
        <item x="196"/>
        <item x="330"/>
        <item x="83"/>
        <item x="91"/>
        <item x="113"/>
        <item x="215"/>
        <item x="127"/>
        <item x="81"/>
        <item x="257"/>
        <item x="187"/>
        <item x="99"/>
        <item x="41"/>
        <item x="280"/>
        <item x="52"/>
        <item x="22"/>
        <item x="84"/>
        <item x="282"/>
        <item x="106"/>
        <item x="189"/>
        <item x="344"/>
        <item x="57"/>
        <item x="19"/>
        <item x="34"/>
        <item x="78"/>
        <item x="277"/>
        <item x="319"/>
        <item x="337"/>
        <item x="152"/>
        <item x="229"/>
        <item x="329"/>
        <item x="211"/>
        <item x="335"/>
        <item x="270"/>
        <item x="306"/>
        <item x="182"/>
        <item x="79"/>
        <item x="90"/>
        <item x="136"/>
        <item x="323"/>
        <item x="126"/>
        <item x="1"/>
        <item x="226"/>
        <item x="237"/>
        <item x="307"/>
        <item x="278"/>
        <item x="242"/>
        <item x="68"/>
        <item x="48"/>
        <item x="29"/>
        <item x="130"/>
        <item x="246"/>
        <item x="222"/>
        <item x="135"/>
        <item x="248"/>
        <item x="103"/>
        <item x="107"/>
        <item x="274"/>
        <item x="7"/>
        <item x="32"/>
        <item x="207"/>
        <item x="171"/>
        <item x="129"/>
        <item x="63"/>
        <item x="86"/>
        <item x="150"/>
        <item x="261"/>
        <item x="294"/>
        <item x="205"/>
        <item x="110"/>
        <item x="309"/>
        <item x="74"/>
        <item x="55"/>
        <item x="315"/>
        <item x="206"/>
        <item x="203"/>
        <item x="209"/>
        <item x="346"/>
        <item x="219"/>
        <item x="201"/>
        <item x="264"/>
        <item x="178"/>
        <item x="18"/>
        <item x="131"/>
        <item x="256"/>
        <item x="35"/>
        <item x="137"/>
        <item x="170"/>
        <item x="15"/>
        <item x="96"/>
        <item x="221"/>
        <item x="255"/>
        <item x="89"/>
        <item x="218"/>
        <item x="317"/>
        <item x="69"/>
        <item x="10"/>
        <item x="200"/>
        <item x="194"/>
        <item x="303"/>
        <item x="238"/>
        <item x="291"/>
        <item x="301"/>
        <item x="165"/>
        <item x="269"/>
        <item x="243"/>
        <item x="155"/>
        <item x="162"/>
        <item x="236"/>
        <item x="223"/>
        <item x="260"/>
        <item x="180"/>
        <item x="146"/>
        <item x="199"/>
        <item x="258"/>
        <item x="98"/>
        <item x="72"/>
        <item x="108"/>
        <item x="342"/>
        <item x="312"/>
        <item x="116"/>
        <item x="30"/>
        <item x="308"/>
        <item x="289"/>
        <item x="321"/>
        <item x="259"/>
        <item x="287"/>
        <item x="12"/>
        <item x="11"/>
        <item x="115"/>
        <item x="195"/>
        <item x="279"/>
        <item x="40"/>
        <item x="97"/>
        <item x="276"/>
        <item x="161"/>
        <item x="27"/>
        <item x="154"/>
        <item x="283"/>
        <item x="263"/>
        <item x="208"/>
        <item x="101"/>
        <item x="328"/>
        <item x="183"/>
        <item x="296"/>
        <item x="167"/>
        <item x="51"/>
        <item x="102"/>
        <item x="36"/>
        <item x="224"/>
        <item x="64"/>
        <item x="297"/>
        <item x="254"/>
        <item x="311"/>
        <item x="247"/>
        <item x="179"/>
        <item x="59"/>
        <item x="168"/>
        <item x="286"/>
        <item x="33"/>
        <item x="333"/>
        <item x="292"/>
        <item x="241"/>
        <item x="13"/>
        <item x="304"/>
        <item x="62"/>
        <item x="340"/>
        <item x="186"/>
        <item x="43"/>
        <item x="139"/>
        <item x="234"/>
        <item x="122"/>
        <item x="281"/>
        <item x="240"/>
        <item x="338"/>
        <item x="38"/>
        <item x="144"/>
        <item x="47"/>
        <item x="235"/>
        <item x="20"/>
        <item x="212"/>
        <item x="239"/>
        <item x="217"/>
        <item x="325"/>
        <item x="109"/>
        <item x="166"/>
        <item x="95"/>
        <item x="253"/>
        <item x="37"/>
        <item x="77"/>
        <item x="147"/>
        <item x="273"/>
        <item x="142"/>
        <item x="164"/>
        <item x="272"/>
        <item x="148"/>
        <item x="149"/>
        <item x="87"/>
        <item x="25"/>
        <item x="125"/>
        <item x="75"/>
        <item x="300"/>
        <item x="265"/>
        <item x="181"/>
        <item x="3"/>
        <item x="133"/>
        <item x="326"/>
        <item x="169"/>
        <item x="58"/>
        <item x="302"/>
        <item x="124"/>
        <item x="141"/>
        <item x="14"/>
        <item x="251"/>
        <item x="8"/>
        <item x="268"/>
        <item x="117"/>
        <item x="249"/>
        <item x="105"/>
        <item x="285"/>
        <item x="339"/>
        <item x="16"/>
        <item x="80"/>
        <item x="343"/>
        <item x="73"/>
        <item x="271"/>
        <item x="132"/>
        <item x="60"/>
        <item x="93"/>
        <item x="190"/>
        <item x="71"/>
        <item x="88"/>
        <item x="173"/>
        <item x="6"/>
        <item x="299"/>
        <item x="70"/>
        <item x="145"/>
        <item x="92"/>
        <item x="227"/>
        <item x="266"/>
        <item x="220"/>
        <item x="318"/>
        <item x="100"/>
        <item x="21"/>
        <item x="138"/>
        <item x="2"/>
        <item x="275"/>
        <item x="313"/>
        <item x="50"/>
        <item x="12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6"/>
  </rowFields>
  <rowItems count="7">
    <i>
      <x/>
    </i>
    <i>
      <x v="1"/>
    </i>
    <i>
      <x v="2"/>
    </i>
    <i>
      <x v="3"/>
    </i>
    <i>
      <x v="4"/>
    </i>
    <i>
      <x v="5"/>
    </i>
    <i t="grand">
      <x/>
    </i>
  </rowItems>
  <colFields count="1">
    <field x="-2"/>
  </colFields>
  <colItems count="2">
    <i>
      <x/>
    </i>
    <i i="1">
      <x v="1"/>
    </i>
  </colItems>
  <dataFields count="2">
    <dataField name="Count of Quantity" fld="8" subtotal="count" baseField="0" baseItem="0"/>
    <dataField name="Sum of Total" fld="10" baseField="0" baseItem="0"/>
  </dataFields>
  <formats count="2">
    <format dxfId="1">
      <pivotArea collapsedLevelsAreSubtotals="1" fieldPosition="0">
        <references count="1">
          <reference field="6" count="0"/>
        </references>
      </pivotArea>
    </format>
    <format dxfId="0">
      <pivotArea dataOnly="0" labelOnly="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1262E3-40E0-41FE-9CCD-400FE034AC7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E11" firstHeaderRow="1" firstDataRow="1" firstDataCol="1"/>
  <pivotFields count="24">
    <pivotField showAll="0"/>
    <pivotField showAll="0">
      <items count="4">
        <item x="0"/>
        <item x="2"/>
        <item x="1"/>
        <item t="default"/>
      </items>
    </pivotField>
    <pivotField showAll="0">
      <items count="472">
        <item x="420"/>
        <item x="39"/>
        <item x="46"/>
        <item x="323"/>
        <item x="266"/>
        <item x="85"/>
        <item x="216"/>
        <item x="19"/>
        <item x="180"/>
        <item x="298"/>
        <item x="304"/>
        <item x="186"/>
        <item x="32"/>
        <item x="317"/>
        <item x="348"/>
        <item x="282"/>
        <item x="134"/>
        <item x="21"/>
        <item x="38"/>
        <item x="215"/>
        <item x="98"/>
        <item x="44"/>
        <item x="114"/>
        <item x="102"/>
        <item x="293"/>
        <item x="157"/>
        <item x="210"/>
        <item x="277"/>
        <item x="350"/>
        <item x="133"/>
        <item x="82"/>
        <item x="412"/>
        <item x="308"/>
        <item x="45"/>
        <item x="51"/>
        <item x="140"/>
        <item x="335"/>
        <item x="252"/>
        <item x="26"/>
        <item x="309"/>
        <item x="106"/>
        <item x="22"/>
        <item x="139"/>
        <item x="344"/>
        <item x="31"/>
        <item x="112"/>
        <item x="422"/>
        <item x="255"/>
        <item x="28"/>
        <item x="111"/>
        <item x="263"/>
        <item x="356"/>
        <item x="314"/>
        <item x="115"/>
        <item x="88"/>
        <item x="118"/>
        <item x="158"/>
        <item x="63"/>
        <item x="187"/>
        <item x="11"/>
        <item x="321"/>
        <item x="402"/>
        <item x="303"/>
        <item x="191"/>
        <item x="440"/>
        <item x="30"/>
        <item x="379"/>
        <item x="254"/>
        <item x="161"/>
        <item x="41"/>
        <item x="287"/>
        <item x="145"/>
        <item x="9"/>
        <item x="195"/>
        <item x="103"/>
        <item x="15"/>
        <item x="174"/>
        <item x="176"/>
        <item x="147"/>
        <item x="260"/>
        <item x="71"/>
        <item x="231"/>
        <item x="179"/>
        <item x="328"/>
        <item x="49"/>
        <item x="132"/>
        <item x="457"/>
        <item x="203"/>
        <item x="175"/>
        <item x="325"/>
        <item x="128"/>
        <item x="199"/>
        <item x="333"/>
        <item x="78"/>
        <item x="10"/>
        <item x="57"/>
        <item x="64"/>
        <item x="83"/>
        <item x="169"/>
        <item x="213"/>
        <item x="327"/>
        <item x="239"/>
        <item x="283"/>
        <item x="90"/>
        <item x="152"/>
        <item x="42"/>
        <item x="75"/>
        <item x="167"/>
        <item x="141"/>
        <item x="418"/>
        <item x="200"/>
        <item x="386"/>
        <item x="450"/>
        <item x="171"/>
        <item x="299"/>
        <item x="208"/>
        <item x="399"/>
        <item x="430"/>
        <item x="400"/>
        <item x="267"/>
        <item x="336"/>
        <item x="37"/>
        <item x="340"/>
        <item x="119"/>
        <item x="227"/>
        <item x="95"/>
        <item x="97"/>
        <item x="315"/>
        <item x="346"/>
        <item x="403"/>
        <item x="405"/>
        <item x="413"/>
        <item x="116"/>
        <item x="265"/>
        <item x="390"/>
        <item x="414"/>
        <item x="73"/>
        <item x="469"/>
        <item x="380"/>
        <item x="396"/>
        <item x="101"/>
        <item x="459"/>
        <item x="47"/>
        <item x="89"/>
        <item x="264"/>
        <item x="311"/>
        <item x="40"/>
        <item x="241"/>
        <item x="423"/>
        <item x="155"/>
        <item x="80"/>
        <item x="124"/>
        <item x="55"/>
        <item x="217"/>
        <item x="62"/>
        <item x="275"/>
        <item x="455"/>
        <item x="150"/>
        <item x="190"/>
        <item x="240"/>
        <item x="162"/>
        <item x="193"/>
        <item x="451"/>
        <item x="270"/>
        <item x="67"/>
        <item x="447"/>
        <item x="237"/>
        <item x="322"/>
        <item x="164"/>
        <item x="435"/>
        <item x="165"/>
        <item x="129"/>
        <item x="218"/>
        <item x="185"/>
        <item x="381"/>
        <item x="100"/>
        <item x="33"/>
        <item x="86"/>
        <item x="416"/>
        <item x="50"/>
        <item x="130"/>
        <item x="466"/>
        <item x="153"/>
        <item x="421"/>
        <item x="79"/>
        <item x="229"/>
        <item x="56"/>
        <item x="349"/>
        <item x="238"/>
        <item x="91"/>
        <item x="366"/>
        <item x="122"/>
        <item x="268"/>
        <item x="135"/>
        <item x="107"/>
        <item x="449"/>
        <item x="72"/>
        <item x="121"/>
        <item x="391"/>
        <item x="5"/>
        <item x="395"/>
        <item x="160"/>
        <item x="441"/>
        <item x="138"/>
        <item x="382"/>
        <item x="261"/>
        <item x="458"/>
        <item x="172"/>
        <item x="415"/>
        <item x="69"/>
        <item x="284"/>
        <item x="292"/>
        <item x="223"/>
        <item x="74"/>
        <item x="365"/>
        <item x="364"/>
        <item x="406"/>
        <item x="392"/>
        <item x="313"/>
        <item x="34"/>
        <item x="146"/>
        <item x="429"/>
        <item x="181"/>
        <item x="48"/>
        <item x="109"/>
        <item x="110"/>
        <item x="362"/>
        <item x="456"/>
        <item x="272"/>
        <item x="354"/>
        <item x="20"/>
        <item x="326"/>
        <item x="343"/>
        <item x="407"/>
        <item x="256"/>
        <item x="224"/>
        <item x="43"/>
        <item x="7"/>
        <item x="60"/>
        <item x="173"/>
        <item x="168"/>
        <item x="1"/>
        <item x="334"/>
        <item x="66"/>
        <item x="427"/>
        <item x="300"/>
        <item x="312"/>
        <item x="253"/>
        <item x="295"/>
        <item x="70"/>
        <item x="246"/>
        <item x="201"/>
        <item x="207"/>
        <item x="372"/>
        <item x="126"/>
        <item x="52"/>
        <item x="120"/>
        <item x="360"/>
        <item x="310"/>
        <item x="404"/>
        <item x="184"/>
        <item x="96"/>
        <item x="182"/>
        <item x="294"/>
        <item x="212"/>
        <item x="156"/>
        <item x="341"/>
        <item x="245"/>
        <item x="278"/>
        <item x="230"/>
        <item x="288"/>
        <item x="273"/>
        <item x="104"/>
        <item x="233"/>
        <item x="368"/>
        <item x="232"/>
        <item x="87"/>
        <item x="163"/>
        <item x="286"/>
        <item x="143"/>
        <item x="108"/>
        <item x="27"/>
        <item x="151"/>
        <item x="117"/>
        <item x="93"/>
        <item x="387"/>
        <item x="276"/>
        <item x="437"/>
        <item x="460"/>
        <item x="332"/>
        <item x="291"/>
        <item x="99"/>
        <item x="192"/>
        <item x="444"/>
        <item x="18"/>
        <item x="384"/>
        <item x="131"/>
        <item x="374"/>
        <item x="258"/>
        <item x="177"/>
        <item x="411"/>
        <item x="25"/>
        <item x="249"/>
        <item x="358"/>
        <item x="280"/>
        <item x="389"/>
        <item x="183"/>
        <item x="137"/>
        <item x="464"/>
        <item x="17"/>
        <item x="234"/>
        <item x="425"/>
        <item x="228"/>
        <item x="144"/>
        <item x="442"/>
        <item x="370"/>
        <item x="337"/>
        <item x="470"/>
        <item x="250"/>
        <item x="142"/>
        <item x="443"/>
        <item x="465"/>
        <item x="339"/>
        <item x="461"/>
        <item x="432"/>
        <item x="401"/>
        <item x="351"/>
        <item x="388"/>
        <item x="178"/>
        <item x="205"/>
        <item x="204"/>
        <item x="417"/>
        <item x="92"/>
        <item x="289"/>
        <item x="462"/>
        <item x="14"/>
        <item x="434"/>
        <item x="251"/>
        <item x="373"/>
        <item x="105"/>
        <item x="8"/>
        <item x="12"/>
        <item x="154"/>
        <item x="428"/>
        <item x="376"/>
        <item x="424"/>
        <item x="53"/>
        <item x="206"/>
        <item x="136"/>
        <item x="6"/>
        <item x="269"/>
        <item x="369"/>
        <item x="13"/>
        <item x="219"/>
        <item x="297"/>
        <item x="363"/>
        <item x="243"/>
        <item x="211"/>
        <item x="125"/>
        <item x="397"/>
        <item x="305"/>
        <item x="127"/>
        <item x="197"/>
        <item x="433"/>
        <item x="209"/>
        <item x="113"/>
        <item x="359"/>
        <item x="2"/>
        <item x="61"/>
        <item x="330"/>
        <item x="331"/>
        <item x="285"/>
        <item x="446"/>
        <item x="290"/>
        <item x="170"/>
        <item x="196"/>
        <item x="54"/>
        <item x="148"/>
        <item x="194"/>
        <item x="257"/>
        <item x="29"/>
        <item x="375"/>
        <item x="226"/>
        <item x="431"/>
        <item x="36"/>
        <item x="361"/>
        <item x="23"/>
        <item x="68"/>
        <item x="188"/>
        <item x="235"/>
        <item x="357"/>
        <item x="468"/>
        <item x="225"/>
        <item x="367"/>
        <item x="76"/>
        <item x="84"/>
        <item x="4"/>
        <item x="222"/>
        <item x="302"/>
        <item x="445"/>
        <item x="16"/>
        <item x="221"/>
        <item x="338"/>
        <item x="319"/>
        <item x="436"/>
        <item x="345"/>
        <item x="393"/>
        <item x="166"/>
        <item x="247"/>
        <item x="58"/>
        <item x="220"/>
        <item x="281"/>
        <item x="342"/>
        <item x="383"/>
        <item x="77"/>
        <item x="189"/>
        <item x="320"/>
        <item x="307"/>
        <item x="306"/>
        <item x="94"/>
        <item x="352"/>
        <item x="410"/>
        <item x="438"/>
        <item x="301"/>
        <item x="467"/>
        <item x="448"/>
        <item x="259"/>
        <item x="271"/>
        <item x="453"/>
        <item x="355"/>
        <item x="159"/>
        <item x="279"/>
        <item x="296"/>
        <item x="353"/>
        <item x="59"/>
        <item x="409"/>
        <item x="244"/>
        <item x="371"/>
        <item x="324"/>
        <item x="248"/>
        <item x="316"/>
        <item x="262"/>
        <item x="236"/>
        <item x="378"/>
        <item x="123"/>
        <item x="454"/>
        <item x="24"/>
        <item x="329"/>
        <item x="274"/>
        <item x="419"/>
        <item x="214"/>
        <item x="394"/>
        <item x="149"/>
        <item x="242"/>
        <item x="377"/>
        <item x="35"/>
        <item x="426"/>
        <item x="318"/>
        <item x="385"/>
        <item x="198"/>
        <item x="0"/>
        <item x="347"/>
        <item x="398"/>
        <item x="463"/>
        <item x="65"/>
        <item x="202"/>
        <item x="3"/>
        <item x="439"/>
        <item x="81"/>
        <item x="408"/>
        <item x="452"/>
        <item t="default"/>
      </items>
    </pivotField>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pivotField showAll="0"/>
    <pivotField showAll="0"/>
    <pivotField showAll="0"/>
    <pivotField dataField="1" showAll="0"/>
    <pivotField numFmtId="14" showAll="0">
      <items count="350">
        <item x="320"/>
        <item x="267"/>
        <item x="210"/>
        <item x="119"/>
        <item x="5"/>
        <item x="250"/>
        <item x="157"/>
        <item x="252"/>
        <item x="44"/>
        <item x="120"/>
        <item x="305"/>
        <item x="54"/>
        <item x="262"/>
        <item x="198"/>
        <item x="197"/>
        <item x="31"/>
        <item x="26"/>
        <item x="341"/>
        <item x="298"/>
        <item x="111"/>
        <item x="332"/>
        <item x="293"/>
        <item x="121"/>
        <item x="128"/>
        <item x="56"/>
        <item x="231"/>
        <item x="202"/>
        <item x="184"/>
        <item x="233"/>
        <item x="82"/>
        <item x="188"/>
        <item x="288"/>
        <item x="316"/>
        <item x="46"/>
        <item x="39"/>
        <item x="65"/>
        <item x="322"/>
        <item x="163"/>
        <item x="192"/>
        <item x="112"/>
        <item x="153"/>
        <item x="23"/>
        <item x="290"/>
        <item x="172"/>
        <item x="53"/>
        <item x="156"/>
        <item x="0"/>
        <item x="42"/>
        <item x="151"/>
        <item x="134"/>
        <item x="45"/>
        <item x="244"/>
        <item x="66"/>
        <item x="114"/>
        <item x="345"/>
        <item x="193"/>
        <item x="230"/>
        <item x="225"/>
        <item x="191"/>
        <item x="28"/>
        <item x="158"/>
        <item x="331"/>
        <item x="17"/>
        <item x="348"/>
        <item x="24"/>
        <item x="143"/>
        <item x="76"/>
        <item x="334"/>
        <item x="176"/>
        <item x="228"/>
        <item x="324"/>
        <item x="140"/>
        <item x="213"/>
        <item x="67"/>
        <item x="61"/>
        <item x="336"/>
        <item x="185"/>
        <item x="104"/>
        <item x="177"/>
        <item x="94"/>
        <item x="159"/>
        <item x="347"/>
        <item x="160"/>
        <item x="4"/>
        <item x="232"/>
        <item x="85"/>
        <item x="214"/>
        <item x="49"/>
        <item x="314"/>
        <item x="245"/>
        <item x="327"/>
        <item x="216"/>
        <item x="295"/>
        <item x="9"/>
        <item x="284"/>
        <item x="118"/>
        <item x="310"/>
        <item x="175"/>
        <item x="174"/>
        <item x="204"/>
        <item x="196"/>
        <item x="330"/>
        <item x="83"/>
        <item x="91"/>
        <item x="113"/>
        <item x="215"/>
        <item x="127"/>
        <item x="81"/>
        <item x="257"/>
        <item x="187"/>
        <item x="99"/>
        <item x="41"/>
        <item x="280"/>
        <item x="52"/>
        <item x="22"/>
        <item x="84"/>
        <item x="282"/>
        <item x="106"/>
        <item x="189"/>
        <item x="344"/>
        <item x="57"/>
        <item x="19"/>
        <item x="34"/>
        <item x="78"/>
        <item x="277"/>
        <item x="319"/>
        <item x="337"/>
        <item x="152"/>
        <item x="229"/>
        <item x="329"/>
        <item x="211"/>
        <item x="335"/>
        <item x="270"/>
        <item x="306"/>
        <item x="182"/>
        <item x="79"/>
        <item x="90"/>
        <item x="136"/>
        <item x="323"/>
        <item x="126"/>
        <item x="1"/>
        <item x="226"/>
        <item x="237"/>
        <item x="307"/>
        <item x="278"/>
        <item x="242"/>
        <item x="68"/>
        <item x="48"/>
        <item x="29"/>
        <item x="130"/>
        <item x="246"/>
        <item x="222"/>
        <item x="135"/>
        <item x="248"/>
        <item x="103"/>
        <item x="107"/>
        <item x="274"/>
        <item x="7"/>
        <item x="32"/>
        <item x="207"/>
        <item x="171"/>
        <item x="129"/>
        <item x="63"/>
        <item x="86"/>
        <item x="150"/>
        <item x="261"/>
        <item x="294"/>
        <item x="205"/>
        <item x="110"/>
        <item x="309"/>
        <item x="74"/>
        <item x="55"/>
        <item x="315"/>
        <item x="206"/>
        <item x="203"/>
        <item x="209"/>
        <item x="346"/>
        <item x="219"/>
        <item x="201"/>
        <item x="264"/>
        <item x="178"/>
        <item x="18"/>
        <item x="131"/>
        <item x="256"/>
        <item x="35"/>
        <item x="137"/>
        <item x="170"/>
        <item x="15"/>
        <item x="96"/>
        <item x="221"/>
        <item x="255"/>
        <item x="89"/>
        <item x="218"/>
        <item x="317"/>
        <item x="69"/>
        <item x="10"/>
        <item x="200"/>
        <item x="194"/>
        <item x="303"/>
        <item x="238"/>
        <item x="291"/>
        <item x="301"/>
        <item x="165"/>
        <item x="269"/>
        <item x="243"/>
        <item x="155"/>
        <item x="162"/>
        <item x="236"/>
        <item x="223"/>
        <item x="260"/>
        <item x="180"/>
        <item x="146"/>
        <item x="199"/>
        <item x="258"/>
        <item x="98"/>
        <item x="72"/>
        <item x="108"/>
        <item x="342"/>
        <item x="312"/>
        <item x="116"/>
        <item x="30"/>
        <item x="308"/>
        <item x="289"/>
        <item x="321"/>
        <item x="259"/>
        <item x="287"/>
        <item x="12"/>
        <item x="11"/>
        <item x="115"/>
        <item x="195"/>
        <item x="279"/>
        <item x="40"/>
        <item x="97"/>
        <item x="276"/>
        <item x="161"/>
        <item x="27"/>
        <item x="154"/>
        <item x="283"/>
        <item x="263"/>
        <item x="208"/>
        <item x="101"/>
        <item x="328"/>
        <item x="183"/>
        <item x="296"/>
        <item x="167"/>
        <item x="51"/>
        <item x="102"/>
        <item x="36"/>
        <item x="224"/>
        <item x="64"/>
        <item x="297"/>
        <item x="254"/>
        <item x="311"/>
        <item x="247"/>
        <item x="179"/>
        <item x="59"/>
        <item x="168"/>
        <item x="286"/>
        <item x="33"/>
        <item x="333"/>
        <item x="292"/>
        <item x="241"/>
        <item x="13"/>
        <item x="304"/>
        <item x="62"/>
        <item x="340"/>
        <item x="186"/>
        <item x="43"/>
        <item x="139"/>
        <item x="234"/>
        <item x="122"/>
        <item x="281"/>
        <item x="240"/>
        <item x="338"/>
        <item x="38"/>
        <item x="144"/>
        <item x="47"/>
        <item x="235"/>
        <item x="20"/>
        <item x="212"/>
        <item x="239"/>
        <item x="217"/>
        <item x="325"/>
        <item x="109"/>
        <item x="166"/>
        <item x="95"/>
        <item x="253"/>
        <item x="37"/>
        <item x="77"/>
        <item x="147"/>
        <item x="273"/>
        <item x="142"/>
        <item x="164"/>
        <item x="272"/>
        <item x="148"/>
        <item x="149"/>
        <item x="87"/>
        <item x="25"/>
        <item x="125"/>
        <item x="75"/>
        <item x="300"/>
        <item x="265"/>
        <item x="181"/>
        <item x="3"/>
        <item x="133"/>
        <item x="326"/>
        <item x="169"/>
        <item x="58"/>
        <item x="302"/>
        <item x="124"/>
        <item x="141"/>
        <item x="14"/>
        <item x="251"/>
        <item x="8"/>
        <item x="268"/>
        <item x="117"/>
        <item x="249"/>
        <item x="105"/>
        <item x="285"/>
        <item x="339"/>
        <item x="16"/>
        <item x="80"/>
        <item x="343"/>
        <item x="73"/>
        <item x="271"/>
        <item x="132"/>
        <item x="60"/>
        <item x="93"/>
        <item x="190"/>
        <item x="71"/>
        <item x="88"/>
        <item x="173"/>
        <item x="6"/>
        <item x="299"/>
        <item x="70"/>
        <item x="145"/>
        <item x="92"/>
        <item x="227"/>
        <item x="266"/>
        <item x="220"/>
        <item x="318"/>
        <item x="100"/>
        <item x="21"/>
        <item x="138"/>
        <item x="2"/>
        <item x="275"/>
        <item x="313"/>
        <item x="50"/>
        <item x="12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3"/>
  </rowFields>
  <rowItems count="4">
    <i>
      <x/>
    </i>
    <i>
      <x v="1"/>
    </i>
    <i>
      <x v="2"/>
    </i>
    <i t="grand">
      <x/>
    </i>
  </rowItems>
  <colItems count="1">
    <i/>
  </colItems>
  <dataFields count="1">
    <dataField name="Average of Total" fld="10" subtotal="average" baseField="0" baseItem="0"/>
  </dataFields>
  <formats count="1">
    <format dxfId="2">
      <pivotArea dataOnly="0"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C837FC-7D06-4CA0-BCAC-1CC8788B4BC5}" name="Table2" displayName="Table2" ref="A1:T1001" totalsRowShown="0" headerRowDxfId="5">
  <autoFilter ref="A1:T1001" xr:uid="{935C4590-AC53-4AF4-8D61-9C273D19ED73}"/>
  <tableColumns count="20">
    <tableColumn id="1" xr3:uid="{36EB47EC-455B-4A0B-BB8C-179B2E10BD80}" name="Invoice ID"/>
    <tableColumn id="2" xr3:uid="{29296073-A44B-443A-80EB-7B679FB8E564}" name="Branch"/>
    <tableColumn id="3" xr3:uid="{1BE2F4BB-E5B5-48C6-8F00-4C08A86D9EA7}" name="Customer ID"/>
    <tableColumn id="4" xr3:uid="{15958701-D443-4B66-9813-77F7B1B94D0B}" name="City"/>
    <tableColumn id="5" xr3:uid="{DA6A2E59-3792-4845-9A9F-FF7BBB9275A5}" name="Customer Type"/>
    <tableColumn id="6" xr3:uid="{F44CCB46-6F9B-488D-82C5-ADC1524424A0}" name="Gender"/>
    <tableColumn id="7" xr3:uid="{881E262F-7198-471D-BA43-2EF43B85AF3C}" name="Product Line"/>
    <tableColumn id="8" xr3:uid="{C09DE410-CEC6-431D-9686-312A53723F44}" name="Unit Price"/>
    <tableColumn id="9" xr3:uid="{6789FBF0-E34B-4016-B0F4-B66D88A9A703}" name="Quantity"/>
    <tableColumn id="10" xr3:uid="{D3F0682E-CA67-40AA-94DF-BB41D47CD1D5}" name="Tax 5%"/>
    <tableColumn id="11" xr3:uid="{65E28A97-A71B-4D50-A6B6-C2F865678F04}" name="Total"/>
    <tableColumn id="12" xr3:uid="{BD01C0FB-D201-4CB3-A9B1-007F57F16F39}" name="Date" dataDxfId="4"/>
    <tableColumn id="13" xr3:uid="{A9362D7E-E743-4E29-9CC5-B96D2987F84C}" name="Time" dataDxfId="3"/>
    <tableColumn id="14" xr3:uid="{EC0B3342-F3E1-4CCC-A1D2-27BD20A3C322}" name="Payment"/>
    <tableColumn id="15" xr3:uid="{972698AF-80C9-4752-9BF5-CFAACFDC6F12}" name="Cogs"/>
    <tableColumn id="16" xr3:uid="{8C3F860C-9439-475F-B397-39FE5B2E9508}" name="Gross Margin Percentage"/>
    <tableColumn id="17" xr3:uid="{CACAA7BC-D450-47BA-81FF-E9BBD5C701D1}" name="Gross Income"/>
    <tableColumn id="18" xr3:uid="{04344EDF-3159-4D8E-9C4F-D87780208BDB}" name="Rating"/>
    <tableColumn id="19" xr3:uid="{E618ECA0-448A-4ECD-8FB2-96079EE153E8}" name="Longitude"/>
    <tableColumn id="20" xr3:uid="{6C0A3F92-7BB4-4E6D-900C-97C8D9EB7BF9}" name="Latitud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89E9F-7669-4CB8-ADD8-72D78B1D9115}">
  <dimension ref="A1:T1001"/>
  <sheetViews>
    <sheetView workbookViewId="0">
      <selection activeCell="N10" sqref="N10"/>
    </sheetView>
  </sheetViews>
  <sheetFormatPr defaultColWidth="7.6640625" defaultRowHeight="14.4" x14ac:dyDescent="0.3"/>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t="s">
        <v>21</v>
      </c>
      <c r="C2" t="s">
        <v>22</v>
      </c>
      <c r="D2" t="s">
        <v>23</v>
      </c>
      <c r="E2" t="s">
        <v>24</v>
      </c>
      <c r="F2" t="s">
        <v>25</v>
      </c>
      <c r="G2" t="s">
        <v>26</v>
      </c>
      <c r="H2">
        <v>74.69</v>
      </c>
      <c r="I2">
        <v>10</v>
      </c>
      <c r="J2">
        <v>37.344999999999999</v>
      </c>
      <c r="K2">
        <v>746.9</v>
      </c>
      <c r="L2" s="1">
        <v>43517</v>
      </c>
      <c r="M2" s="2">
        <v>0.54722222222222228</v>
      </c>
      <c r="N2" t="s">
        <v>27</v>
      </c>
      <c r="O2">
        <v>711.33333330000005</v>
      </c>
      <c r="P2">
        <v>4.7619047620000003</v>
      </c>
      <c r="Q2">
        <v>35.566666669999996</v>
      </c>
      <c r="R2">
        <v>9.1</v>
      </c>
      <c r="S2">
        <v>96.173500000000004</v>
      </c>
      <c r="T2">
        <v>16.840900000000001</v>
      </c>
    </row>
    <row r="3" spans="1:20" x14ac:dyDescent="0.3">
      <c r="A3" t="s">
        <v>28</v>
      </c>
      <c r="B3" t="s">
        <v>29</v>
      </c>
      <c r="C3" t="s">
        <v>30</v>
      </c>
      <c r="D3" t="s">
        <v>31</v>
      </c>
      <c r="E3" t="s">
        <v>32</v>
      </c>
      <c r="F3" t="s">
        <v>25</v>
      </c>
      <c r="G3" t="s">
        <v>26</v>
      </c>
      <c r="H3">
        <v>15.28</v>
      </c>
      <c r="I3">
        <v>6</v>
      </c>
      <c r="J3">
        <v>4.5839999999999996</v>
      </c>
      <c r="K3">
        <v>91.68</v>
      </c>
      <c r="L3" s="1">
        <v>43612</v>
      </c>
      <c r="M3" s="2">
        <v>0.43680555555555556</v>
      </c>
      <c r="N3" t="s">
        <v>33</v>
      </c>
      <c r="O3">
        <v>76.400000000000006</v>
      </c>
      <c r="P3">
        <v>4.7619047620000003</v>
      </c>
      <c r="Q3">
        <v>15.28</v>
      </c>
      <c r="R3">
        <v>10</v>
      </c>
      <c r="S3">
        <v>96.078500000000005</v>
      </c>
      <c r="T3">
        <v>19.763300000000001</v>
      </c>
    </row>
    <row r="4" spans="1:20" x14ac:dyDescent="0.3">
      <c r="A4" t="s">
        <v>34</v>
      </c>
      <c r="B4" t="s">
        <v>21</v>
      </c>
      <c r="C4" t="s">
        <v>35</v>
      </c>
      <c r="D4" t="s">
        <v>23</v>
      </c>
      <c r="E4" t="s">
        <v>32</v>
      </c>
      <c r="F4" t="s">
        <v>36</v>
      </c>
      <c r="G4" t="s">
        <v>26</v>
      </c>
      <c r="H4">
        <v>46.33</v>
      </c>
      <c r="I4">
        <v>7</v>
      </c>
      <c r="J4">
        <v>16.215499999999999</v>
      </c>
      <c r="K4">
        <v>324.31</v>
      </c>
      <c r="L4" s="1">
        <v>43826</v>
      </c>
      <c r="M4" s="2">
        <v>0.55763888888888891</v>
      </c>
      <c r="N4" t="s">
        <v>37</v>
      </c>
      <c r="O4">
        <v>324.31</v>
      </c>
      <c r="P4">
        <v>4.7619047620000003</v>
      </c>
      <c r="Q4">
        <v>0</v>
      </c>
      <c r="R4">
        <v>7.4</v>
      </c>
      <c r="S4">
        <v>96.173500000000004</v>
      </c>
      <c r="T4">
        <v>16.840900000000001</v>
      </c>
    </row>
    <row r="5" spans="1:20" x14ac:dyDescent="0.3">
      <c r="A5" t="s">
        <v>38</v>
      </c>
      <c r="B5" t="s">
        <v>21</v>
      </c>
      <c r="C5" t="s">
        <v>39</v>
      </c>
      <c r="D5" t="s">
        <v>23</v>
      </c>
      <c r="E5" t="s">
        <v>24</v>
      </c>
      <c r="F5" t="s">
        <v>36</v>
      </c>
      <c r="G5" t="s">
        <v>26</v>
      </c>
      <c r="H5">
        <v>58.22</v>
      </c>
      <c r="I5">
        <v>11</v>
      </c>
      <c r="J5">
        <v>32.021000000000001</v>
      </c>
      <c r="K5">
        <v>640.41999999999996</v>
      </c>
      <c r="L5" s="1">
        <v>43784</v>
      </c>
      <c r="M5" s="2">
        <v>0.85624999999999996</v>
      </c>
      <c r="N5" t="s">
        <v>27</v>
      </c>
      <c r="O5">
        <v>465.76</v>
      </c>
      <c r="P5">
        <v>4.7619047620000003</v>
      </c>
      <c r="Q5">
        <v>174.66</v>
      </c>
      <c r="R5">
        <v>8.4</v>
      </c>
      <c r="S5">
        <v>96.173500000000004</v>
      </c>
      <c r="T5">
        <v>16.840900000000001</v>
      </c>
    </row>
    <row r="6" spans="1:20" x14ac:dyDescent="0.3">
      <c r="A6" t="s">
        <v>40</v>
      </c>
      <c r="B6" t="s">
        <v>21</v>
      </c>
      <c r="C6" t="s">
        <v>41</v>
      </c>
      <c r="D6" t="s">
        <v>23</v>
      </c>
      <c r="E6" t="s">
        <v>32</v>
      </c>
      <c r="F6" t="s">
        <v>36</v>
      </c>
      <c r="G6" t="s">
        <v>26</v>
      </c>
      <c r="H6">
        <v>86.31</v>
      </c>
      <c r="I6">
        <v>7</v>
      </c>
      <c r="J6">
        <v>30.208500000000001</v>
      </c>
      <c r="K6">
        <v>604.16999999999996</v>
      </c>
      <c r="L6" s="1">
        <v>43555</v>
      </c>
      <c r="M6" s="2">
        <v>0.44236111111111109</v>
      </c>
      <c r="N6" t="s">
        <v>27</v>
      </c>
      <c r="O6">
        <v>604.16999999999996</v>
      </c>
      <c r="P6">
        <v>4.7619047620000003</v>
      </c>
      <c r="Q6">
        <v>0</v>
      </c>
      <c r="S6">
        <v>96.173500000000004</v>
      </c>
      <c r="T6">
        <v>16.840900000000001</v>
      </c>
    </row>
    <row r="7" spans="1:20" x14ac:dyDescent="0.3">
      <c r="A7" t="s">
        <v>42</v>
      </c>
      <c r="B7" t="s">
        <v>29</v>
      </c>
      <c r="C7" t="s">
        <v>43</v>
      </c>
      <c r="D7" t="s">
        <v>31</v>
      </c>
      <c r="E7" t="s">
        <v>32</v>
      </c>
      <c r="F7" t="s">
        <v>36</v>
      </c>
      <c r="G7" t="s">
        <v>26</v>
      </c>
      <c r="H7">
        <v>85.39</v>
      </c>
      <c r="I7">
        <v>8</v>
      </c>
      <c r="J7">
        <v>34.155999999999999</v>
      </c>
      <c r="K7">
        <v>683.12</v>
      </c>
      <c r="L7" s="1">
        <v>43471</v>
      </c>
      <c r="M7" s="2">
        <v>0.77083333333333337</v>
      </c>
      <c r="N7" t="s">
        <v>27</v>
      </c>
      <c r="O7">
        <v>597.73</v>
      </c>
      <c r="P7">
        <v>4.7619047620000003</v>
      </c>
      <c r="Q7">
        <v>85.39</v>
      </c>
      <c r="S7">
        <v>96.078500000000005</v>
      </c>
      <c r="T7">
        <v>19.763300000000001</v>
      </c>
    </row>
    <row r="8" spans="1:20" x14ac:dyDescent="0.3">
      <c r="A8" t="s">
        <v>44</v>
      </c>
      <c r="B8" t="s">
        <v>21</v>
      </c>
      <c r="C8" t="s">
        <v>45</v>
      </c>
      <c r="D8" t="s">
        <v>23</v>
      </c>
      <c r="E8" t="s">
        <v>32</v>
      </c>
      <c r="F8" t="s">
        <v>25</v>
      </c>
      <c r="G8" t="s">
        <v>26</v>
      </c>
      <c r="H8">
        <v>68.84</v>
      </c>
      <c r="I8">
        <v>6</v>
      </c>
      <c r="J8">
        <v>20.652000000000001</v>
      </c>
      <c r="K8">
        <v>413.04</v>
      </c>
      <c r="L8" s="1">
        <v>43814</v>
      </c>
      <c r="M8" s="2">
        <v>0.60833333333333328</v>
      </c>
      <c r="N8" t="s">
        <v>27</v>
      </c>
      <c r="O8">
        <v>413.04</v>
      </c>
      <c r="P8">
        <v>4.7619047620000003</v>
      </c>
      <c r="Q8">
        <v>0</v>
      </c>
      <c r="S8">
        <v>96.173500000000004</v>
      </c>
      <c r="T8">
        <v>16.840900000000001</v>
      </c>
    </row>
    <row r="9" spans="1:20" x14ac:dyDescent="0.3">
      <c r="A9" t="s">
        <v>46</v>
      </c>
      <c r="B9" t="s">
        <v>29</v>
      </c>
      <c r="C9" t="s">
        <v>47</v>
      </c>
      <c r="D9" t="s">
        <v>31</v>
      </c>
      <c r="F9" t="s">
        <v>25</v>
      </c>
      <c r="G9" t="s">
        <v>26</v>
      </c>
      <c r="H9">
        <v>73.56</v>
      </c>
      <c r="I9">
        <v>12</v>
      </c>
      <c r="J9">
        <v>44.136000000000003</v>
      </c>
      <c r="K9">
        <v>882.72</v>
      </c>
      <c r="L9" s="1">
        <v>43630</v>
      </c>
      <c r="M9" s="2">
        <v>0.48472222222222222</v>
      </c>
      <c r="N9" t="s">
        <v>27</v>
      </c>
      <c r="O9">
        <v>735.6</v>
      </c>
      <c r="P9">
        <v>4.7619047620000003</v>
      </c>
      <c r="Q9">
        <v>147.12</v>
      </c>
      <c r="S9">
        <v>96.078500000000005</v>
      </c>
      <c r="T9">
        <v>19.763300000000001</v>
      </c>
    </row>
    <row r="10" spans="1:20" x14ac:dyDescent="0.3">
      <c r="A10" t="s">
        <v>48</v>
      </c>
      <c r="B10" t="s">
        <v>21</v>
      </c>
      <c r="C10" t="s">
        <v>49</v>
      </c>
      <c r="D10" t="s">
        <v>23</v>
      </c>
      <c r="F10" t="s">
        <v>25</v>
      </c>
      <c r="G10" t="s">
        <v>26</v>
      </c>
      <c r="H10">
        <v>36.26</v>
      </c>
      <c r="I10">
        <v>2</v>
      </c>
      <c r="J10">
        <v>3.6259999999999999</v>
      </c>
      <c r="K10">
        <v>72.52</v>
      </c>
      <c r="L10" s="1">
        <v>43794</v>
      </c>
      <c r="M10" s="2">
        <v>0.71875</v>
      </c>
      <c r="N10" t="s">
        <v>37</v>
      </c>
      <c r="O10">
        <v>72.52</v>
      </c>
      <c r="P10">
        <v>4.7619047620000003</v>
      </c>
      <c r="Q10">
        <v>0</v>
      </c>
      <c r="S10">
        <v>96.173500000000004</v>
      </c>
      <c r="T10">
        <v>16.840900000000001</v>
      </c>
    </row>
    <row r="11" spans="1:20" x14ac:dyDescent="0.3">
      <c r="A11" t="s">
        <v>50</v>
      </c>
      <c r="B11" t="s">
        <v>51</v>
      </c>
      <c r="C11" t="s">
        <v>52</v>
      </c>
      <c r="D11" t="s">
        <v>53</v>
      </c>
      <c r="F11" t="s">
        <v>25</v>
      </c>
      <c r="G11" t="s">
        <v>26</v>
      </c>
      <c r="H11">
        <v>54.84</v>
      </c>
      <c r="I11">
        <v>4</v>
      </c>
      <c r="J11">
        <v>10.968</v>
      </c>
      <c r="K11">
        <v>219.36</v>
      </c>
      <c r="L11" s="1">
        <v>43565</v>
      </c>
      <c r="M11" s="2">
        <v>0.56041666666666667</v>
      </c>
      <c r="N11" t="s">
        <v>37</v>
      </c>
      <c r="O11">
        <v>164.52</v>
      </c>
      <c r="P11">
        <v>4.7619047620000003</v>
      </c>
      <c r="Q11">
        <v>54.84</v>
      </c>
      <c r="S11">
        <v>96.089100000000002</v>
      </c>
      <c r="T11">
        <v>21.9588</v>
      </c>
    </row>
    <row r="12" spans="1:20" x14ac:dyDescent="0.3">
      <c r="A12" t="s">
        <v>54</v>
      </c>
      <c r="B12" t="s">
        <v>51</v>
      </c>
      <c r="C12" t="s">
        <v>55</v>
      </c>
      <c r="D12" t="s">
        <v>53</v>
      </c>
      <c r="F12" t="s">
        <v>25</v>
      </c>
      <c r="G12" t="s">
        <v>26</v>
      </c>
      <c r="H12">
        <v>14.48</v>
      </c>
      <c r="I12">
        <v>6</v>
      </c>
      <c r="J12">
        <v>4.3440000000000003</v>
      </c>
      <c r="K12">
        <v>86.88</v>
      </c>
      <c r="L12" s="1">
        <v>43669</v>
      </c>
      <c r="M12" s="2">
        <v>0.75486111111111109</v>
      </c>
      <c r="N12" t="s">
        <v>27</v>
      </c>
      <c r="O12">
        <v>57.92</v>
      </c>
      <c r="P12">
        <v>4.7619047620000003</v>
      </c>
      <c r="Q12">
        <v>28.96</v>
      </c>
      <c r="S12">
        <v>96.089100000000002</v>
      </c>
      <c r="T12">
        <v>21.9588</v>
      </c>
    </row>
    <row r="13" spans="1:20" x14ac:dyDescent="0.3">
      <c r="A13" t="s">
        <v>56</v>
      </c>
      <c r="B13" t="s">
        <v>51</v>
      </c>
      <c r="C13" t="s">
        <v>57</v>
      </c>
      <c r="D13" t="s">
        <v>53</v>
      </c>
      <c r="F13" t="s">
        <v>36</v>
      </c>
      <c r="G13" t="s">
        <v>26</v>
      </c>
      <c r="H13">
        <v>25.51</v>
      </c>
      <c r="I13">
        <v>6</v>
      </c>
      <c r="K13">
        <v>153.06</v>
      </c>
      <c r="L13" s="1">
        <v>43703</v>
      </c>
      <c r="M13" s="2">
        <v>0.7104166666666667</v>
      </c>
      <c r="N13" t="s">
        <v>33</v>
      </c>
      <c r="O13">
        <v>102.04</v>
      </c>
      <c r="P13">
        <v>4.7619047620000003</v>
      </c>
      <c r="Q13">
        <v>51.02</v>
      </c>
      <c r="S13">
        <v>96.089100000000002</v>
      </c>
      <c r="T13">
        <v>21.9588</v>
      </c>
    </row>
    <row r="14" spans="1:20" x14ac:dyDescent="0.3">
      <c r="A14" t="s">
        <v>58</v>
      </c>
      <c r="B14" t="s">
        <v>21</v>
      </c>
      <c r="C14" t="s">
        <v>59</v>
      </c>
      <c r="D14" t="s">
        <v>23</v>
      </c>
      <c r="E14" t="s">
        <v>32</v>
      </c>
      <c r="F14" t="s">
        <v>25</v>
      </c>
      <c r="G14" t="s">
        <v>60</v>
      </c>
      <c r="H14">
        <v>46.95</v>
      </c>
      <c r="I14">
        <v>5</v>
      </c>
      <c r="K14">
        <v>234.75</v>
      </c>
      <c r="L14" s="1">
        <v>43702</v>
      </c>
      <c r="M14" s="2">
        <v>0.43402777777777779</v>
      </c>
      <c r="N14" t="s">
        <v>27</v>
      </c>
      <c r="O14">
        <v>234.75</v>
      </c>
      <c r="P14">
        <v>4.7619047620000003</v>
      </c>
      <c r="Q14">
        <v>0</v>
      </c>
      <c r="S14">
        <v>96.173500000000004</v>
      </c>
      <c r="T14">
        <v>16.840900000000001</v>
      </c>
    </row>
    <row r="15" spans="1:20" x14ac:dyDescent="0.3">
      <c r="A15" t="s">
        <v>61</v>
      </c>
      <c r="B15" t="s">
        <v>21</v>
      </c>
      <c r="C15" t="s">
        <v>62</v>
      </c>
      <c r="D15" t="s">
        <v>23</v>
      </c>
      <c r="E15" t="s">
        <v>32</v>
      </c>
      <c r="F15" t="s">
        <v>36</v>
      </c>
      <c r="G15" t="s">
        <v>63</v>
      </c>
      <c r="H15">
        <v>43.19</v>
      </c>
      <c r="I15">
        <v>10</v>
      </c>
      <c r="K15">
        <v>431.9</v>
      </c>
      <c r="L15" s="1">
        <v>43740</v>
      </c>
      <c r="M15" s="2">
        <v>0.7</v>
      </c>
      <c r="N15" t="s">
        <v>27</v>
      </c>
      <c r="O15">
        <v>431.9</v>
      </c>
      <c r="P15">
        <v>4.7619047620000003</v>
      </c>
      <c r="Q15">
        <v>0</v>
      </c>
      <c r="R15">
        <v>8.1999999999999993</v>
      </c>
      <c r="S15">
        <v>96.173500000000004</v>
      </c>
      <c r="T15">
        <v>16.840900000000001</v>
      </c>
    </row>
    <row r="16" spans="1:20" x14ac:dyDescent="0.3">
      <c r="A16" t="s">
        <v>64</v>
      </c>
      <c r="B16" t="s">
        <v>21</v>
      </c>
      <c r="C16" t="s">
        <v>65</v>
      </c>
      <c r="D16" t="s">
        <v>23</v>
      </c>
      <c r="E16" t="s">
        <v>32</v>
      </c>
      <c r="F16" t="s">
        <v>25</v>
      </c>
      <c r="G16" t="s">
        <v>26</v>
      </c>
      <c r="H16">
        <v>71.38</v>
      </c>
      <c r="I16">
        <v>10</v>
      </c>
      <c r="K16">
        <v>713.8</v>
      </c>
      <c r="L16" s="1">
        <v>43792</v>
      </c>
      <c r="M16" s="2">
        <v>0.80625000000000002</v>
      </c>
      <c r="N16" t="s">
        <v>33</v>
      </c>
      <c r="O16">
        <v>713.8</v>
      </c>
      <c r="P16">
        <v>4.7619047620000003</v>
      </c>
      <c r="Q16">
        <v>0</v>
      </c>
      <c r="R16">
        <v>5.7</v>
      </c>
      <c r="S16">
        <v>96.173500000000004</v>
      </c>
      <c r="T16">
        <v>16.840900000000001</v>
      </c>
    </row>
    <row r="17" spans="1:20" x14ac:dyDescent="0.3">
      <c r="A17" t="s">
        <v>66</v>
      </c>
      <c r="B17" t="s">
        <v>51</v>
      </c>
      <c r="C17" t="s">
        <v>67</v>
      </c>
      <c r="D17" t="s">
        <v>53</v>
      </c>
      <c r="E17" t="s">
        <v>24</v>
      </c>
      <c r="F17" t="s">
        <v>25</v>
      </c>
      <c r="G17" t="s">
        <v>68</v>
      </c>
      <c r="H17">
        <v>93.72</v>
      </c>
      <c r="I17">
        <v>11</v>
      </c>
      <c r="K17">
        <v>1030.92</v>
      </c>
      <c r="L17" s="1">
        <v>43661</v>
      </c>
      <c r="M17" s="2">
        <v>0.67986111111111114</v>
      </c>
      <c r="N17" t="s">
        <v>33</v>
      </c>
      <c r="O17">
        <v>562.32000000000005</v>
      </c>
      <c r="P17">
        <v>4.7619047620000003</v>
      </c>
      <c r="Q17">
        <v>468.6</v>
      </c>
      <c r="R17">
        <v>5.4</v>
      </c>
      <c r="S17">
        <v>96.089100000000002</v>
      </c>
      <c r="T17">
        <v>21.9588</v>
      </c>
    </row>
    <row r="18" spans="1:20" x14ac:dyDescent="0.3">
      <c r="A18" t="s">
        <v>69</v>
      </c>
      <c r="B18" t="s">
        <v>21</v>
      </c>
      <c r="C18" t="s">
        <v>70</v>
      </c>
      <c r="D18" t="s">
        <v>23</v>
      </c>
      <c r="E18" t="s">
        <v>24</v>
      </c>
      <c r="F18" t="s">
        <v>25</v>
      </c>
      <c r="G18" t="s">
        <v>26</v>
      </c>
      <c r="H18">
        <v>68.930000000000007</v>
      </c>
      <c r="I18">
        <v>10</v>
      </c>
      <c r="K18">
        <v>689.3</v>
      </c>
      <c r="L18" s="1">
        <v>43801</v>
      </c>
      <c r="M18" s="2">
        <v>0.46041666666666664</v>
      </c>
      <c r="N18" t="s">
        <v>37</v>
      </c>
      <c r="O18">
        <v>482.51</v>
      </c>
      <c r="P18">
        <v>4.7619047620000003</v>
      </c>
      <c r="Q18">
        <v>206.79</v>
      </c>
      <c r="R18">
        <v>4.5999999999999996</v>
      </c>
      <c r="S18">
        <v>96.173500000000004</v>
      </c>
      <c r="T18">
        <v>16.840900000000001</v>
      </c>
    </row>
    <row r="19" spans="1:20" x14ac:dyDescent="0.3">
      <c r="A19" t="s">
        <v>71</v>
      </c>
      <c r="B19" t="s">
        <v>21</v>
      </c>
      <c r="C19" t="s">
        <v>72</v>
      </c>
      <c r="D19" t="s">
        <v>23</v>
      </c>
      <c r="E19" t="s">
        <v>32</v>
      </c>
      <c r="F19" t="s">
        <v>36</v>
      </c>
      <c r="G19" t="s">
        <v>68</v>
      </c>
      <c r="H19">
        <v>72.61</v>
      </c>
      <c r="I19">
        <v>6</v>
      </c>
      <c r="K19">
        <v>435.66</v>
      </c>
      <c r="L19" s="1">
        <v>43533</v>
      </c>
      <c r="M19" s="2">
        <v>0.44374999999999998</v>
      </c>
      <c r="N19" t="s">
        <v>37</v>
      </c>
      <c r="O19">
        <v>435.66</v>
      </c>
      <c r="P19">
        <v>4.7619047620000003</v>
      </c>
      <c r="Q19">
        <v>0</v>
      </c>
      <c r="R19">
        <v>6.9</v>
      </c>
      <c r="S19">
        <v>96.173500000000004</v>
      </c>
      <c r="T19">
        <v>16.840900000000001</v>
      </c>
    </row>
    <row r="20" spans="1:20" x14ac:dyDescent="0.3">
      <c r="A20" t="s">
        <v>73</v>
      </c>
      <c r="B20" t="s">
        <v>21</v>
      </c>
      <c r="C20" t="s">
        <v>74</v>
      </c>
      <c r="D20" t="s">
        <v>23</v>
      </c>
      <c r="E20" t="s">
        <v>32</v>
      </c>
      <c r="F20" t="s">
        <v>36</v>
      </c>
      <c r="G20" t="s">
        <v>63</v>
      </c>
      <c r="H20">
        <v>54.67</v>
      </c>
      <c r="I20">
        <v>3</v>
      </c>
      <c r="K20">
        <v>164.01</v>
      </c>
      <c r="L20" s="1">
        <v>43655</v>
      </c>
      <c r="M20" s="2">
        <v>0.75</v>
      </c>
      <c r="N20" t="s">
        <v>37</v>
      </c>
      <c r="O20">
        <v>164.01</v>
      </c>
      <c r="P20">
        <v>4.7619047620000003</v>
      </c>
      <c r="Q20">
        <v>0</v>
      </c>
      <c r="R20">
        <v>8.6</v>
      </c>
      <c r="S20">
        <v>96.173500000000004</v>
      </c>
      <c r="T20">
        <v>16.840900000000001</v>
      </c>
    </row>
    <row r="21" spans="1:20" x14ac:dyDescent="0.3">
      <c r="A21" t="s">
        <v>75</v>
      </c>
      <c r="B21" t="s">
        <v>51</v>
      </c>
      <c r="C21" t="s">
        <v>76</v>
      </c>
      <c r="D21" t="s">
        <v>53</v>
      </c>
      <c r="E21" t="s">
        <v>32</v>
      </c>
      <c r="F21" t="s">
        <v>25</v>
      </c>
      <c r="G21" t="s">
        <v>77</v>
      </c>
      <c r="H21">
        <v>40.299999999999997</v>
      </c>
      <c r="I21">
        <v>3</v>
      </c>
      <c r="K21">
        <v>120.9</v>
      </c>
      <c r="L21" s="1">
        <v>43593</v>
      </c>
      <c r="M21" s="2">
        <v>0.64583333333333337</v>
      </c>
      <c r="N21" t="s">
        <v>27</v>
      </c>
      <c r="O21">
        <v>80.599999999999994</v>
      </c>
      <c r="P21">
        <v>4.7619047620000003</v>
      </c>
      <c r="Q21">
        <v>40.299999999999997</v>
      </c>
      <c r="R21">
        <v>5.28</v>
      </c>
      <c r="S21">
        <v>96.089100000000002</v>
      </c>
      <c r="T21">
        <v>21.9588</v>
      </c>
    </row>
    <row r="22" spans="1:20" x14ac:dyDescent="0.3">
      <c r="A22" t="s">
        <v>78</v>
      </c>
      <c r="B22" t="s">
        <v>29</v>
      </c>
      <c r="C22" t="s">
        <v>79</v>
      </c>
      <c r="D22" t="s">
        <v>31</v>
      </c>
      <c r="E22" t="s">
        <v>24</v>
      </c>
      <c r="F22" t="s">
        <v>36</v>
      </c>
      <c r="G22" t="s">
        <v>60</v>
      </c>
      <c r="H22">
        <v>86.04</v>
      </c>
      <c r="I22">
        <v>8</v>
      </c>
      <c r="K22">
        <v>688.32</v>
      </c>
      <c r="L22" s="1">
        <v>43756</v>
      </c>
      <c r="M22" s="2">
        <v>0.47499999999999998</v>
      </c>
      <c r="N22" t="s">
        <v>27</v>
      </c>
      <c r="O22">
        <v>430.2</v>
      </c>
      <c r="P22">
        <v>4.7619047620000003</v>
      </c>
      <c r="Q22">
        <v>258.12</v>
      </c>
      <c r="R22">
        <v>5.04</v>
      </c>
      <c r="S22">
        <v>96.078500000000005</v>
      </c>
      <c r="T22">
        <v>19.763300000000001</v>
      </c>
    </row>
    <row r="23" spans="1:20" x14ac:dyDescent="0.3">
      <c r="A23" t="s">
        <v>80</v>
      </c>
      <c r="B23" t="s">
        <v>51</v>
      </c>
      <c r="C23" t="s">
        <v>81</v>
      </c>
      <c r="D23" t="s">
        <v>53</v>
      </c>
      <c r="E23" t="s">
        <v>32</v>
      </c>
      <c r="F23" t="s">
        <v>36</v>
      </c>
      <c r="G23" t="s">
        <v>26</v>
      </c>
      <c r="H23">
        <v>87.98</v>
      </c>
      <c r="I23">
        <v>4</v>
      </c>
      <c r="K23">
        <v>351.92</v>
      </c>
      <c r="L23" s="1">
        <v>43824</v>
      </c>
      <c r="M23" s="2">
        <v>0.44444444444444442</v>
      </c>
      <c r="N23" t="s">
        <v>27</v>
      </c>
      <c r="O23">
        <v>263.94</v>
      </c>
      <c r="P23">
        <v>4.7619047620000003</v>
      </c>
      <c r="Q23">
        <v>87.98</v>
      </c>
      <c r="R23">
        <v>6.12</v>
      </c>
      <c r="S23">
        <v>96.089100000000002</v>
      </c>
      <c r="T23">
        <v>21.9588</v>
      </c>
    </row>
    <row r="24" spans="1:20" x14ac:dyDescent="0.3">
      <c r="A24" t="s">
        <v>82</v>
      </c>
      <c r="B24" t="s">
        <v>51</v>
      </c>
      <c r="C24" t="s">
        <v>83</v>
      </c>
      <c r="D24" t="s">
        <v>53</v>
      </c>
      <c r="E24" t="s">
        <v>32</v>
      </c>
      <c r="F24" t="s">
        <v>36</v>
      </c>
      <c r="G24" t="s">
        <v>26</v>
      </c>
      <c r="H24">
        <v>33.200000000000003</v>
      </c>
      <c r="I24">
        <v>3</v>
      </c>
      <c r="K24">
        <v>99.6</v>
      </c>
      <c r="L24" s="1">
        <v>43586</v>
      </c>
      <c r="M24" s="2">
        <v>0.51388888888888884</v>
      </c>
      <c r="N24" t="s">
        <v>37</v>
      </c>
      <c r="O24">
        <v>66.400000000000006</v>
      </c>
      <c r="P24">
        <v>4.7619047620000003</v>
      </c>
      <c r="Q24">
        <v>33.200000000000003</v>
      </c>
      <c r="R24">
        <v>5.28</v>
      </c>
      <c r="S24">
        <v>96.089100000000002</v>
      </c>
      <c r="T24">
        <v>21.9588</v>
      </c>
    </row>
    <row r="25" spans="1:20" x14ac:dyDescent="0.3">
      <c r="A25" t="s">
        <v>84</v>
      </c>
      <c r="B25" t="s">
        <v>21</v>
      </c>
      <c r="C25" t="s">
        <v>85</v>
      </c>
      <c r="D25" t="s">
        <v>23</v>
      </c>
      <c r="E25" t="s">
        <v>32</v>
      </c>
      <c r="F25" t="s">
        <v>36</v>
      </c>
      <c r="G25" t="s">
        <v>26</v>
      </c>
      <c r="H25">
        <v>34.56</v>
      </c>
      <c r="I25">
        <v>5</v>
      </c>
      <c r="K25">
        <v>172.8</v>
      </c>
      <c r="L25" s="1">
        <v>43512</v>
      </c>
      <c r="M25" s="2">
        <v>0.46875</v>
      </c>
      <c r="N25" t="s">
        <v>27</v>
      </c>
      <c r="O25">
        <v>172.8</v>
      </c>
      <c r="P25">
        <v>4.7619047620000003</v>
      </c>
      <c r="Q25">
        <v>0</v>
      </c>
      <c r="R25">
        <v>9.9</v>
      </c>
      <c r="S25">
        <v>96.173500000000004</v>
      </c>
      <c r="T25">
        <v>16.840900000000001</v>
      </c>
    </row>
    <row r="26" spans="1:20" x14ac:dyDescent="0.3">
      <c r="A26" t="s">
        <v>86</v>
      </c>
      <c r="B26" t="s">
        <v>21</v>
      </c>
      <c r="C26" t="s">
        <v>87</v>
      </c>
      <c r="D26" t="s">
        <v>23</v>
      </c>
      <c r="E26" t="s">
        <v>24</v>
      </c>
      <c r="F26" t="s">
        <v>36</v>
      </c>
      <c r="G26" t="s">
        <v>26</v>
      </c>
      <c r="H26">
        <v>88.63</v>
      </c>
      <c r="I26">
        <v>4</v>
      </c>
      <c r="J26">
        <v>17.725999999999999</v>
      </c>
      <c r="K26">
        <v>354.52</v>
      </c>
      <c r="L26" s="1">
        <v>43535</v>
      </c>
      <c r="M26" s="2">
        <v>0.73333333333333328</v>
      </c>
      <c r="N26" t="s">
        <v>27</v>
      </c>
      <c r="O26">
        <v>265.89</v>
      </c>
      <c r="P26">
        <v>4.7619047620000003</v>
      </c>
      <c r="Q26">
        <v>88.63</v>
      </c>
      <c r="R26">
        <v>6</v>
      </c>
      <c r="S26">
        <v>96.173500000000004</v>
      </c>
      <c r="T26">
        <v>16.840900000000001</v>
      </c>
    </row>
    <row r="27" spans="1:20" x14ac:dyDescent="0.3">
      <c r="A27" t="s">
        <v>88</v>
      </c>
      <c r="B27" t="s">
        <v>21</v>
      </c>
      <c r="C27" t="s">
        <v>89</v>
      </c>
      <c r="D27" t="s">
        <v>23</v>
      </c>
      <c r="E27" t="s">
        <v>24</v>
      </c>
      <c r="F27" t="s">
        <v>25</v>
      </c>
      <c r="G27" t="s">
        <v>26</v>
      </c>
      <c r="H27">
        <v>52.59</v>
      </c>
      <c r="I27">
        <v>11</v>
      </c>
      <c r="J27">
        <v>28.924499999999998</v>
      </c>
      <c r="K27">
        <v>578.49</v>
      </c>
      <c r="L27" s="1">
        <v>43777</v>
      </c>
      <c r="M27" s="2">
        <v>0.80555555555555558</v>
      </c>
      <c r="N27" t="s">
        <v>37</v>
      </c>
      <c r="O27">
        <v>420.72</v>
      </c>
      <c r="P27">
        <v>4.7619047620000003</v>
      </c>
      <c r="Q27">
        <v>157.77000000000001</v>
      </c>
      <c r="R27">
        <v>8.5</v>
      </c>
      <c r="S27">
        <v>96.173500000000004</v>
      </c>
      <c r="T27">
        <v>16.840900000000001</v>
      </c>
    </row>
    <row r="28" spans="1:20" x14ac:dyDescent="0.3">
      <c r="A28" t="s">
        <v>90</v>
      </c>
      <c r="B28" t="s">
        <v>51</v>
      </c>
      <c r="C28" t="s">
        <v>91</v>
      </c>
      <c r="D28" t="s">
        <v>53</v>
      </c>
      <c r="E28" t="s">
        <v>32</v>
      </c>
      <c r="F28" t="s">
        <v>36</v>
      </c>
      <c r="G28" t="s">
        <v>26</v>
      </c>
      <c r="H28">
        <v>33.520000000000003</v>
      </c>
      <c r="I28">
        <v>1</v>
      </c>
      <c r="J28">
        <v>1.6759999999999999</v>
      </c>
      <c r="K28">
        <v>33.520000000000003</v>
      </c>
      <c r="L28" s="1">
        <v>43484</v>
      </c>
      <c r="M28" s="2">
        <v>0.64652777777777781</v>
      </c>
      <c r="N28" t="s">
        <v>33</v>
      </c>
      <c r="O28">
        <v>33.520000000000003</v>
      </c>
      <c r="P28">
        <v>4.7619047620000003</v>
      </c>
      <c r="Q28">
        <v>0</v>
      </c>
      <c r="R28">
        <v>8.0399999999999991</v>
      </c>
      <c r="S28">
        <v>96.089100000000002</v>
      </c>
      <c r="T28">
        <v>21.9588</v>
      </c>
    </row>
    <row r="29" spans="1:20" x14ac:dyDescent="0.3">
      <c r="A29" t="s">
        <v>92</v>
      </c>
      <c r="B29" t="s">
        <v>21</v>
      </c>
      <c r="C29" t="s">
        <v>93</v>
      </c>
      <c r="D29" t="s">
        <v>23</v>
      </c>
      <c r="E29" t="s">
        <v>32</v>
      </c>
      <c r="F29" t="s">
        <v>25</v>
      </c>
      <c r="G29" t="s">
        <v>26</v>
      </c>
      <c r="H29">
        <v>87.67</v>
      </c>
      <c r="I29">
        <v>2</v>
      </c>
      <c r="J29">
        <v>8.7669999999999995</v>
      </c>
      <c r="K29">
        <v>175.34</v>
      </c>
      <c r="L29" s="1">
        <v>43712</v>
      </c>
      <c r="M29" s="2">
        <v>0.51180555555555551</v>
      </c>
      <c r="N29" t="s">
        <v>37</v>
      </c>
      <c r="O29">
        <v>175.34</v>
      </c>
      <c r="P29">
        <v>4.7619047620000003</v>
      </c>
      <c r="Q29">
        <v>0</v>
      </c>
      <c r="R29">
        <v>7.7</v>
      </c>
      <c r="S29">
        <v>96.173500000000004</v>
      </c>
      <c r="T29">
        <v>16.840900000000001</v>
      </c>
    </row>
    <row r="30" spans="1:20" x14ac:dyDescent="0.3">
      <c r="A30" t="s">
        <v>94</v>
      </c>
      <c r="B30" t="s">
        <v>51</v>
      </c>
      <c r="C30" t="s">
        <v>95</v>
      </c>
      <c r="D30" t="s">
        <v>53</v>
      </c>
      <c r="E30" t="s">
        <v>32</v>
      </c>
      <c r="F30" t="s">
        <v>25</v>
      </c>
      <c r="G30" t="s">
        <v>26</v>
      </c>
      <c r="H30">
        <v>88.36</v>
      </c>
      <c r="I30">
        <v>7</v>
      </c>
      <c r="J30">
        <v>30.925999999999998</v>
      </c>
      <c r="K30">
        <v>618.52</v>
      </c>
      <c r="L30" s="1">
        <v>43530</v>
      </c>
      <c r="M30" s="2">
        <v>0.82499999999999996</v>
      </c>
      <c r="N30" t="s">
        <v>33</v>
      </c>
      <c r="O30">
        <v>441.8</v>
      </c>
      <c r="P30">
        <v>4.7619047620000003</v>
      </c>
      <c r="Q30">
        <v>176.72</v>
      </c>
      <c r="R30">
        <v>10</v>
      </c>
      <c r="S30">
        <v>96.089100000000002</v>
      </c>
      <c r="T30">
        <v>21.9588</v>
      </c>
    </row>
    <row r="31" spans="1:20" x14ac:dyDescent="0.3">
      <c r="A31" t="s">
        <v>96</v>
      </c>
      <c r="B31" t="s">
        <v>21</v>
      </c>
      <c r="C31" t="s">
        <v>97</v>
      </c>
      <c r="D31" t="s">
        <v>23</v>
      </c>
      <c r="E31" t="s">
        <v>32</v>
      </c>
      <c r="G31" t="s">
        <v>26</v>
      </c>
      <c r="H31">
        <v>24.89</v>
      </c>
      <c r="I31">
        <v>9</v>
      </c>
      <c r="J31">
        <v>11.2005</v>
      </c>
      <c r="K31">
        <v>224.01</v>
      </c>
      <c r="L31" s="1">
        <v>43620</v>
      </c>
      <c r="M31" s="2">
        <v>0.65</v>
      </c>
      <c r="N31" t="s">
        <v>33</v>
      </c>
      <c r="O31">
        <v>224.01</v>
      </c>
      <c r="P31">
        <v>4.7619047620000003</v>
      </c>
      <c r="Q31">
        <v>0</v>
      </c>
      <c r="R31">
        <v>7.4</v>
      </c>
      <c r="S31">
        <v>96.173500000000004</v>
      </c>
      <c r="T31">
        <v>16.840900000000001</v>
      </c>
    </row>
    <row r="32" spans="1:20" x14ac:dyDescent="0.3">
      <c r="A32" t="s">
        <v>98</v>
      </c>
      <c r="B32" t="s">
        <v>51</v>
      </c>
      <c r="C32" t="s">
        <v>99</v>
      </c>
      <c r="D32" t="s">
        <v>53</v>
      </c>
      <c r="E32" t="s">
        <v>32</v>
      </c>
      <c r="G32" t="s">
        <v>100</v>
      </c>
      <c r="H32">
        <v>94.13</v>
      </c>
      <c r="I32">
        <v>7</v>
      </c>
      <c r="J32">
        <v>32.945500000000003</v>
      </c>
      <c r="K32">
        <v>658.91</v>
      </c>
      <c r="L32" s="1">
        <v>43694</v>
      </c>
      <c r="M32" s="2">
        <v>0.81874999999999998</v>
      </c>
      <c r="N32" t="s">
        <v>37</v>
      </c>
      <c r="O32">
        <v>470.65</v>
      </c>
      <c r="P32">
        <v>4.7619047620000003</v>
      </c>
      <c r="Q32">
        <v>188.26</v>
      </c>
      <c r="R32">
        <v>5.76</v>
      </c>
      <c r="S32">
        <v>96.089100000000002</v>
      </c>
      <c r="T32">
        <v>21.9588</v>
      </c>
    </row>
    <row r="33" spans="1:20" x14ac:dyDescent="0.3">
      <c r="A33" t="s">
        <v>101</v>
      </c>
      <c r="B33" t="s">
        <v>51</v>
      </c>
      <c r="C33" t="s">
        <v>102</v>
      </c>
      <c r="D33" t="s">
        <v>53</v>
      </c>
      <c r="E33" t="s">
        <v>24</v>
      </c>
      <c r="G33" t="s">
        <v>68</v>
      </c>
      <c r="H33">
        <v>78.069999999999993</v>
      </c>
      <c r="I33">
        <v>18</v>
      </c>
      <c r="J33">
        <v>70.263000000000005</v>
      </c>
      <c r="K33">
        <v>1405.26</v>
      </c>
      <c r="L33" s="1">
        <v>43483</v>
      </c>
      <c r="M33" s="2">
        <v>0.52986111111111112</v>
      </c>
      <c r="N33" t="s">
        <v>33</v>
      </c>
      <c r="O33">
        <v>702.63</v>
      </c>
      <c r="P33">
        <v>4.7619047620000003</v>
      </c>
      <c r="Q33">
        <v>702.63</v>
      </c>
      <c r="R33">
        <v>5.4</v>
      </c>
      <c r="S33">
        <v>96.089100000000002</v>
      </c>
      <c r="T33">
        <v>21.9588</v>
      </c>
    </row>
    <row r="34" spans="1:20" x14ac:dyDescent="0.3">
      <c r="A34" t="s">
        <v>103</v>
      </c>
      <c r="B34" t="s">
        <v>51</v>
      </c>
      <c r="C34" t="s">
        <v>104</v>
      </c>
      <c r="D34" t="s">
        <v>53</v>
      </c>
      <c r="E34" t="s">
        <v>32</v>
      </c>
      <c r="G34" t="s">
        <v>68</v>
      </c>
      <c r="H34">
        <v>83.78</v>
      </c>
      <c r="I34">
        <v>11</v>
      </c>
      <c r="J34">
        <v>46.079000000000001</v>
      </c>
      <c r="K34">
        <v>921.58</v>
      </c>
      <c r="L34" s="1">
        <v>43631</v>
      </c>
      <c r="M34" s="2">
        <v>0.61736111111111114</v>
      </c>
      <c r="N34" t="s">
        <v>33</v>
      </c>
      <c r="O34">
        <v>670.24</v>
      </c>
      <c r="P34">
        <v>4.7619047620000003</v>
      </c>
      <c r="Q34">
        <v>251.34</v>
      </c>
      <c r="R34">
        <v>6.12</v>
      </c>
      <c r="S34">
        <v>96.089100000000002</v>
      </c>
      <c r="T34">
        <v>21.9588</v>
      </c>
    </row>
    <row r="35" spans="1:20" x14ac:dyDescent="0.3">
      <c r="A35" t="s">
        <v>105</v>
      </c>
      <c r="B35" t="s">
        <v>21</v>
      </c>
      <c r="C35" t="s">
        <v>85</v>
      </c>
      <c r="D35" t="s">
        <v>23</v>
      </c>
      <c r="E35" t="s">
        <v>32</v>
      </c>
      <c r="G35" t="s">
        <v>26</v>
      </c>
      <c r="H35">
        <v>96.58</v>
      </c>
      <c r="I35">
        <v>2</v>
      </c>
      <c r="J35">
        <v>9.6579999999999995</v>
      </c>
      <c r="K35">
        <v>193.16</v>
      </c>
      <c r="L35" s="1">
        <v>43736</v>
      </c>
      <c r="M35" s="2">
        <v>0.42499999999999999</v>
      </c>
      <c r="N35" t="s">
        <v>37</v>
      </c>
      <c r="O35">
        <v>193.16</v>
      </c>
      <c r="P35">
        <v>4.7619047620000003</v>
      </c>
      <c r="Q35">
        <v>0</v>
      </c>
      <c r="R35">
        <v>5.0999999999999996</v>
      </c>
      <c r="S35">
        <v>96.173500000000004</v>
      </c>
      <c r="T35">
        <v>16.840900000000001</v>
      </c>
    </row>
    <row r="36" spans="1:20" x14ac:dyDescent="0.3">
      <c r="A36" t="s">
        <v>106</v>
      </c>
      <c r="B36" t="s">
        <v>29</v>
      </c>
      <c r="C36" t="s">
        <v>107</v>
      </c>
      <c r="D36" t="s">
        <v>31</v>
      </c>
      <c r="E36" t="s">
        <v>32</v>
      </c>
      <c r="G36" t="s">
        <v>63</v>
      </c>
      <c r="H36">
        <v>99.42</v>
      </c>
      <c r="I36">
        <v>5</v>
      </c>
      <c r="K36">
        <v>497.1</v>
      </c>
      <c r="L36" s="1">
        <v>43594</v>
      </c>
      <c r="M36" s="2">
        <v>0.44583333333333336</v>
      </c>
      <c r="N36" t="s">
        <v>27</v>
      </c>
      <c r="O36">
        <v>397.68</v>
      </c>
      <c r="P36">
        <v>4.7619047620000003</v>
      </c>
      <c r="Q36">
        <v>99.42</v>
      </c>
      <c r="R36">
        <v>7.875</v>
      </c>
      <c r="S36">
        <v>96.078500000000005</v>
      </c>
      <c r="T36">
        <v>19.763300000000001</v>
      </c>
    </row>
    <row r="37" spans="1:20" x14ac:dyDescent="0.3">
      <c r="A37" t="s">
        <v>108</v>
      </c>
      <c r="B37" t="s">
        <v>29</v>
      </c>
      <c r="C37" t="s">
        <v>109</v>
      </c>
      <c r="D37" t="s">
        <v>31</v>
      </c>
      <c r="E37" t="s">
        <v>32</v>
      </c>
      <c r="G37" t="s">
        <v>68</v>
      </c>
      <c r="H37">
        <v>68.12</v>
      </c>
      <c r="I37">
        <v>1</v>
      </c>
      <c r="K37">
        <v>68.12</v>
      </c>
      <c r="L37" s="1">
        <v>43658</v>
      </c>
      <c r="M37" s="2">
        <v>0.51944444444444449</v>
      </c>
      <c r="N37" t="s">
        <v>27</v>
      </c>
      <c r="O37">
        <v>68.12</v>
      </c>
      <c r="P37">
        <v>4.7619047620000003</v>
      </c>
      <c r="Q37">
        <v>0</v>
      </c>
      <c r="R37">
        <v>7.14</v>
      </c>
      <c r="S37">
        <v>96.078500000000005</v>
      </c>
      <c r="T37">
        <v>19.763300000000001</v>
      </c>
    </row>
    <row r="38" spans="1:20" x14ac:dyDescent="0.3">
      <c r="A38" t="s">
        <v>110</v>
      </c>
      <c r="B38" t="s">
        <v>21</v>
      </c>
      <c r="C38" t="s">
        <v>111</v>
      </c>
      <c r="D38" t="s">
        <v>23</v>
      </c>
      <c r="E38" t="s">
        <v>32</v>
      </c>
      <c r="G38" t="s">
        <v>68</v>
      </c>
      <c r="H38">
        <v>62.62</v>
      </c>
      <c r="I38">
        <v>5</v>
      </c>
      <c r="K38">
        <v>313.10000000000002</v>
      </c>
      <c r="L38" s="1">
        <v>43593</v>
      </c>
      <c r="M38" s="2">
        <v>0.80208333333333337</v>
      </c>
      <c r="N38" t="s">
        <v>27</v>
      </c>
      <c r="O38">
        <v>313.10000000000002</v>
      </c>
      <c r="P38">
        <v>4.7619047620000003</v>
      </c>
      <c r="Q38">
        <v>0</v>
      </c>
      <c r="R38">
        <v>7</v>
      </c>
      <c r="S38">
        <v>96.173500000000004</v>
      </c>
      <c r="T38">
        <v>16.840900000000001</v>
      </c>
    </row>
    <row r="39" spans="1:20" x14ac:dyDescent="0.3">
      <c r="A39" t="s">
        <v>112</v>
      </c>
      <c r="B39" t="s">
        <v>21</v>
      </c>
      <c r="C39" t="s">
        <v>113</v>
      </c>
      <c r="D39" t="s">
        <v>23</v>
      </c>
      <c r="E39" t="s">
        <v>32</v>
      </c>
      <c r="G39" t="s">
        <v>60</v>
      </c>
      <c r="H39">
        <v>60.88</v>
      </c>
      <c r="I39">
        <v>9</v>
      </c>
      <c r="K39">
        <v>547.91999999999996</v>
      </c>
      <c r="L39" s="1">
        <v>43725</v>
      </c>
      <c r="M39" s="2">
        <v>0.72013888888888888</v>
      </c>
      <c r="N39" t="s">
        <v>27</v>
      </c>
      <c r="O39">
        <v>547.91999999999996</v>
      </c>
      <c r="P39">
        <v>4.7619047620000003</v>
      </c>
      <c r="Q39">
        <v>0</v>
      </c>
      <c r="R39">
        <v>4.7</v>
      </c>
      <c r="S39">
        <v>96.173500000000004</v>
      </c>
      <c r="T39">
        <v>16.840900000000001</v>
      </c>
    </row>
    <row r="40" spans="1:20" x14ac:dyDescent="0.3">
      <c r="A40" t="s">
        <v>114</v>
      </c>
      <c r="B40" t="s">
        <v>29</v>
      </c>
      <c r="C40" t="s">
        <v>115</v>
      </c>
      <c r="D40" t="s">
        <v>31</v>
      </c>
      <c r="E40" t="s">
        <v>32</v>
      </c>
      <c r="G40" t="s">
        <v>26</v>
      </c>
      <c r="H40">
        <v>54.92</v>
      </c>
      <c r="I40">
        <v>10</v>
      </c>
      <c r="J40">
        <v>27.46</v>
      </c>
      <c r="K40">
        <v>549.20000000000005</v>
      </c>
      <c r="L40" s="1">
        <v>43765</v>
      </c>
      <c r="M40" s="2">
        <v>0.55833333333333335</v>
      </c>
      <c r="N40" t="s">
        <v>27</v>
      </c>
      <c r="O40">
        <v>439.36</v>
      </c>
      <c r="P40">
        <v>4.7619047620000003</v>
      </c>
      <c r="Q40">
        <v>109.84</v>
      </c>
      <c r="R40">
        <v>7.98</v>
      </c>
      <c r="S40">
        <v>96.078500000000005</v>
      </c>
      <c r="T40">
        <v>19.763300000000001</v>
      </c>
    </row>
    <row r="41" spans="1:20" x14ac:dyDescent="0.3">
      <c r="A41" t="s">
        <v>116</v>
      </c>
      <c r="B41" t="s">
        <v>51</v>
      </c>
      <c r="C41" t="s">
        <v>117</v>
      </c>
      <c r="D41" t="s">
        <v>53</v>
      </c>
      <c r="E41" t="s">
        <v>32</v>
      </c>
      <c r="G41" t="s">
        <v>77</v>
      </c>
      <c r="H41">
        <v>30.12</v>
      </c>
      <c r="I41">
        <v>11</v>
      </c>
      <c r="J41">
        <v>16.565999999999999</v>
      </c>
      <c r="K41">
        <v>331.32</v>
      </c>
      <c r="L41" s="1">
        <v>43752</v>
      </c>
      <c r="M41" s="2">
        <v>0.54236111111111107</v>
      </c>
      <c r="N41" t="s">
        <v>33</v>
      </c>
      <c r="O41">
        <v>240.96</v>
      </c>
      <c r="P41">
        <v>4.7619047620000003</v>
      </c>
      <c r="Q41">
        <v>90.36</v>
      </c>
      <c r="R41">
        <v>9.24</v>
      </c>
      <c r="S41">
        <v>96.089100000000002</v>
      </c>
      <c r="T41">
        <v>21.9588</v>
      </c>
    </row>
    <row r="42" spans="1:20" x14ac:dyDescent="0.3">
      <c r="A42" t="s">
        <v>118</v>
      </c>
      <c r="B42" t="s">
        <v>51</v>
      </c>
      <c r="C42" t="s">
        <v>119</v>
      </c>
      <c r="D42" t="s">
        <v>53</v>
      </c>
      <c r="E42" t="s">
        <v>32</v>
      </c>
      <c r="F42" t="s">
        <v>25</v>
      </c>
      <c r="G42" t="s">
        <v>77</v>
      </c>
      <c r="H42">
        <v>86.72</v>
      </c>
      <c r="I42">
        <v>1</v>
      </c>
      <c r="J42">
        <v>4.3360000000000003</v>
      </c>
      <c r="K42">
        <v>86.72</v>
      </c>
      <c r="L42" s="1">
        <v>43504</v>
      </c>
      <c r="M42" s="2">
        <v>0.78125</v>
      </c>
      <c r="N42" t="s">
        <v>27</v>
      </c>
      <c r="O42">
        <v>86.72</v>
      </c>
      <c r="P42">
        <v>4.7619047620000003</v>
      </c>
      <c r="Q42">
        <v>0</v>
      </c>
      <c r="R42">
        <v>9.48</v>
      </c>
      <c r="S42">
        <v>96.089100000000002</v>
      </c>
      <c r="T42">
        <v>21.9588</v>
      </c>
    </row>
    <row r="43" spans="1:20" x14ac:dyDescent="0.3">
      <c r="A43" t="s">
        <v>120</v>
      </c>
      <c r="B43" t="s">
        <v>29</v>
      </c>
      <c r="C43" t="s">
        <v>121</v>
      </c>
      <c r="D43" t="s">
        <v>31</v>
      </c>
      <c r="E43" t="s">
        <v>32</v>
      </c>
      <c r="F43" t="s">
        <v>36</v>
      </c>
      <c r="G43" t="s">
        <v>77</v>
      </c>
      <c r="H43">
        <v>56.11</v>
      </c>
      <c r="I43">
        <v>2</v>
      </c>
      <c r="J43">
        <v>5.6109999999999998</v>
      </c>
      <c r="K43">
        <v>112.22</v>
      </c>
      <c r="L43" s="1">
        <v>43708</v>
      </c>
      <c r="M43" s="2">
        <v>0.42430555555555555</v>
      </c>
      <c r="N43" t="s">
        <v>33</v>
      </c>
      <c r="O43">
        <v>112.22</v>
      </c>
      <c r="P43">
        <v>4.7619047620000003</v>
      </c>
      <c r="Q43">
        <v>0</v>
      </c>
      <c r="R43">
        <v>6.6150000000000002</v>
      </c>
      <c r="S43">
        <v>96.078500000000005</v>
      </c>
      <c r="T43">
        <v>19.763300000000001</v>
      </c>
    </row>
    <row r="44" spans="1:20" x14ac:dyDescent="0.3">
      <c r="A44" t="s">
        <v>122</v>
      </c>
      <c r="B44" t="s">
        <v>51</v>
      </c>
      <c r="C44" t="s">
        <v>123</v>
      </c>
      <c r="D44" t="s">
        <v>53</v>
      </c>
      <c r="E44" t="s">
        <v>32</v>
      </c>
      <c r="F44" t="s">
        <v>25</v>
      </c>
      <c r="G44" t="s">
        <v>68</v>
      </c>
      <c r="H44">
        <v>69.12</v>
      </c>
      <c r="I44">
        <v>8</v>
      </c>
      <c r="J44">
        <v>27.648</v>
      </c>
      <c r="K44">
        <v>552.96</v>
      </c>
      <c r="L44" s="1">
        <v>43583</v>
      </c>
      <c r="M44" s="2">
        <v>0.54374999999999996</v>
      </c>
      <c r="N44" t="s">
        <v>33</v>
      </c>
      <c r="O44">
        <v>414.72</v>
      </c>
      <c r="P44">
        <v>4.7619047620000003</v>
      </c>
      <c r="Q44">
        <v>138.24</v>
      </c>
      <c r="R44">
        <v>6.72</v>
      </c>
      <c r="S44">
        <v>96.089100000000002</v>
      </c>
      <c r="T44">
        <v>21.9588</v>
      </c>
    </row>
    <row r="45" spans="1:20" x14ac:dyDescent="0.3">
      <c r="A45" t="s">
        <v>124</v>
      </c>
      <c r="B45" t="s">
        <v>29</v>
      </c>
      <c r="C45" t="s">
        <v>125</v>
      </c>
      <c r="D45" t="s">
        <v>31</v>
      </c>
      <c r="E45" t="s">
        <v>32</v>
      </c>
      <c r="F45" t="s">
        <v>25</v>
      </c>
      <c r="G45" t="s">
        <v>63</v>
      </c>
      <c r="H45">
        <v>98.7</v>
      </c>
      <c r="I45">
        <v>10</v>
      </c>
      <c r="J45">
        <v>49.35</v>
      </c>
      <c r="K45">
        <v>987</v>
      </c>
      <c r="L45" s="1">
        <v>43518</v>
      </c>
      <c r="M45" s="2">
        <v>0.86041666666666672</v>
      </c>
      <c r="N45" t="s">
        <v>33</v>
      </c>
      <c r="O45">
        <v>789.6</v>
      </c>
      <c r="P45">
        <v>4.7619047620000003</v>
      </c>
      <c r="Q45">
        <v>197.4</v>
      </c>
      <c r="R45">
        <v>7.98</v>
      </c>
      <c r="S45">
        <v>96.078500000000005</v>
      </c>
      <c r="T45">
        <v>19.763300000000001</v>
      </c>
    </row>
    <row r="46" spans="1:20" x14ac:dyDescent="0.3">
      <c r="A46" t="s">
        <v>126</v>
      </c>
      <c r="B46" t="s">
        <v>29</v>
      </c>
      <c r="C46" t="s">
        <v>127</v>
      </c>
      <c r="D46" t="s">
        <v>31</v>
      </c>
      <c r="E46" t="s">
        <v>32</v>
      </c>
      <c r="F46" t="s">
        <v>36</v>
      </c>
      <c r="G46" t="s">
        <v>26</v>
      </c>
      <c r="H46">
        <v>15.37</v>
      </c>
      <c r="I46">
        <v>2</v>
      </c>
      <c r="J46">
        <v>1.5369999999999999</v>
      </c>
      <c r="K46">
        <v>30.74</v>
      </c>
      <c r="L46" s="1">
        <v>43745</v>
      </c>
      <c r="M46" s="2">
        <v>0.82430555555555551</v>
      </c>
      <c r="N46" t="s">
        <v>33</v>
      </c>
      <c r="O46">
        <v>30.74</v>
      </c>
      <c r="P46">
        <v>4.7619047620000003</v>
      </c>
      <c r="Q46">
        <v>0</v>
      </c>
      <c r="R46">
        <v>7.56</v>
      </c>
      <c r="S46">
        <v>96.078500000000005</v>
      </c>
      <c r="T46">
        <v>19.763300000000001</v>
      </c>
    </row>
    <row r="47" spans="1:20" x14ac:dyDescent="0.3">
      <c r="A47" t="s">
        <v>128</v>
      </c>
      <c r="B47" t="s">
        <v>51</v>
      </c>
      <c r="C47" t="s">
        <v>129</v>
      </c>
      <c r="D47" t="s">
        <v>53</v>
      </c>
      <c r="E47" t="s">
        <v>32</v>
      </c>
      <c r="F47" t="s">
        <v>25</v>
      </c>
      <c r="G47" t="s">
        <v>26</v>
      </c>
      <c r="H47">
        <v>93.96</v>
      </c>
      <c r="I47">
        <v>6</v>
      </c>
      <c r="J47">
        <v>28.187999999999999</v>
      </c>
      <c r="K47">
        <v>563.76</v>
      </c>
      <c r="L47" s="1">
        <v>43476</v>
      </c>
      <c r="M47" s="2">
        <v>0.75</v>
      </c>
      <c r="N47" t="s">
        <v>33</v>
      </c>
      <c r="O47">
        <v>375.84</v>
      </c>
      <c r="P47">
        <v>4.7619047620000003</v>
      </c>
      <c r="Q47">
        <v>187.92</v>
      </c>
      <c r="R47">
        <v>10</v>
      </c>
      <c r="S47">
        <v>96.089100000000002</v>
      </c>
      <c r="T47">
        <v>21.9588</v>
      </c>
    </row>
    <row r="48" spans="1:20" x14ac:dyDescent="0.3">
      <c r="A48" t="s">
        <v>130</v>
      </c>
      <c r="B48" t="s">
        <v>51</v>
      </c>
      <c r="C48" t="s">
        <v>119</v>
      </c>
      <c r="D48" t="s">
        <v>53</v>
      </c>
      <c r="E48" t="s">
        <v>32</v>
      </c>
      <c r="F48" t="s">
        <v>36</v>
      </c>
      <c r="G48" t="s">
        <v>26</v>
      </c>
      <c r="H48">
        <v>56.69</v>
      </c>
      <c r="I48">
        <v>13</v>
      </c>
      <c r="J48">
        <v>36.848500000000001</v>
      </c>
      <c r="K48">
        <v>736.97</v>
      </c>
      <c r="L48" s="1">
        <v>43521</v>
      </c>
      <c r="M48" s="2">
        <v>0.72499999999999998</v>
      </c>
      <c r="N48" t="s">
        <v>37</v>
      </c>
      <c r="O48">
        <v>510.21</v>
      </c>
      <c r="P48">
        <v>4.7619047620000003</v>
      </c>
      <c r="Q48">
        <v>226.76</v>
      </c>
      <c r="R48">
        <v>10</v>
      </c>
      <c r="S48">
        <v>96.089100000000002</v>
      </c>
      <c r="T48">
        <v>21.9588</v>
      </c>
    </row>
    <row r="49" spans="1:20" x14ac:dyDescent="0.3">
      <c r="A49" t="s">
        <v>131</v>
      </c>
      <c r="B49" t="s">
        <v>51</v>
      </c>
      <c r="C49" t="s">
        <v>132</v>
      </c>
      <c r="D49" t="s">
        <v>53</v>
      </c>
      <c r="E49" t="s">
        <v>32</v>
      </c>
      <c r="F49" t="s">
        <v>25</v>
      </c>
      <c r="G49" t="s">
        <v>26</v>
      </c>
      <c r="H49">
        <v>20.010000000000002</v>
      </c>
      <c r="I49">
        <v>13</v>
      </c>
      <c r="J49">
        <v>13.006500000000001</v>
      </c>
      <c r="K49">
        <v>260.13</v>
      </c>
      <c r="L49" s="1">
        <v>43503</v>
      </c>
      <c r="M49" s="2">
        <v>0.65763888888888888</v>
      </c>
      <c r="N49" t="s">
        <v>27</v>
      </c>
      <c r="O49">
        <v>180.09</v>
      </c>
      <c r="P49">
        <v>4.7619047620000003</v>
      </c>
      <c r="Q49">
        <v>80.040000000000006</v>
      </c>
      <c r="R49">
        <v>4.92</v>
      </c>
      <c r="S49">
        <v>96.089100000000002</v>
      </c>
      <c r="T49">
        <v>21.9588</v>
      </c>
    </row>
    <row r="50" spans="1:20" x14ac:dyDescent="0.3">
      <c r="A50" t="s">
        <v>133</v>
      </c>
      <c r="B50" t="s">
        <v>51</v>
      </c>
      <c r="C50" t="s">
        <v>134</v>
      </c>
      <c r="D50" t="s">
        <v>53</v>
      </c>
      <c r="E50" t="s">
        <v>32</v>
      </c>
      <c r="F50" t="s">
        <v>36</v>
      </c>
      <c r="G50" t="s">
        <v>26</v>
      </c>
      <c r="H50">
        <v>18.93</v>
      </c>
      <c r="I50">
        <v>8</v>
      </c>
      <c r="J50">
        <v>7.5720000000000001</v>
      </c>
      <c r="K50">
        <v>151.44</v>
      </c>
      <c r="L50" s="1">
        <v>43754</v>
      </c>
      <c r="M50" s="2">
        <v>0.53125</v>
      </c>
      <c r="N50" t="s">
        <v>37</v>
      </c>
      <c r="O50">
        <v>113.58</v>
      </c>
      <c r="P50">
        <v>4.7619047620000003</v>
      </c>
      <c r="Q50">
        <v>37.86</v>
      </c>
      <c r="R50">
        <v>9.7200000000000006</v>
      </c>
      <c r="S50">
        <v>96.089100000000002</v>
      </c>
      <c r="T50">
        <v>21.9588</v>
      </c>
    </row>
    <row r="51" spans="1:20" x14ac:dyDescent="0.3">
      <c r="A51" t="s">
        <v>135</v>
      </c>
      <c r="B51" t="s">
        <v>29</v>
      </c>
      <c r="C51" t="s">
        <v>136</v>
      </c>
      <c r="D51" t="s">
        <v>31</v>
      </c>
      <c r="E51" t="s">
        <v>32</v>
      </c>
      <c r="F51" t="s">
        <v>25</v>
      </c>
      <c r="G51" t="s">
        <v>26</v>
      </c>
      <c r="H51">
        <v>82.63</v>
      </c>
      <c r="I51">
        <v>12</v>
      </c>
      <c r="J51">
        <v>49.578000000000003</v>
      </c>
      <c r="K51">
        <v>991.56</v>
      </c>
      <c r="L51" s="1">
        <v>43619</v>
      </c>
      <c r="M51" s="2">
        <v>0.71388888888888891</v>
      </c>
      <c r="N51" t="s">
        <v>27</v>
      </c>
      <c r="O51">
        <v>826.3</v>
      </c>
      <c r="P51">
        <v>4.7619047620000003</v>
      </c>
      <c r="Q51">
        <v>165.26</v>
      </c>
      <c r="R51">
        <v>8.2949999999999999</v>
      </c>
      <c r="S51">
        <v>96.078500000000005</v>
      </c>
      <c r="T51">
        <v>19.763300000000001</v>
      </c>
    </row>
    <row r="52" spans="1:20" x14ac:dyDescent="0.3">
      <c r="A52" t="s">
        <v>137</v>
      </c>
      <c r="B52" t="s">
        <v>29</v>
      </c>
      <c r="C52" t="s">
        <v>138</v>
      </c>
      <c r="D52" t="s">
        <v>31</v>
      </c>
      <c r="E52" t="s">
        <v>32</v>
      </c>
      <c r="F52" t="s">
        <v>36</v>
      </c>
      <c r="G52" t="s">
        <v>63</v>
      </c>
      <c r="H52">
        <v>91.4</v>
      </c>
      <c r="I52">
        <v>8</v>
      </c>
      <c r="J52">
        <v>36.56</v>
      </c>
      <c r="K52">
        <v>731.2</v>
      </c>
      <c r="L52" s="1">
        <v>43559</v>
      </c>
      <c r="M52" s="2">
        <v>0.42986111111111114</v>
      </c>
      <c r="N52" t="s">
        <v>33</v>
      </c>
      <c r="O52">
        <v>639.79999999999995</v>
      </c>
      <c r="P52">
        <v>4.7619047620000003</v>
      </c>
      <c r="Q52">
        <v>91.4</v>
      </c>
      <c r="R52">
        <v>9.9749999999999996</v>
      </c>
      <c r="S52">
        <v>96.078500000000005</v>
      </c>
      <c r="T52">
        <v>19.763300000000001</v>
      </c>
    </row>
    <row r="53" spans="1:20" x14ac:dyDescent="0.3">
      <c r="A53" t="s">
        <v>139</v>
      </c>
      <c r="B53" t="s">
        <v>21</v>
      </c>
      <c r="C53" t="s">
        <v>93</v>
      </c>
      <c r="D53" t="s">
        <v>23</v>
      </c>
      <c r="E53" t="s">
        <v>32</v>
      </c>
      <c r="F53" t="s">
        <v>25</v>
      </c>
      <c r="G53" t="s">
        <v>63</v>
      </c>
      <c r="H53">
        <v>44.59</v>
      </c>
      <c r="I53">
        <v>5</v>
      </c>
      <c r="J53">
        <v>11.147500000000001</v>
      </c>
      <c r="K53">
        <v>222.95</v>
      </c>
      <c r="L53" s="1">
        <v>43736</v>
      </c>
      <c r="M53" s="2">
        <v>0.63194444444444442</v>
      </c>
      <c r="N53" t="s">
        <v>33</v>
      </c>
      <c r="O53">
        <v>222.95</v>
      </c>
      <c r="P53">
        <v>4.7619047620000003</v>
      </c>
      <c r="Q53">
        <v>0</v>
      </c>
      <c r="R53">
        <v>8.5</v>
      </c>
      <c r="S53">
        <v>96.173500000000004</v>
      </c>
      <c r="T53">
        <v>16.840900000000001</v>
      </c>
    </row>
    <row r="54" spans="1:20" x14ac:dyDescent="0.3">
      <c r="A54" t="s">
        <v>140</v>
      </c>
      <c r="B54" t="s">
        <v>51</v>
      </c>
      <c r="C54" t="s">
        <v>141</v>
      </c>
      <c r="D54" t="s">
        <v>53</v>
      </c>
      <c r="E54" t="s">
        <v>32</v>
      </c>
      <c r="F54" t="s">
        <v>25</v>
      </c>
      <c r="G54" t="s">
        <v>100</v>
      </c>
      <c r="H54">
        <v>17.87</v>
      </c>
      <c r="I54">
        <v>6</v>
      </c>
      <c r="J54">
        <v>5.3609999999999998</v>
      </c>
      <c r="K54">
        <v>107.22</v>
      </c>
      <c r="L54" s="1">
        <v>43829</v>
      </c>
      <c r="M54" s="2">
        <v>0.61250000000000004</v>
      </c>
      <c r="N54" t="s">
        <v>27</v>
      </c>
      <c r="O54">
        <v>71.48</v>
      </c>
      <c r="P54">
        <v>4.7619047620000003</v>
      </c>
      <c r="Q54">
        <v>35.74</v>
      </c>
      <c r="R54">
        <v>7.8</v>
      </c>
      <c r="S54">
        <v>96.089100000000002</v>
      </c>
      <c r="T54">
        <v>21.9588</v>
      </c>
    </row>
    <row r="55" spans="1:20" x14ac:dyDescent="0.3">
      <c r="A55" t="s">
        <v>142</v>
      </c>
      <c r="B55" t="s">
        <v>29</v>
      </c>
      <c r="C55" t="s">
        <v>143</v>
      </c>
      <c r="D55" t="s">
        <v>31</v>
      </c>
      <c r="E55" t="s">
        <v>32</v>
      </c>
      <c r="F55" t="s">
        <v>36</v>
      </c>
      <c r="G55" t="s">
        <v>100</v>
      </c>
      <c r="H55">
        <v>15.43</v>
      </c>
      <c r="I55">
        <v>1</v>
      </c>
      <c r="J55">
        <v>0.77149999999999996</v>
      </c>
      <c r="K55">
        <v>15.43</v>
      </c>
      <c r="L55" s="1">
        <v>43723</v>
      </c>
      <c r="M55" s="2">
        <v>0.65694444444444444</v>
      </c>
      <c r="N55" t="s">
        <v>37</v>
      </c>
      <c r="O55">
        <v>15.43</v>
      </c>
      <c r="P55">
        <v>4.7619047620000003</v>
      </c>
      <c r="Q55">
        <v>0</v>
      </c>
      <c r="R55">
        <v>6.4050000000000002</v>
      </c>
      <c r="S55">
        <v>96.078500000000005</v>
      </c>
      <c r="T55">
        <v>19.763300000000001</v>
      </c>
    </row>
    <row r="56" spans="1:20" x14ac:dyDescent="0.3">
      <c r="A56" t="s">
        <v>144</v>
      </c>
      <c r="B56" t="s">
        <v>51</v>
      </c>
      <c r="C56" t="s">
        <v>145</v>
      </c>
      <c r="D56" t="s">
        <v>53</v>
      </c>
      <c r="E56" t="s">
        <v>32</v>
      </c>
      <c r="F56" t="s">
        <v>36</v>
      </c>
      <c r="G56" t="s">
        <v>77</v>
      </c>
      <c r="H56">
        <v>16.16</v>
      </c>
      <c r="I56">
        <v>3</v>
      </c>
      <c r="J56">
        <v>2.4239999999999999</v>
      </c>
      <c r="K56">
        <v>48.48</v>
      </c>
      <c r="L56" s="1">
        <v>43585</v>
      </c>
      <c r="M56" s="2">
        <v>0.49236111111111114</v>
      </c>
      <c r="N56" t="s">
        <v>27</v>
      </c>
      <c r="O56">
        <v>32.32</v>
      </c>
      <c r="P56">
        <v>4.7619047620000003</v>
      </c>
      <c r="Q56">
        <v>16.16</v>
      </c>
      <c r="R56">
        <v>7.8</v>
      </c>
      <c r="S56">
        <v>96.089100000000002</v>
      </c>
      <c r="T56">
        <v>21.9588</v>
      </c>
    </row>
    <row r="57" spans="1:20" x14ac:dyDescent="0.3">
      <c r="A57" t="s">
        <v>146</v>
      </c>
      <c r="B57" t="s">
        <v>29</v>
      </c>
      <c r="C57" t="s">
        <v>147</v>
      </c>
      <c r="D57" t="s">
        <v>31</v>
      </c>
      <c r="E57" t="s">
        <v>32</v>
      </c>
      <c r="F57" t="s">
        <v>25</v>
      </c>
      <c r="G57" t="s">
        <v>60</v>
      </c>
      <c r="H57">
        <v>85.98</v>
      </c>
      <c r="I57">
        <v>10</v>
      </c>
      <c r="J57">
        <v>42.99</v>
      </c>
      <c r="K57">
        <v>859.8</v>
      </c>
      <c r="L57" s="1">
        <v>43515</v>
      </c>
      <c r="M57" s="2">
        <v>0.79236111111111107</v>
      </c>
      <c r="N57" t="s">
        <v>33</v>
      </c>
      <c r="O57">
        <v>687.84</v>
      </c>
      <c r="P57">
        <v>4.7619047620000003</v>
      </c>
      <c r="Q57">
        <v>171.96</v>
      </c>
      <c r="R57">
        <v>8.61</v>
      </c>
      <c r="S57">
        <v>96.078500000000005</v>
      </c>
      <c r="T57">
        <v>19.763300000000001</v>
      </c>
    </row>
    <row r="58" spans="1:20" x14ac:dyDescent="0.3">
      <c r="A58" t="s">
        <v>148</v>
      </c>
      <c r="B58" t="s">
        <v>21</v>
      </c>
      <c r="C58" t="s">
        <v>111</v>
      </c>
      <c r="D58" t="s">
        <v>23</v>
      </c>
      <c r="E58" t="s">
        <v>32</v>
      </c>
      <c r="F58" t="s">
        <v>36</v>
      </c>
      <c r="G58" t="s">
        <v>77</v>
      </c>
      <c r="H58">
        <v>44.34</v>
      </c>
      <c r="I58">
        <v>2</v>
      </c>
      <c r="J58">
        <v>4.4340000000000002</v>
      </c>
      <c r="K58">
        <v>88.68</v>
      </c>
      <c r="L58" s="1">
        <v>43479</v>
      </c>
      <c r="M58" s="2">
        <v>0.47638888888888886</v>
      </c>
      <c r="O58">
        <v>88.68</v>
      </c>
      <c r="P58">
        <v>4.7619047620000003</v>
      </c>
      <c r="Q58">
        <v>0</v>
      </c>
      <c r="S58">
        <v>96.173500000000004</v>
      </c>
      <c r="T58">
        <v>16.840900000000001</v>
      </c>
    </row>
    <row r="59" spans="1:20" x14ac:dyDescent="0.3">
      <c r="A59" t="s">
        <v>149</v>
      </c>
      <c r="B59" t="s">
        <v>21</v>
      </c>
      <c r="C59" t="s">
        <v>150</v>
      </c>
      <c r="D59" t="s">
        <v>23</v>
      </c>
      <c r="E59" t="s">
        <v>32</v>
      </c>
      <c r="F59" t="s">
        <v>36</v>
      </c>
      <c r="G59" t="s">
        <v>26</v>
      </c>
      <c r="H59">
        <v>89.6</v>
      </c>
      <c r="I59">
        <v>8</v>
      </c>
      <c r="J59">
        <v>35.840000000000003</v>
      </c>
      <c r="K59">
        <v>716.8</v>
      </c>
      <c r="L59" s="1">
        <v>43645</v>
      </c>
      <c r="M59" s="2">
        <v>0.4777777777777778</v>
      </c>
      <c r="O59">
        <v>716.8</v>
      </c>
      <c r="P59">
        <v>4.7619047620000003</v>
      </c>
      <c r="Q59">
        <v>0</v>
      </c>
      <c r="S59">
        <v>96.173500000000004</v>
      </c>
      <c r="T59">
        <v>16.840900000000001</v>
      </c>
    </row>
    <row r="60" spans="1:20" x14ac:dyDescent="0.3">
      <c r="A60" t="s">
        <v>151</v>
      </c>
      <c r="B60" t="s">
        <v>21</v>
      </c>
      <c r="C60" t="s">
        <v>152</v>
      </c>
      <c r="D60" t="s">
        <v>23</v>
      </c>
      <c r="E60" t="s">
        <v>24</v>
      </c>
      <c r="F60" t="s">
        <v>25</v>
      </c>
      <c r="G60" t="s">
        <v>77</v>
      </c>
      <c r="H60">
        <v>72.349999999999994</v>
      </c>
      <c r="I60">
        <v>14</v>
      </c>
      <c r="J60">
        <v>50.645000000000003</v>
      </c>
      <c r="K60">
        <v>1012.9</v>
      </c>
      <c r="L60" s="1">
        <v>43493</v>
      </c>
      <c r="M60" s="2">
        <v>0.66319444444444442</v>
      </c>
      <c r="O60">
        <v>723.5</v>
      </c>
      <c r="P60">
        <v>4.7619047620000003</v>
      </c>
      <c r="Q60">
        <v>289.39999999999998</v>
      </c>
      <c r="S60">
        <v>96.173500000000004</v>
      </c>
      <c r="T60">
        <v>16.840900000000001</v>
      </c>
    </row>
    <row r="61" spans="1:20" x14ac:dyDescent="0.3">
      <c r="A61" t="s">
        <v>153</v>
      </c>
      <c r="B61" t="s">
        <v>29</v>
      </c>
      <c r="C61" t="s">
        <v>154</v>
      </c>
      <c r="D61" t="s">
        <v>31</v>
      </c>
      <c r="E61" t="s">
        <v>32</v>
      </c>
      <c r="F61" t="s">
        <v>36</v>
      </c>
      <c r="G61" t="s">
        <v>60</v>
      </c>
      <c r="H61">
        <v>30.61</v>
      </c>
      <c r="I61">
        <v>7</v>
      </c>
      <c r="J61">
        <v>10.7135</v>
      </c>
      <c r="K61">
        <v>214.27</v>
      </c>
      <c r="L61" s="1">
        <v>43592</v>
      </c>
      <c r="M61" s="2">
        <v>0.85833333333333328</v>
      </c>
      <c r="O61">
        <v>183.66</v>
      </c>
      <c r="P61">
        <v>4.7619047620000003</v>
      </c>
      <c r="Q61">
        <v>30.61</v>
      </c>
      <c r="S61">
        <v>96.078500000000005</v>
      </c>
      <c r="T61">
        <v>19.763300000000001</v>
      </c>
    </row>
    <row r="62" spans="1:20" x14ac:dyDescent="0.3">
      <c r="A62" t="s">
        <v>155</v>
      </c>
      <c r="B62" t="s">
        <v>29</v>
      </c>
      <c r="C62" t="s">
        <v>156</v>
      </c>
      <c r="D62" t="s">
        <v>31</v>
      </c>
      <c r="F62" t="s">
        <v>25</v>
      </c>
      <c r="G62" t="s">
        <v>68</v>
      </c>
      <c r="H62">
        <v>24.74</v>
      </c>
      <c r="I62">
        <v>4</v>
      </c>
      <c r="J62">
        <v>4.9480000000000004</v>
      </c>
      <c r="K62">
        <v>98.96</v>
      </c>
      <c r="L62" s="1">
        <v>43788</v>
      </c>
      <c r="M62" s="2">
        <v>0.74097222222222225</v>
      </c>
      <c r="O62">
        <v>74.22</v>
      </c>
      <c r="P62">
        <v>4.7619047620000003</v>
      </c>
      <c r="Q62">
        <v>24.74</v>
      </c>
      <c r="S62">
        <v>96.078500000000005</v>
      </c>
      <c r="T62">
        <v>19.763300000000001</v>
      </c>
    </row>
    <row r="63" spans="1:20" x14ac:dyDescent="0.3">
      <c r="A63" t="s">
        <v>157</v>
      </c>
      <c r="B63" t="s">
        <v>29</v>
      </c>
      <c r="C63" t="s">
        <v>158</v>
      </c>
      <c r="D63" t="s">
        <v>31</v>
      </c>
      <c r="F63" t="s">
        <v>36</v>
      </c>
      <c r="G63" t="s">
        <v>77</v>
      </c>
      <c r="H63">
        <v>55.73</v>
      </c>
      <c r="I63">
        <v>7</v>
      </c>
      <c r="K63">
        <v>390.11</v>
      </c>
      <c r="L63" s="1">
        <v>43733</v>
      </c>
      <c r="M63" s="2">
        <v>0.4548611111111111</v>
      </c>
      <c r="O63">
        <v>334.38</v>
      </c>
      <c r="P63">
        <v>4.7619047620000003</v>
      </c>
      <c r="Q63">
        <v>55.73</v>
      </c>
      <c r="S63">
        <v>96.078500000000005</v>
      </c>
      <c r="T63">
        <v>19.763300000000001</v>
      </c>
    </row>
    <row r="64" spans="1:20" x14ac:dyDescent="0.3">
      <c r="A64" t="s">
        <v>159</v>
      </c>
      <c r="B64" t="s">
        <v>51</v>
      </c>
      <c r="C64" t="s">
        <v>119</v>
      </c>
      <c r="D64" t="s">
        <v>53</v>
      </c>
      <c r="F64" t="s">
        <v>25</v>
      </c>
      <c r="G64" t="s">
        <v>68</v>
      </c>
      <c r="H64">
        <v>55.07</v>
      </c>
      <c r="I64">
        <v>13</v>
      </c>
      <c r="J64">
        <v>35.795499999999997</v>
      </c>
      <c r="K64">
        <v>715.91</v>
      </c>
      <c r="L64" s="1">
        <v>43808</v>
      </c>
      <c r="M64" s="2">
        <v>0.56944444444444442</v>
      </c>
      <c r="O64">
        <v>495.63</v>
      </c>
      <c r="P64">
        <v>4.7619047620000003</v>
      </c>
      <c r="Q64">
        <v>220.28</v>
      </c>
      <c r="S64">
        <v>96.089100000000002</v>
      </c>
      <c r="T64">
        <v>21.9588</v>
      </c>
    </row>
    <row r="65" spans="1:20" x14ac:dyDescent="0.3">
      <c r="A65" t="s">
        <v>160</v>
      </c>
      <c r="B65" t="s">
        <v>21</v>
      </c>
      <c r="C65" t="s">
        <v>161</v>
      </c>
      <c r="D65" t="s">
        <v>23</v>
      </c>
      <c r="F65" t="s">
        <v>36</v>
      </c>
      <c r="G65" t="s">
        <v>68</v>
      </c>
      <c r="H65">
        <v>15.81</v>
      </c>
      <c r="I65">
        <v>10</v>
      </c>
      <c r="J65">
        <v>7.9050000000000002</v>
      </c>
      <c r="K65">
        <v>158.1</v>
      </c>
      <c r="L65" s="1">
        <v>43546</v>
      </c>
      <c r="M65" s="2">
        <v>0.51875000000000004</v>
      </c>
      <c r="O65">
        <v>158.1</v>
      </c>
      <c r="P65">
        <v>4.7619047620000003</v>
      </c>
      <c r="Q65">
        <v>0</v>
      </c>
      <c r="S65">
        <v>96.173500000000004</v>
      </c>
      <c r="T65">
        <v>16.840900000000001</v>
      </c>
    </row>
    <row r="66" spans="1:20" x14ac:dyDescent="0.3">
      <c r="A66" t="s">
        <v>162</v>
      </c>
      <c r="B66" t="s">
        <v>51</v>
      </c>
      <c r="C66" t="s">
        <v>81</v>
      </c>
      <c r="D66" t="s">
        <v>53</v>
      </c>
      <c r="F66" t="s">
        <v>36</v>
      </c>
      <c r="G66" t="s">
        <v>26</v>
      </c>
      <c r="H66">
        <v>75.739999999999995</v>
      </c>
      <c r="I66">
        <v>6</v>
      </c>
      <c r="J66">
        <v>22.722000000000001</v>
      </c>
      <c r="K66">
        <v>454.44</v>
      </c>
      <c r="L66" s="1">
        <v>43742</v>
      </c>
      <c r="M66" s="2">
        <v>0.60763888888888884</v>
      </c>
      <c r="O66">
        <v>302.95999999999998</v>
      </c>
      <c r="P66">
        <v>4.7619047620000003</v>
      </c>
      <c r="Q66">
        <v>151.47999999999999</v>
      </c>
      <c r="S66">
        <v>96.089100000000002</v>
      </c>
      <c r="T66">
        <v>21.9588</v>
      </c>
    </row>
    <row r="67" spans="1:20" x14ac:dyDescent="0.3">
      <c r="A67" t="s">
        <v>163</v>
      </c>
      <c r="B67" t="s">
        <v>21</v>
      </c>
      <c r="C67" t="s">
        <v>164</v>
      </c>
      <c r="D67" t="s">
        <v>23</v>
      </c>
      <c r="F67" t="s">
        <v>36</v>
      </c>
      <c r="G67" t="s">
        <v>26</v>
      </c>
      <c r="H67">
        <v>15.87</v>
      </c>
      <c r="I67">
        <v>10</v>
      </c>
      <c r="J67">
        <v>7.9349999999999996</v>
      </c>
      <c r="K67">
        <v>158.69999999999999</v>
      </c>
      <c r="L67" s="1">
        <v>43635</v>
      </c>
      <c r="M67" s="2">
        <v>0.69444444444444442</v>
      </c>
      <c r="O67">
        <v>158.69999999999999</v>
      </c>
      <c r="P67">
        <v>4.7619047620000003</v>
      </c>
      <c r="Q67">
        <v>0</v>
      </c>
      <c r="S67">
        <v>96.173500000000004</v>
      </c>
      <c r="T67">
        <v>16.840900000000001</v>
      </c>
    </row>
    <row r="68" spans="1:20" x14ac:dyDescent="0.3">
      <c r="A68" t="s">
        <v>165</v>
      </c>
      <c r="B68" t="s">
        <v>29</v>
      </c>
      <c r="C68" t="s">
        <v>166</v>
      </c>
      <c r="D68" t="s">
        <v>31</v>
      </c>
      <c r="F68" t="s">
        <v>25</v>
      </c>
      <c r="G68" t="s">
        <v>26</v>
      </c>
      <c r="H68">
        <v>33.47</v>
      </c>
      <c r="I68">
        <v>2</v>
      </c>
      <c r="J68">
        <v>3.347</v>
      </c>
      <c r="K68">
        <v>66.94</v>
      </c>
      <c r="L68" s="1">
        <v>43727</v>
      </c>
      <c r="M68" s="2">
        <v>0.65486111111111112</v>
      </c>
      <c r="O68">
        <v>66.94</v>
      </c>
      <c r="P68">
        <v>4.7619047620000003</v>
      </c>
      <c r="Q68">
        <v>0</v>
      </c>
      <c r="S68">
        <v>96.078500000000005</v>
      </c>
      <c r="T68">
        <v>19.763300000000001</v>
      </c>
    </row>
    <row r="69" spans="1:20" x14ac:dyDescent="0.3">
      <c r="A69" t="s">
        <v>167</v>
      </c>
      <c r="B69" t="s">
        <v>51</v>
      </c>
      <c r="C69" t="s">
        <v>52</v>
      </c>
      <c r="D69" t="s">
        <v>53</v>
      </c>
      <c r="F69" t="s">
        <v>25</v>
      </c>
      <c r="G69" t="s">
        <v>100</v>
      </c>
      <c r="H69">
        <v>97.61</v>
      </c>
      <c r="I69">
        <v>8</v>
      </c>
      <c r="J69">
        <v>39.043999999999997</v>
      </c>
      <c r="K69">
        <v>780.88</v>
      </c>
      <c r="L69" s="1">
        <v>43505</v>
      </c>
      <c r="M69" s="2">
        <v>0.62569444444444444</v>
      </c>
      <c r="O69">
        <v>585.66</v>
      </c>
      <c r="P69">
        <v>4.7619047620000003</v>
      </c>
      <c r="Q69">
        <v>195.22</v>
      </c>
      <c r="S69">
        <v>96.089100000000002</v>
      </c>
      <c r="T69">
        <v>21.9588</v>
      </c>
    </row>
    <row r="70" spans="1:20" x14ac:dyDescent="0.3">
      <c r="A70" t="s">
        <v>168</v>
      </c>
      <c r="B70" t="s">
        <v>21</v>
      </c>
      <c r="C70" t="s">
        <v>169</v>
      </c>
      <c r="D70" t="s">
        <v>23</v>
      </c>
      <c r="F70" t="s">
        <v>36</v>
      </c>
      <c r="G70" t="s">
        <v>68</v>
      </c>
      <c r="H70">
        <v>78.77</v>
      </c>
      <c r="I70">
        <v>10</v>
      </c>
      <c r="J70">
        <v>39.384999999999998</v>
      </c>
      <c r="K70">
        <v>787.7</v>
      </c>
      <c r="L70" s="1">
        <v>43523</v>
      </c>
      <c r="M70" s="2">
        <v>0.41944444444444445</v>
      </c>
      <c r="N70" t="s">
        <v>33</v>
      </c>
      <c r="O70">
        <v>787.7</v>
      </c>
      <c r="P70">
        <v>4.7619047620000003</v>
      </c>
      <c r="Q70">
        <v>0</v>
      </c>
      <c r="S70">
        <v>96.173500000000004</v>
      </c>
      <c r="T70">
        <v>16.840900000000001</v>
      </c>
    </row>
    <row r="71" spans="1:20" x14ac:dyDescent="0.3">
      <c r="A71" t="s">
        <v>170</v>
      </c>
      <c r="B71" t="s">
        <v>21</v>
      </c>
      <c r="C71" t="s">
        <v>152</v>
      </c>
      <c r="D71" t="s">
        <v>23</v>
      </c>
      <c r="F71" t="s">
        <v>25</v>
      </c>
      <c r="G71" t="s">
        <v>26</v>
      </c>
      <c r="H71">
        <v>18.329999999999998</v>
      </c>
      <c r="I71">
        <v>1</v>
      </c>
      <c r="J71">
        <v>0.91649999999999998</v>
      </c>
      <c r="K71">
        <v>18.329999999999998</v>
      </c>
      <c r="L71" s="1">
        <v>43545</v>
      </c>
      <c r="M71" s="2">
        <v>0.78472222222222221</v>
      </c>
      <c r="N71" t="s">
        <v>33</v>
      </c>
      <c r="O71">
        <v>18.329999999999998</v>
      </c>
      <c r="P71">
        <v>4.7619047620000003</v>
      </c>
      <c r="Q71">
        <v>0</v>
      </c>
      <c r="S71">
        <v>96.173500000000004</v>
      </c>
      <c r="T71">
        <v>16.840900000000001</v>
      </c>
    </row>
    <row r="72" spans="1:20" x14ac:dyDescent="0.3">
      <c r="A72" t="s">
        <v>171</v>
      </c>
      <c r="B72" t="s">
        <v>29</v>
      </c>
      <c r="C72" t="s">
        <v>115</v>
      </c>
      <c r="D72" t="s">
        <v>31</v>
      </c>
      <c r="F72" t="s">
        <v>36</v>
      </c>
      <c r="G72" t="s">
        <v>63</v>
      </c>
      <c r="H72">
        <v>89.48</v>
      </c>
      <c r="I72">
        <v>12</v>
      </c>
      <c r="J72">
        <v>53.688000000000002</v>
      </c>
      <c r="K72">
        <v>1073.76</v>
      </c>
      <c r="L72" s="1">
        <v>43618</v>
      </c>
      <c r="M72" s="2">
        <v>0.53194444444444444</v>
      </c>
      <c r="N72" t="s">
        <v>37</v>
      </c>
      <c r="O72">
        <v>894.8</v>
      </c>
      <c r="P72">
        <v>4.7619047620000003</v>
      </c>
      <c r="Q72">
        <v>178.96</v>
      </c>
      <c r="R72">
        <v>10</v>
      </c>
      <c r="S72">
        <v>96.078500000000005</v>
      </c>
      <c r="T72">
        <v>19.763300000000001</v>
      </c>
    </row>
    <row r="73" spans="1:20" x14ac:dyDescent="0.3">
      <c r="A73" t="s">
        <v>172</v>
      </c>
      <c r="B73" t="s">
        <v>29</v>
      </c>
      <c r="C73" t="s">
        <v>173</v>
      </c>
      <c r="D73" t="s">
        <v>31</v>
      </c>
      <c r="F73" t="s">
        <v>36</v>
      </c>
      <c r="G73" t="s">
        <v>100</v>
      </c>
      <c r="H73">
        <v>62.12</v>
      </c>
      <c r="I73">
        <v>12</v>
      </c>
      <c r="J73">
        <v>37.271999999999998</v>
      </c>
      <c r="K73">
        <v>745.44</v>
      </c>
      <c r="L73" s="1">
        <v>43668</v>
      </c>
      <c r="M73" s="2">
        <v>0.67986111111111114</v>
      </c>
      <c r="N73" t="s">
        <v>33</v>
      </c>
      <c r="O73">
        <v>621.20000000000005</v>
      </c>
      <c r="P73">
        <v>4.7619047620000003</v>
      </c>
      <c r="Q73">
        <v>124.24</v>
      </c>
      <c r="R73">
        <v>6.1950000000000003</v>
      </c>
      <c r="S73">
        <v>96.078500000000005</v>
      </c>
      <c r="T73">
        <v>19.763300000000001</v>
      </c>
    </row>
    <row r="74" spans="1:20" x14ac:dyDescent="0.3">
      <c r="A74" t="s">
        <v>174</v>
      </c>
      <c r="B74" t="s">
        <v>51</v>
      </c>
      <c r="C74" t="s">
        <v>175</v>
      </c>
      <c r="D74" t="s">
        <v>53</v>
      </c>
      <c r="F74" t="s">
        <v>25</v>
      </c>
      <c r="G74" t="s">
        <v>63</v>
      </c>
      <c r="H74">
        <v>48.52</v>
      </c>
      <c r="I74">
        <v>4</v>
      </c>
      <c r="J74">
        <v>9.7040000000000006</v>
      </c>
      <c r="K74">
        <v>194.08</v>
      </c>
      <c r="L74" s="1">
        <v>43816</v>
      </c>
      <c r="M74" s="2">
        <v>0.76180555555555551</v>
      </c>
      <c r="N74" t="s">
        <v>27</v>
      </c>
      <c r="O74">
        <v>145.56</v>
      </c>
      <c r="P74">
        <v>4.7619047620000003</v>
      </c>
      <c r="Q74">
        <v>48.52</v>
      </c>
      <c r="R74">
        <v>4.8</v>
      </c>
      <c r="S74">
        <v>96.089100000000002</v>
      </c>
      <c r="T74">
        <v>21.9588</v>
      </c>
    </row>
    <row r="75" spans="1:20" x14ac:dyDescent="0.3">
      <c r="A75" t="s">
        <v>176</v>
      </c>
      <c r="B75" t="s">
        <v>29</v>
      </c>
      <c r="C75" t="s">
        <v>177</v>
      </c>
      <c r="D75" t="s">
        <v>31</v>
      </c>
      <c r="F75" t="s">
        <v>25</v>
      </c>
      <c r="G75" t="s">
        <v>60</v>
      </c>
      <c r="H75">
        <v>75.91</v>
      </c>
      <c r="I75">
        <v>7</v>
      </c>
      <c r="J75">
        <v>26.5685</v>
      </c>
      <c r="K75">
        <v>531.37</v>
      </c>
      <c r="L75" s="1">
        <v>43777</v>
      </c>
      <c r="M75" s="2">
        <v>0.76458333333333328</v>
      </c>
      <c r="N75" t="s">
        <v>33</v>
      </c>
      <c r="O75">
        <v>455.46</v>
      </c>
      <c r="P75">
        <v>4.7619047620000003</v>
      </c>
      <c r="Q75">
        <v>75.91</v>
      </c>
      <c r="R75">
        <v>9.1349999999999998</v>
      </c>
      <c r="S75">
        <v>96.078500000000005</v>
      </c>
      <c r="T75">
        <v>19.763300000000001</v>
      </c>
    </row>
    <row r="76" spans="1:20" x14ac:dyDescent="0.3">
      <c r="A76" t="s">
        <v>178</v>
      </c>
      <c r="B76" t="s">
        <v>21</v>
      </c>
      <c r="C76" t="s">
        <v>179</v>
      </c>
      <c r="D76" t="s">
        <v>23</v>
      </c>
      <c r="F76" t="s">
        <v>36</v>
      </c>
      <c r="G76" t="s">
        <v>77</v>
      </c>
      <c r="H76">
        <v>74.67</v>
      </c>
      <c r="I76">
        <v>9</v>
      </c>
      <c r="J76">
        <v>33.601500000000001</v>
      </c>
      <c r="K76">
        <v>672.03</v>
      </c>
      <c r="L76" s="1">
        <v>43555</v>
      </c>
      <c r="M76" s="2">
        <v>0.4548611111111111</v>
      </c>
      <c r="N76" t="s">
        <v>27</v>
      </c>
      <c r="O76">
        <v>672.03</v>
      </c>
      <c r="P76">
        <v>4.7619047620000003</v>
      </c>
      <c r="Q76">
        <v>0</v>
      </c>
      <c r="R76">
        <v>9.4</v>
      </c>
      <c r="S76">
        <v>96.173500000000004</v>
      </c>
      <c r="T76">
        <v>16.840900000000001</v>
      </c>
    </row>
    <row r="77" spans="1:20" x14ac:dyDescent="0.3">
      <c r="A77" t="s">
        <v>180</v>
      </c>
      <c r="B77" t="s">
        <v>29</v>
      </c>
      <c r="C77" t="s">
        <v>181</v>
      </c>
      <c r="D77" t="s">
        <v>31</v>
      </c>
      <c r="F77" t="s">
        <v>25</v>
      </c>
      <c r="G77" t="s">
        <v>60</v>
      </c>
      <c r="H77">
        <v>41.65</v>
      </c>
      <c r="I77">
        <v>12</v>
      </c>
      <c r="J77">
        <v>24.99</v>
      </c>
      <c r="K77">
        <v>499.8</v>
      </c>
      <c r="L77" s="1">
        <v>43811</v>
      </c>
      <c r="M77" s="2">
        <v>0.71111111111111114</v>
      </c>
      <c r="N77" t="s">
        <v>37</v>
      </c>
      <c r="O77">
        <v>416.5</v>
      </c>
      <c r="P77">
        <v>4.7619047620000003</v>
      </c>
      <c r="Q77">
        <v>83.3</v>
      </c>
      <c r="R77">
        <v>5.67</v>
      </c>
      <c r="S77">
        <v>96.078500000000005</v>
      </c>
      <c r="T77">
        <v>19.763300000000001</v>
      </c>
    </row>
    <row r="78" spans="1:20" x14ac:dyDescent="0.3">
      <c r="A78" t="s">
        <v>182</v>
      </c>
      <c r="B78" t="s">
        <v>29</v>
      </c>
      <c r="C78" t="s">
        <v>183</v>
      </c>
      <c r="D78" t="s">
        <v>31</v>
      </c>
      <c r="F78" t="s">
        <v>36</v>
      </c>
      <c r="G78" t="s">
        <v>100</v>
      </c>
      <c r="H78">
        <v>49.04</v>
      </c>
      <c r="I78">
        <v>11</v>
      </c>
      <c r="J78">
        <v>26.972000000000001</v>
      </c>
      <c r="K78">
        <v>539.44000000000005</v>
      </c>
      <c r="L78" s="1">
        <v>43689</v>
      </c>
      <c r="M78" s="2">
        <v>0.59722222222222221</v>
      </c>
      <c r="N78" t="s">
        <v>37</v>
      </c>
      <c r="O78">
        <v>441.36</v>
      </c>
      <c r="P78">
        <v>4.7619047620000003</v>
      </c>
      <c r="Q78">
        <v>98.08</v>
      </c>
      <c r="R78">
        <v>9.0299999999999994</v>
      </c>
      <c r="S78">
        <v>96.078500000000005</v>
      </c>
      <c r="T78">
        <v>19.763300000000001</v>
      </c>
    </row>
    <row r="79" spans="1:20" x14ac:dyDescent="0.3">
      <c r="A79" t="s">
        <v>184</v>
      </c>
      <c r="B79" t="s">
        <v>21</v>
      </c>
      <c r="C79" t="s">
        <v>185</v>
      </c>
      <c r="D79" t="s">
        <v>23</v>
      </c>
      <c r="F79" t="s">
        <v>25</v>
      </c>
      <c r="G79" t="s">
        <v>100</v>
      </c>
      <c r="H79">
        <v>20.010000000000002</v>
      </c>
      <c r="I79">
        <v>9</v>
      </c>
      <c r="J79">
        <v>9.0045000000000002</v>
      </c>
      <c r="K79">
        <v>180.09</v>
      </c>
      <c r="L79" s="1">
        <v>43804</v>
      </c>
      <c r="M79" s="2">
        <v>0.65833333333333333</v>
      </c>
      <c r="N79" t="s">
        <v>37</v>
      </c>
      <c r="O79">
        <v>180.09</v>
      </c>
      <c r="P79">
        <v>4.7619047620000003</v>
      </c>
      <c r="Q79">
        <v>0</v>
      </c>
      <c r="R79">
        <v>5.7</v>
      </c>
      <c r="S79">
        <v>96.173500000000004</v>
      </c>
      <c r="T79">
        <v>16.840900000000001</v>
      </c>
    </row>
    <row r="80" spans="1:20" x14ac:dyDescent="0.3">
      <c r="A80" t="s">
        <v>186</v>
      </c>
      <c r="B80" t="s">
        <v>29</v>
      </c>
      <c r="C80" t="s">
        <v>127</v>
      </c>
      <c r="D80" t="s">
        <v>31</v>
      </c>
      <c r="F80" t="s">
        <v>25</v>
      </c>
      <c r="G80" t="s">
        <v>63</v>
      </c>
      <c r="H80">
        <v>78.31</v>
      </c>
      <c r="I80">
        <v>12</v>
      </c>
      <c r="K80">
        <v>939.72</v>
      </c>
      <c r="L80" s="1">
        <v>43644</v>
      </c>
      <c r="M80" s="2">
        <v>0.68333333333333335</v>
      </c>
      <c r="N80" t="s">
        <v>27</v>
      </c>
      <c r="O80">
        <v>783.1</v>
      </c>
      <c r="P80">
        <v>4.7619047620000003</v>
      </c>
      <c r="Q80">
        <v>156.62</v>
      </c>
      <c r="R80">
        <v>6.93</v>
      </c>
      <c r="S80">
        <v>96.078500000000005</v>
      </c>
      <c r="T80">
        <v>19.763300000000001</v>
      </c>
    </row>
    <row r="81" spans="1:20" x14ac:dyDescent="0.3">
      <c r="A81" t="s">
        <v>187</v>
      </c>
      <c r="B81" t="s">
        <v>29</v>
      </c>
      <c r="C81" t="s">
        <v>188</v>
      </c>
      <c r="D81" t="s">
        <v>31</v>
      </c>
      <c r="F81" t="s">
        <v>25</v>
      </c>
      <c r="G81" t="s">
        <v>26</v>
      </c>
      <c r="H81">
        <v>20.38</v>
      </c>
      <c r="I81">
        <v>6</v>
      </c>
      <c r="K81">
        <v>122.28</v>
      </c>
      <c r="L81" s="1">
        <v>43779</v>
      </c>
      <c r="M81" s="2">
        <v>0.78888888888888886</v>
      </c>
      <c r="N81" t="s">
        <v>33</v>
      </c>
      <c r="O81">
        <v>101.9</v>
      </c>
      <c r="P81">
        <v>4.7619047620000003</v>
      </c>
      <c r="Q81">
        <v>20.38</v>
      </c>
      <c r="R81">
        <v>6.3</v>
      </c>
      <c r="S81">
        <v>96.078500000000005</v>
      </c>
      <c r="T81">
        <v>19.763300000000001</v>
      </c>
    </row>
    <row r="82" spans="1:20" x14ac:dyDescent="0.3">
      <c r="A82" t="s">
        <v>189</v>
      </c>
      <c r="B82" t="s">
        <v>29</v>
      </c>
      <c r="C82" t="s">
        <v>190</v>
      </c>
      <c r="D82" t="s">
        <v>31</v>
      </c>
      <c r="F82" t="s">
        <v>25</v>
      </c>
      <c r="G82" t="s">
        <v>26</v>
      </c>
      <c r="H82">
        <v>99.19</v>
      </c>
      <c r="I82">
        <v>7</v>
      </c>
      <c r="K82">
        <v>694.33</v>
      </c>
      <c r="L82" s="1">
        <v>43537</v>
      </c>
      <c r="M82" s="2">
        <v>0.61250000000000004</v>
      </c>
      <c r="N82" t="s">
        <v>37</v>
      </c>
      <c r="O82">
        <v>595.14</v>
      </c>
      <c r="P82">
        <v>4.7619047620000003</v>
      </c>
      <c r="Q82">
        <v>99.19</v>
      </c>
      <c r="R82">
        <v>5.7750000000000004</v>
      </c>
      <c r="S82">
        <v>96.078500000000005</v>
      </c>
      <c r="T82">
        <v>19.763300000000001</v>
      </c>
    </row>
    <row r="83" spans="1:20" x14ac:dyDescent="0.3">
      <c r="A83" t="s">
        <v>191</v>
      </c>
      <c r="B83" t="s">
        <v>51</v>
      </c>
      <c r="C83" t="s">
        <v>192</v>
      </c>
      <c r="D83" t="s">
        <v>53</v>
      </c>
      <c r="F83" t="s">
        <v>25</v>
      </c>
      <c r="G83" t="s">
        <v>63</v>
      </c>
      <c r="H83">
        <v>96.68</v>
      </c>
      <c r="I83">
        <v>4</v>
      </c>
      <c r="K83">
        <v>386.72</v>
      </c>
      <c r="L83" s="1">
        <v>43766</v>
      </c>
      <c r="M83" s="2">
        <v>0.8305555555555556</v>
      </c>
      <c r="N83" t="s">
        <v>27</v>
      </c>
      <c r="O83">
        <v>290.04000000000002</v>
      </c>
      <c r="P83">
        <v>4.7619047620000003</v>
      </c>
      <c r="Q83">
        <v>96.68</v>
      </c>
      <c r="R83">
        <v>7.68</v>
      </c>
      <c r="S83">
        <v>96.089100000000002</v>
      </c>
      <c r="T83">
        <v>21.9588</v>
      </c>
    </row>
    <row r="84" spans="1:20" x14ac:dyDescent="0.3">
      <c r="A84" t="s">
        <v>193</v>
      </c>
      <c r="B84" t="s">
        <v>29</v>
      </c>
      <c r="C84" t="s">
        <v>47</v>
      </c>
      <c r="D84" t="s">
        <v>31</v>
      </c>
      <c r="F84" t="s">
        <v>36</v>
      </c>
      <c r="G84" t="s">
        <v>63</v>
      </c>
      <c r="H84">
        <v>19.25</v>
      </c>
      <c r="I84">
        <v>10</v>
      </c>
      <c r="K84">
        <v>192.5</v>
      </c>
      <c r="L84" s="1">
        <v>43612</v>
      </c>
      <c r="M84" s="2">
        <v>0.77569444444444446</v>
      </c>
      <c r="N84" t="s">
        <v>27</v>
      </c>
      <c r="O84">
        <v>154</v>
      </c>
      <c r="P84">
        <v>4.7619047620000003</v>
      </c>
      <c r="Q84">
        <v>38.5</v>
      </c>
      <c r="R84">
        <v>6.93</v>
      </c>
      <c r="S84">
        <v>96.078500000000005</v>
      </c>
      <c r="T84">
        <v>19.763300000000001</v>
      </c>
    </row>
    <row r="85" spans="1:20" x14ac:dyDescent="0.3">
      <c r="A85" t="s">
        <v>194</v>
      </c>
      <c r="B85" t="s">
        <v>29</v>
      </c>
      <c r="C85" t="s">
        <v>195</v>
      </c>
      <c r="D85" t="s">
        <v>31</v>
      </c>
      <c r="F85" t="s">
        <v>25</v>
      </c>
      <c r="G85" t="s">
        <v>26</v>
      </c>
      <c r="H85">
        <v>80.36</v>
      </c>
      <c r="I85">
        <v>5</v>
      </c>
      <c r="K85">
        <v>401.8</v>
      </c>
      <c r="L85" s="1">
        <v>43595</v>
      </c>
      <c r="M85" s="2">
        <v>0.78125</v>
      </c>
      <c r="N85" t="s">
        <v>37</v>
      </c>
      <c r="O85">
        <v>321.44</v>
      </c>
      <c r="P85">
        <v>4.7619047620000003</v>
      </c>
      <c r="Q85">
        <v>80.36</v>
      </c>
      <c r="R85">
        <v>8.7149999999999999</v>
      </c>
      <c r="S85">
        <v>96.078500000000005</v>
      </c>
      <c r="T85">
        <v>19.763300000000001</v>
      </c>
    </row>
    <row r="86" spans="1:20" x14ac:dyDescent="0.3">
      <c r="A86" t="s">
        <v>196</v>
      </c>
      <c r="B86" t="s">
        <v>29</v>
      </c>
      <c r="C86" t="s">
        <v>197</v>
      </c>
      <c r="D86" t="s">
        <v>31</v>
      </c>
      <c r="F86" t="s">
        <v>36</v>
      </c>
      <c r="G86" t="s">
        <v>26</v>
      </c>
      <c r="H86">
        <v>48.91</v>
      </c>
      <c r="I86">
        <v>6</v>
      </c>
      <c r="K86">
        <v>293.45999999999998</v>
      </c>
      <c r="L86" s="1">
        <v>43644</v>
      </c>
      <c r="M86" s="2">
        <v>0.4284722222222222</v>
      </c>
      <c r="N86" t="s">
        <v>33</v>
      </c>
      <c r="O86">
        <v>244.55</v>
      </c>
      <c r="P86">
        <v>4.7619047620000003</v>
      </c>
      <c r="Q86">
        <v>48.91</v>
      </c>
      <c r="R86">
        <v>6.93</v>
      </c>
      <c r="S86">
        <v>96.078500000000005</v>
      </c>
      <c r="T86">
        <v>19.763300000000001</v>
      </c>
    </row>
    <row r="87" spans="1:20" x14ac:dyDescent="0.3">
      <c r="A87" t="s">
        <v>198</v>
      </c>
      <c r="B87" t="s">
        <v>29</v>
      </c>
      <c r="C87" t="s">
        <v>199</v>
      </c>
      <c r="D87" t="s">
        <v>31</v>
      </c>
      <c r="F87" t="s">
        <v>25</v>
      </c>
      <c r="G87" t="s">
        <v>26</v>
      </c>
      <c r="H87">
        <v>83.06</v>
      </c>
      <c r="I87">
        <v>8</v>
      </c>
      <c r="K87">
        <v>664.48</v>
      </c>
      <c r="L87" s="1">
        <v>43607</v>
      </c>
      <c r="M87" s="2">
        <v>0.60486111111111107</v>
      </c>
      <c r="N87" t="s">
        <v>27</v>
      </c>
      <c r="O87">
        <v>581.41999999999996</v>
      </c>
      <c r="P87">
        <v>4.7619047620000003</v>
      </c>
      <c r="Q87">
        <v>83.06</v>
      </c>
      <c r="R87">
        <v>4.2</v>
      </c>
      <c r="S87">
        <v>96.078500000000005</v>
      </c>
      <c r="T87">
        <v>19.763300000000001</v>
      </c>
    </row>
    <row r="88" spans="1:20" x14ac:dyDescent="0.3">
      <c r="A88" t="s">
        <v>200</v>
      </c>
      <c r="B88" t="s">
        <v>29</v>
      </c>
      <c r="C88" t="s">
        <v>201</v>
      </c>
      <c r="D88" t="s">
        <v>31</v>
      </c>
      <c r="E88" t="s">
        <v>32</v>
      </c>
      <c r="F88" t="s">
        <v>36</v>
      </c>
      <c r="G88" t="s">
        <v>26</v>
      </c>
      <c r="H88">
        <v>76.52</v>
      </c>
      <c r="I88">
        <v>6</v>
      </c>
      <c r="K88">
        <v>459.12</v>
      </c>
      <c r="L88" s="1">
        <v>43535</v>
      </c>
      <c r="M88" s="2">
        <v>0.43263888888888891</v>
      </c>
      <c r="N88" t="s">
        <v>33</v>
      </c>
      <c r="O88">
        <v>382.6</v>
      </c>
      <c r="P88">
        <v>4.7619047620000003</v>
      </c>
      <c r="Q88">
        <v>76.52</v>
      </c>
      <c r="R88">
        <v>10</v>
      </c>
      <c r="S88">
        <v>96.078500000000005</v>
      </c>
      <c r="T88">
        <v>19.763300000000001</v>
      </c>
    </row>
    <row r="89" spans="1:20" x14ac:dyDescent="0.3">
      <c r="A89" t="s">
        <v>202</v>
      </c>
      <c r="B89" t="s">
        <v>21</v>
      </c>
      <c r="C89" t="s">
        <v>203</v>
      </c>
      <c r="D89" t="s">
        <v>23</v>
      </c>
      <c r="E89" t="s">
        <v>24</v>
      </c>
      <c r="F89" t="s">
        <v>36</v>
      </c>
      <c r="G89" t="s">
        <v>26</v>
      </c>
      <c r="H89">
        <v>49.38</v>
      </c>
      <c r="I89">
        <v>10</v>
      </c>
      <c r="K89">
        <v>493.8</v>
      </c>
      <c r="L89" s="1">
        <v>43802</v>
      </c>
      <c r="M89" s="2">
        <v>0.85763888888888884</v>
      </c>
      <c r="N89" t="s">
        <v>37</v>
      </c>
      <c r="O89">
        <v>345.66</v>
      </c>
      <c r="P89">
        <v>4.7619047620000003</v>
      </c>
      <c r="Q89">
        <v>148.13999999999999</v>
      </c>
      <c r="R89">
        <v>7.3</v>
      </c>
      <c r="S89">
        <v>96.173500000000004</v>
      </c>
      <c r="T89">
        <v>16.840900000000001</v>
      </c>
    </row>
    <row r="90" spans="1:20" x14ac:dyDescent="0.3">
      <c r="A90" t="s">
        <v>204</v>
      </c>
      <c r="B90" t="s">
        <v>21</v>
      </c>
      <c r="C90" t="s">
        <v>205</v>
      </c>
      <c r="D90" t="s">
        <v>23</v>
      </c>
      <c r="E90" t="s">
        <v>32</v>
      </c>
      <c r="F90" t="s">
        <v>36</v>
      </c>
      <c r="G90" t="s">
        <v>26</v>
      </c>
      <c r="H90">
        <v>42.47</v>
      </c>
      <c r="I90">
        <v>1</v>
      </c>
      <c r="K90">
        <v>42.47</v>
      </c>
      <c r="L90" s="1">
        <v>43708</v>
      </c>
      <c r="M90" s="2">
        <v>0.70625000000000004</v>
      </c>
      <c r="N90" t="s">
        <v>33</v>
      </c>
      <c r="O90">
        <v>42.47</v>
      </c>
      <c r="P90">
        <v>4.7619047620000003</v>
      </c>
      <c r="Q90">
        <v>0</v>
      </c>
      <c r="R90">
        <v>5.7</v>
      </c>
      <c r="S90">
        <v>96.173500000000004</v>
      </c>
      <c r="T90">
        <v>16.840900000000001</v>
      </c>
    </row>
    <row r="91" spans="1:20" x14ac:dyDescent="0.3">
      <c r="A91" t="s">
        <v>206</v>
      </c>
      <c r="B91" t="s">
        <v>51</v>
      </c>
      <c r="C91" t="s">
        <v>207</v>
      </c>
      <c r="D91" t="s">
        <v>53</v>
      </c>
      <c r="E91" t="s">
        <v>32</v>
      </c>
      <c r="F91" t="s">
        <v>25</v>
      </c>
      <c r="G91" t="s">
        <v>26</v>
      </c>
      <c r="H91">
        <v>76.989999999999995</v>
      </c>
      <c r="I91">
        <v>8</v>
      </c>
      <c r="K91">
        <v>615.91999999999996</v>
      </c>
      <c r="L91" s="1">
        <v>43579</v>
      </c>
      <c r="M91" s="2">
        <v>0.74652777777777779</v>
      </c>
      <c r="N91" t="s">
        <v>33</v>
      </c>
      <c r="O91">
        <v>461.94</v>
      </c>
      <c r="P91">
        <v>4.7619047620000003</v>
      </c>
      <c r="Q91">
        <v>153.97999999999999</v>
      </c>
      <c r="R91">
        <v>7.32</v>
      </c>
      <c r="S91">
        <v>96.089100000000002</v>
      </c>
      <c r="T91">
        <v>21.9588</v>
      </c>
    </row>
    <row r="92" spans="1:20" x14ac:dyDescent="0.3">
      <c r="A92" t="s">
        <v>208</v>
      </c>
      <c r="B92" t="s">
        <v>29</v>
      </c>
      <c r="C92" t="s">
        <v>209</v>
      </c>
      <c r="D92" t="s">
        <v>31</v>
      </c>
      <c r="E92" t="s">
        <v>24</v>
      </c>
      <c r="F92" t="s">
        <v>25</v>
      </c>
      <c r="G92" t="s">
        <v>77</v>
      </c>
      <c r="H92">
        <v>47.38</v>
      </c>
      <c r="I92">
        <v>7</v>
      </c>
      <c r="K92">
        <v>331.66</v>
      </c>
      <c r="L92" s="1">
        <v>43498</v>
      </c>
      <c r="M92" s="2">
        <v>0.43402777777777779</v>
      </c>
      <c r="N92" t="s">
        <v>33</v>
      </c>
      <c r="O92">
        <v>189.52</v>
      </c>
      <c r="P92">
        <v>4.7619047620000003</v>
      </c>
      <c r="Q92">
        <v>142.13999999999999</v>
      </c>
      <c r="R92">
        <v>7.4550000000000001</v>
      </c>
      <c r="S92">
        <v>96.078500000000005</v>
      </c>
      <c r="T92">
        <v>19.763300000000001</v>
      </c>
    </row>
    <row r="93" spans="1:20" x14ac:dyDescent="0.3">
      <c r="A93" t="s">
        <v>210</v>
      </c>
      <c r="B93" t="s">
        <v>29</v>
      </c>
      <c r="C93" t="s">
        <v>211</v>
      </c>
      <c r="D93" t="s">
        <v>31</v>
      </c>
      <c r="E93" t="s">
        <v>32</v>
      </c>
      <c r="F93" t="s">
        <v>25</v>
      </c>
      <c r="G93" t="s">
        <v>68</v>
      </c>
      <c r="H93">
        <v>44.86</v>
      </c>
      <c r="I93">
        <v>12</v>
      </c>
      <c r="K93">
        <v>538.32000000000005</v>
      </c>
      <c r="L93" s="1">
        <v>43814</v>
      </c>
      <c r="M93" s="2">
        <v>0.82916666666666672</v>
      </c>
      <c r="N93" t="s">
        <v>27</v>
      </c>
      <c r="O93">
        <v>448.6</v>
      </c>
      <c r="P93">
        <v>4.7619047620000003</v>
      </c>
      <c r="Q93">
        <v>89.72</v>
      </c>
      <c r="R93">
        <v>8.61</v>
      </c>
      <c r="S93">
        <v>96.078500000000005</v>
      </c>
      <c r="T93">
        <v>19.763300000000001</v>
      </c>
    </row>
    <row r="94" spans="1:20" x14ac:dyDescent="0.3">
      <c r="A94" t="s">
        <v>212</v>
      </c>
      <c r="B94" t="s">
        <v>21</v>
      </c>
      <c r="C94" t="s">
        <v>213</v>
      </c>
      <c r="D94" t="s">
        <v>23</v>
      </c>
      <c r="E94" t="s">
        <v>24</v>
      </c>
      <c r="F94" t="s">
        <v>25</v>
      </c>
      <c r="G94" t="s">
        <v>68</v>
      </c>
      <c r="H94">
        <v>21.98</v>
      </c>
      <c r="I94">
        <v>10</v>
      </c>
      <c r="K94">
        <v>219.8</v>
      </c>
      <c r="L94" s="1">
        <v>43574</v>
      </c>
      <c r="M94" s="2">
        <v>0.6958333333333333</v>
      </c>
      <c r="N94" t="s">
        <v>27</v>
      </c>
      <c r="O94">
        <v>153.86000000000001</v>
      </c>
      <c r="P94">
        <v>4.7619047620000003</v>
      </c>
      <c r="Q94">
        <v>65.94</v>
      </c>
      <c r="R94">
        <v>5.0999999999999996</v>
      </c>
      <c r="S94">
        <v>96.173500000000004</v>
      </c>
      <c r="T94">
        <v>16.840900000000001</v>
      </c>
    </row>
    <row r="95" spans="1:20" x14ac:dyDescent="0.3">
      <c r="A95" t="s">
        <v>214</v>
      </c>
      <c r="B95" t="s">
        <v>51</v>
      </c>
      <c r="C95" t="s">
        <v>215</v>
      </c>
      <c r="D95" t="s">
        <v>53</v>
      </c>
      <c r="E95" t="s">
        <v>24</v>
      </c>
      <c r="F95" t="s">
        <v>36</v>
      </c>
      <c r="G95" t="s">
        <v>26</v>
      </c>
      <c r="H95">
        <v>64.36</v>
      </c>
      <c r="I95">
        <v>18</v>
      </c>
      <c r="K95">
        <v>1158.48</v>
      </c>
      <c r="L95" s="1">
        <v>43740</v>
      </c>
      <c r="M95" s="2">
        <v>0.50624999999999998</v>
      </c>
      <c r="N95" t="s">
        <v>37</v>
      </c>
      <c r="O95">
        <v>579.24</v>
      </c>
      <c r="P95">
        <v>4.7619047620000003</v>
      </c>
      <c r="Q95">
        <v>579.24</v>
      </c>
      <c r="R95">
        <v>10</v>
      </c>
      <c r="S95">
        <v>96.089100000000002</v>
      </c>
      <c r="T95">
        <v>21.9588</v>
      </c>
    </row>
    <row r="96" spans="1:20" x14ac:dyDescent="0.3">
      <c r="A96" t="s">
        <v>216</v>
      </c>
      <c r="B96" t="s">
        <v>29</v>
      </c>
      <c r="C96" t="s">
        <v>217</v>
      </c>
      <c r="D96" t="s">
        <v>31</v>
      </c>
      <c r="E96" t="s">
        <v>32</v>
      </c>
      <c r="F96" t="s">
        <v>36</v>
      </c>
      <c r="G96" t="s">
        <v>26</v>
      </c>
      <c r="H96">
        <v>89.75</v>
      </c>
      <c r="I96">
        <v>1</v>
      </c>
      <c r="K96">
        <v>89.75</v>
      </c>
      <c r="L96" s="1">
        <v>43498</v>
      </c>
      <c r="M96" s="2">
        <v>0.83680555555555558</v>
      </c>
      <c r="N96" t="s">
        <v>37</v>
      </c>
      <c r="O96">
        <v>89.75</v>
      </c>
      <c r="P96">
        <v>4.7619047620000003</v>
      </c>
      <c r="Q96">
        <v>0</v>
      </c>
      <c r="R96">
        <v>6.93</v>
      </c>
      <c r="S96">
        <v>96.078500000000005</v>
      </c>
      <c r="T96">
        <v>19.763300000000001</v>
      </c>
    </row>
    <row r="97" spans="1:20" x14ac:dyDescent="0.3">
      <c r="A97" t="s">
        <v>218</v>
      </c>
      <c r="B97" t="s">
        <v>21</v>
      </c>
      <c r="C97" t="s">
        <v>219</v>
      </c>
      <c r="D97" t="s">
        <v>23</v>
      </c>
      <c r="E97" t="s">
        <v>32</v>
      </c>
      <c r="F97" t="s">
        <v>36</v>
      </c>
      <c r="G97" t="s">
        <v>60</v>
      </c>
      <c r="H97">
        <v>97.16</v>
      </c>
      <c r="I97">
        <v>1</v>
      </c>
      <c r="K97">
        <v>97.16</v>
      </c>
      <c r="L97" s="1">
        <v>43620</v>
      </c>
      <c r="M97" s="2">
        <v>0.85972222222222228</v>
      </c>
      <c r="N97" t="s">
        <v>27</v>
      </c>
      <c r="O97">
        <v>97.16</v>
      </c>
      <c r="P97">
        <v>4.7619047620000003</v>
      </c>
      <c r="Q97">
        <v>0</v>
      </c>
      <c r="R97">
        <v>7.2</v>
      </c>
      <c r="S97">
        <v>96.173500000000004</v>
      </c>
      <c r="T97">
        <v>16.840900000000001</v>
      </c>
    </row>
    <row r="98" spans="1:20" x14ac:dyDescent="0.3">
      <c r="A98" t="s">
        <v>220</v>
      </c>
      <c r="B98" t="s">
        <v>51</v>
      </c>
      <c r="C98" t="s">
        <v>221</v>
      </c>
      <c r="D98" t="s">
        <v>53</v>
      </c>
      <c r="E98" t="s">
        <v>32</v>
      </c>
      <c r="F98" t="s">
        <v>36</v>
      </c>
      <c r="G98" t="s">
        <v>26</v>
      </c>
      <c r="H98">
        <v>87.87</v>
      </c>
      <c r="I98">
        <v>14</v>
      </c>
      <c r="K98">
        <v>1230.18</v>
      </c>
      <c r="L98" s="1">
        <v>43587</v>
      </c>
      <c r="M98" s="2">
        <v>0.43402777777777779</v>
      </c>
      <c r="N98" t="s">
        <v>27</v>
      </c>
      <c r="O98">
        <v>878.7</v>
      </c>
      <c r="P98">
        <v>4.7619047620000003</v>
      </c>
      <c r="Q98">
        <v>351.48</v>
      </c>
      <c r="R98">
        <v>6.12</v>
      </c>
      <c r="S98">
        <v>96.089100000000002</v>
      </c>
      <c r="T98">
        <v>21.9588</v>
      </c>
    </row>
    <row r="99" spans="1:20" x14ac:dyDescent="0.3">
      <c r="A99" t="s">
        <v>222</v>
      </c>
      <c r="B99" t="s">
        <v>29</v>
      </c>
      <c r="C99" t="s">
        <v>223</v>
      </c>
      <c r="D99" t="s">
        <v>31</v>
      </c>
      <c r="E99" t="s">
        <v>32</v>
      </c>
      <c r="F99" t="s">
        <v>25</v>
      </c>
      <c r="G99" t="s">
        <v>60</v>
      </c>
      <c r="H99">
        <v>12.45</v>
      </c>
      <c r="I99">
        <v>7</v>
      </c>
      <c r="K99">
        <v>87.15</v>
      </c>
      <c r="L99" s="1">
        <v>43557</v>
      </c>
      <c r="M99" s="2">
        <v>0.5493055555555556</v>
      </c>
      <c r="N99" t="s">
        <v>33</v>
      </c>
      <c r="O99">
        <v>74.7</v>
      </c>
      <c r="P99">
        <v>4.7619047620000003</v>
      </c>
      <c r="Q99">
        <v>12.45</v>
      </c>
      <c r="R99">
        <v>4.3049999999999997</v>
      </c>
      <c r="S99">
        <v>96.078500000000005</v>
      </c>
      <c r="T99">
        <v>19.763300000000001</v>
      </c>
    </row>
    <row r="100" spans="1:20" x14ac:dyDescent="0.3">
      <c r="A100" t="s">
        <v>224</v>
      </c>
      <c r="B100" t="s">
        <v>21</v>
      </c>
      <c r="C100" t="s">
        <v>225</v>
      </c>
      <c r="D100" t="s">
        <v>23</v>
      </c>
      <c r="E100" t="s">
        <v>32</v>
      </c>
      <c r="F100" t="s">
        <v>36</v>
      </c>
      <c r="G100" t="s">
        <v>63</v>
      </c>
      <c r="H100">
        <v>52.75</v>
      </c>
      <c r="I100">
        <v>3</v>
      </c>
      <c r="K100">
        <v>158.25</v>
      </c>
      <c r="L100" s="1">
        <v>43535</v>
      </c>
      <c r="M100" s="2">
        <v>0.42777777777777776</v>
      </c>
      <c r="N100" t="s">
        <v>27</v>
      </c>
      <c r="O100">
        <v>158.25</v>
      </c>
      <c r="P100">
        <v>4.7619047620000003</v>
      </c>
      <c r="Q100">
        <v>0</v>
      </c>
      <c r="R100">
        <v>9.3000000000000007</v>
      </c>
      <c r="S100">
        <v>96.173500000000004</v>
      </c>
      <c r="T100">
        <v>16.840900000000001</v>
      </c>
    </row>
    <row r="101" spans="1:20" x14ac:dyDescent="0.3">
      <c r="A101" t="s">
        <v>226</v>
      </c>
      <c r="B101" t="s">
        <v>51</v>
      </c>
      <c r="C101" t="s">
        <v>227</v>
      </c>
      <c r="D101" t="s">
        <v>53</v>
      </c>
      <c r="E101" t="s">
        <v>32</v>
      </c>
      <c r="F101" t="s">
        <v>36</v>
      </c>
      <c r="G101" t="s">
        <v>77</v>
      </c>
      <c r="H101">
        <v>82.7</v>
      </c>
      <c r="I101">
        <v>8</v>
      </c>
      <c r="K101">
        <v>661.6</v>
      </c>
      <c r="L101" s="1">
        <v>43636</v>
      </c>
      <c r="M101" s="2">
        <v>0.75972222222222219</v>
      </c>
      <c r="N101" t="s">
        <v>33</v>
      </c>
      <c r="O101">
        <v>496.2</v>
      </c>
      <c r="P101">
        <v>4.7619047620000003</v>
      </c>
      <c r="Q101">
        <v>165.4</v>
      </c>
      <c r="R101">
        <v>8.8800000000000008</v>
      </c>
      <c r="S101">
        <v>96.089100000000002</v>
      </c>
      <c r="T101">
        <v>21.9588</v>
      </c>
    </row>
    <row r="102" spans="1:20" x14ac:dyDescent="0.3">
      <c r="A102" t="s">
        <v>228</v>
      </c>
      <c r="B102" t="s">
        <v>29</v>
      </c>
      <c r="C102" t="s">
        <v>229</v>
      </c>
      <c r="D102" t="s">
        <v>31</v>
      </c>
      <c r="E102" t="s">
        <v>24</v>
      </c>
      <c r="F102" t="s">
        <v>36</v>
      </c>
      <c r="G102" t="s">
        <v>100</v>
      </c>
      <c r="H102">
        <v>48.71</v>
      </c>
      <c r="I102">
        <v>1</v>
      </c>
      <c r="K102">
        <v>48.71</v>
      </c>
      <c r="L102" s="1">
        <v>43775</v>
      </c>
      <c r="M102" s="2">
        <v>0.80555555555555558</v>
      </c>
      <c r="N102" t="s">
        <v>33</v>
      </c>
      <c r="O102">
        <v>48.71</v>
      </c>
      <c r="P102">
        <v>4.7619047620000003</v>
      </c>
      <c r="Q102">
        <v>0</v>
      </c>
      <c r="R102">
        <v>4.3049999999999997</v>
      </c>
      <c r="S102">
        <v>96.078500000000005</v>
      </c>
      <c r="T102">
        <v>19.763300000000001</v>
      </c>
    </row>
    <row r="103" spans="1:20" x14ac:dyDescent="0.3">
      <c r="A103" t="s">
        <v>230</v>
      </c>
      <c r="B103" t="s">
        <v>29</v>
      </c>
      <c r="C103" t="s">
        <v>231</v>
      </c>
      <c r="D103" t="s">
        <v>31</v>
      </c>
      <c r="E103" t="s">
        <v>32</v>
      </c>
      <c r="F103" t="s">
        <v>36</v>
      </c>
      <c r="G103" t="s">
        <v>100</v>
      </c>
      <c r="H103">
        <v>78.55</v>
      </c>
      <c r="I103">
        <v>11</v>
      </c>
      <c r="J103">
        <v>43.202500000000001</v>
      </c>
      <c r="K103">
        <v>864.05</v>
      </c>
      <c r="L103" s="1">
        <v>43812</v>
      </c>
      <c r="M103" s="2">
        <v>0.55694444444444446</v>
      </c>
      <c r="N103" t="s">
        <v>33</v>
      </c>
      <c r="O103">
        <v>706.95</v>
      </c>
      <c r="P103">
        <v>4.7619047620000003</v>
      </c>
      <c r="Q103">
        <v>157.1</v>
      </c>
      <c r="R103">
        <v>7.56</v>
      </c>
      <c r="S103">
        <v>96.078500000000005</v>
      </c>
      <c r="T103">
        <v>19.763300000000001</v>
      </c>
    </row>
    <row r="104" spans="1:20" x14ac:dyDescent="0.3">
      <c r="A104" t="s">
        <v>232</v>
      </c>
      <c r="B104" t="s">
        <v>29</v>
      </c>
      <c r="C104" t="s">
        <v>233</v>
      </c>
      <c r="D104" t="s">
        <v>31</v>
      </c>
      <c r="E104" t="s">
        <v>32</v>
      </c>
      <c r="F104" t="s">
        <v>25</v>
      </c>
      <c r="G104" t="s">
        <v>60</v>
      </c>
      <c r="H104">
        <v>23.07</v>
      </c>
      <c r="I104">
        <v>11</v>
      </c>
      <c r="J104">
        <v>12.688499999999999</v>
      </c>
      <c r="K104">
        <v>253.77</v>
      </c>
      <c r="L104" s="1">
        <v>43665</v>
      </c>
      <c r="M104" s="2">
        <v>0.47708333333333336</v>
      </c>
      <c r="N104" t="s">
        <v>33</v>
      </c>
      <c r="O104">
        <v>207.63</v>
      </c>
      <c r="P104">
        <v>4.7619047620000003</v>
      </c>
      <c r="Q104">
        <v>46.14</v>
      </c>
      <c r="R104">
        <v>5.1449999999999996</v>
      </c>
      <c r="S104">
        <v>96.078500000000005</v>
      </c>
      <c r="T104">
        <v>19.763300000000001</v>
      </c>
    </row>
    <row r="105" spans="1:20" x14ac:dyDescent="0.3">
      <c r="A105" t="s">
        <v>234</v>
      </c>
      <c r="B105" t="s">
        <v>21</v>
      </c>
      <c r="C105" t="s">
        <v>235</v>
      </c>
      <c r="D105" t="s">
        <v>23</v>
      </c>
      <c r="E105" t="s">
        <v>32</v>
      </c>
      <c r="F105" t="s">
        <v>36</v>
      </c>
      <c r="G105" t="s">
        <v>63</v>
      </c>
      <c r="H105">
        <v>58.26</v>
      </c>
      <c r="I105">
        <v>6</v>
      </c>
      <c r="J105">
        <v>17.478000000000002</v>
      </c>
      <c r="K105">
        <v>349.56</v>
      </c>
      <c r="L105" s="1">
        <v>43608</v>
      </c>
      <c r="M105" s="2">
        <v>0.69722222222222219</v>
      </c>
      <c r="N105" t="s">
        <v>33</v>
      </c>
      <c r="O105">
        <v>349.56</v>
      </c>
      <c r="P105">
        <v>4.7619047620000003</v>
      </c>
      <c r="Q105">
        <v>0</v>
      </c>
      <c r="R105">
        <v>9.9</v>
      </c>
      <c r="S105">
        <v>96.173500000000004</v>
      </c>
      <c r="T105">
        <v>16.840900000000001</v>
      </c>
    </row>
    <row r="106" spans="1:20" x14ac:dyDescent="0.3">
      <c r="A106" t="s">
        <v>236</v>
      </c>
      <c r="B106" t="s">
        <v>51</v>
      </c>
      <c r="C106" t="s">
        <v>175</v>
      </c>
      <c r="D106" t="s">
        <v>53</v>
      </c>
      <c r="E106" t="s">
        <v>32</v>
      </c>
      <c r="F106" t="s">
        <v>36</v>
      </c>
      <c r="G106" t="s">
        <v>26</v>
      </c>
      <c r="H106">
        <v>30.35</v>
      </c>
      <c r="I106">
        <v>10</v>
      </c>
      <c r="J106">
        <v>15.175000000000001</v>
      </c>
      <c r="K106">
        <v>303.5</v>
      </c>
      <c r="L106" s="1">
        <v>43575</v>
      </c>
      <c r="M106" s="2">
        <v>0.7631944444444444</v>
      </c>
      <c r="N106" t="s">
        <v>33</v>
      </c>
      <c r="O106">
        <v>212.45</v>
      </c>
      <c r="P106">
        <v>4.7619047620000003</v>
      </c>
      <c r="Q106">
        <v>91.05</v>
      </c>
      <c r="R106">
        <v>9.6</v>
      </c>
      <c r="S106">
        <v>96.089100000000002</v>
      </c>
      <c r="T106">
        <v>21.9588</v>
      </c>
    </row>
    <row r="107" spans="1:20" x14ac:dyDescent="0.3">
      <c r="A107" t="s">
        <v>237</v>
      </c>
      <c r="B107" t="s">
        <v>21</v>
      </c>
      <c r="C107" t="s">
        <v>238</v>
      </c>
      <c r="D107" t="s">
        <v>23</v>
      </c>
      <c r="E107" t="s">
        <v>24</v>
      </c>
      <c r="F107" t="s">
        <v>36</v>
      </c>
      <c r="G107" t="s">
        <v>60</v>
      </c>
      <c r="H107">
        <v>88.67</v>
      </c>
      <c r="I107">
        <v>14</v>
      </c>
      <c r="J107">
        <v>62.069000000000003</v>
      </c>
      <c r="K107">
        <v>1241.3800000000001</v>
      </c>
      <c r="L107" s="1">
        <v>43818</v>
      </c>
      <c r="M107" s="2">
        <v>0.61805555555555558</v>
      </c>
      <c r="N107" t="s">
        <v>27</v>
      </c>
      <c r="O107">
        <v>886.7</v>
      </c>
      <c r="P107">
        <v>4.7619047620000003</v>
      </c>
      <c r="Q107">
        <v>354.68</v>
      </c>
      <c r="R107">
        <v>7.3</v>
      </c>
      <c r="S107">
        <v>96.173500000000004</v>
      </c>
      <c r="T107">
        <v>16.840900000000001</v>
      </c>
    </row>
    <row r="108" spans="1:20" x14ac:dyDescent="0.3">
      <c r="A108" t="s">
        <v>239</v>
      </c>
      <c r="B108" t="s">
        <v>29</v>
      </c>
      <c r="C108" t="s">
        <v>143</v>
      </c>
      <c r="D108" t="s">
        <v>31</v>
      </c>
      <c r="E108" t="s">
        <v>32</v>
      </c>
      <c r="G108" t="s">
        <v>100</v>
      </c>
      <c r="H108">
        <v>27.38</v>
      </c>
      <c r="I108">
        <v>7</v>
      </c>
      <c r="J108">
        <v>9.5830000000000002</v>
      </c>
      <c r="K108">
        <v>191.66</v>
      </c>
      <c r="L108" s="1">
        <v>43809</v>
      </c>
      <c r="M108" s="2">
        <v>0.87083333333333335</v>
      </c>
      <c r="N108" t="s">
        <v>37</v>
      </c>
      <c r="O108">
        <v>164.28</v>
      </c>
      <c r="P108">
        <v>4.7619047620000003</v>
      </c>
      <c r="Q108">
        <v>27.38</v>
      </c>
      <c r="R108">
        <v>8.2949999999999999</v>
      </c>
      <c r="S108">
        <v>96.078500000000005</v>
      </c>
      <c r="T108">
        <v>19.763300000000001</v>
      </c>
    </row>
    <row r="109" spans="1:20" x14ac:dyDescent="0.3">
      <c r="A109" t="s">
        <v>240</v>
      </c>
      <c r="B109" t="s">
        <v>21</v>
      </c>
      <c r="C109" t="s">
        <v>241</v>
      </c>
      <c r="D109" t="s">
        <v>23</v>
      </c>
      <c r="E109" t="s">
        <v>32</v>
      </c>
      <c r="G109" t="s">
        <v>68</v>
      </c>
      <c r="H109">
        <v>62.13</v>
      </c>
      <c r="I109">
        <v>6</v>
      </c>
      <c r="J109">
        <v>18.638999999999999</v>
      </c>
      <c r="K109">
        <v>372.78</v>
      </c>
      <c r="L109" s="1">
        <v>43829</v>
      </c>
      <c r="M109" s="2">
        <v>0.84652777777777777</v>
      </c>
      <c r="N109" t="s">
        <v>33</v>
      </c>
      <c r="O109">
        <v>372.78</v>
      </c>
      <c r="P109">
        <v>4.7619047620000003</v>
      </c>
      <c r="Q109">
        <v>0</v>
      </c>
      <c r="R109">
        <v>7.4</v>
      </c>
      <c r="S109">
        <v>96.173500000000004</v>
      </c>
      <c r="T109">
        <v>16.840900000000001</v>
      </c>
    </row>
    <row r="110" spans="1:20" x14ac:dyDescent="0.3">
      <c r="A110" t="s">
        <v>242</v>
      </c>
      <c r="B110" t="s">
        <v>29</v>
      </c>
      <c r="C110" t="s">
        <v>243</v>
      </c>
      <c r="D110" t="s">
        <v>31</v>
      </c>
      <c r="E110" t="s">
        <v>32</v>
      </c>
      <c r="G110" t="s">
        <v>63</v>
      </c>
      <c r="H110">
        <v>33.979999999999997</v>
      </c>
      <c r="I110">
        <v>11</v>
      </c>
      <c r="J110">
        <v>18.689</v>
      </c>
      <c r="K110">
        <v>373.78</v>
      </c>
      <c r="L110" s="1">
        <v>43551</v>
      </c>
      <c r="M110" s="2">
        <v>0.4465277777777778</v>
      </c>
      <c r="N110" t="s">
        <v>33</v>
      </c>
      <c r="O110">
        <v>305.82</v>
      </c>
      <c r="P110">
        <v>4.7619047620000003</v>
      </c>
      <c r="Q110">
        <v>67.959999999999994</v>
      </c>
      <c r="R110">
        <v>4.41</v>
      </c>
      <c r="S110">
        <v>96.078500000000005</v>
      </c>
      <c r="T110">
        <v>19.763300000000001</v>
      </c>
    </row>
    <row r="111" spans="1:20" x14ac:dyDescent="0.3">
      <c r="A111" t="s">
        <v>244</v>
      </c>
      <c r="B111" t="s">
        <v>29</v>
      </c>
      <c r="C111" t="s">
        <v>245</v>
      </c>
      <c r="D111" t="s">
        <v>31</v>
      </c>
      <c r="E111" t="s">
        <v>24</v>
      </c>
      <c r="G111" t="s">
        <v>60</v>
      </c>
      <c r="H111">
        <v>81.97</v>
      </c>
      <c r="I111">
        <v>17</v>
      </c>
      <c r="J111">
        <v>69.674499999999995</v>
      </c>
      <c r="K111">
        <v>1393.49</v>
      </c>
      <c r="L111" s="1">
        <v>43512</v>
      </c>
      <c r="M111" s="2">
        <v>0.60416666666666663</v>
      </c>
      <c r="N111" t="s">
        <v>33</v>
      </c>
      <c r="O111">
        <v>819.7</v>
      </c>
      <c r="P111">
        <v>4.7619047620000003</v>
      </c>
      <c r="Q111">
        <v>573.79</v>
      </c>
      <c r="S111">
        <v>96.078500000000005</v>
      </c>
      <c r="T111">
        <v>19.763300000000001</v>
      </c>
    </row>
    <row r="112" spans="1:20" x14ac:dyDescent="0.3">
      <c r="A112" t="s">
        <v>246</v>
      </c>
      <c r="B112" t="s">
        <v>51</v>
      </c>
      <c r="C112" t="s">
        <v>99</v>
      </c>
      <c r="D112" t="s">
        <v>53</v>
      </c>
      <c r="E112" t="s">
        <v>24</v>
      </c>
      <c r="G112" t="s">
        <v>68</v>
      </c>
      <c r="H112">
        <v>16.489999999999998</v>
      </c>
      <c r="I112">
        <v>4</v>
      </c>
      <c r="J112">
        <v>3.298</v>
      </c>
      <c r="K112">
        <v>65.959999999999994</v>
      </c>
      <c r="L112" s="1">
        <v>43723</v>
      </c>
      <c r="M112" s="2">
        <v>0.48055555555555557</v>
      </c>
      <c r="N112" t="s">
        <v>27</v>
      </c>
      <c r="O112">
        <v>32.979999999999997</v>
      </c>
      <c r="P112">
        <v>4.7619047620000003</v>
      </c>
      <c r="Q112">
        <v>32.979999999999997</v>
      </c>
      <c r="S112">
        <v>96.089100000000002</v>
      </c>
      <c r="T112">
        <v>21.9588</v>
      </c>
    </row>
    <row r="113" spans="1:20" x14ac:dyDescent="0.3">
      <c r="A113" t="s">
        <v>247</v>
      </c>
      <c r="B113" t="s">
        <v>29</v>
      </c>
      <c r="C113" t="s">
        <v>248</v>
      </c>
      <c r="D113" t="s">
        <v>31</v>
      </c>
      <c r="E113" t="s">
        <v>24</v>
      </c>
      <c r="G113" t="s">
        <v>26</v>
      </c>
      <c r="H113">
        <v>98.21</v>
      </c>
      <c r="I113">
        <v>6</v>
      </c>
      <c r="J113">
        <v>29.463000000000001</v>
      </c>
      <c r="K113">
        <v>589.26</v>
      </c>
      <c r="L113" s="1">
        <v>43763</v>
      </c>
      <c r="M113" s="2">
        <v>0.44513888888888886</v>
      </c>
      <c r="N113" t="s">
        <v>37</v>
      </c>
      <c r="O113">
        <v>294.63</v>
      </c>
      <c r="P113">
        <v>4.7619047620000003</v>
      </c>
      <c r="Q113">
        <v>294.63</v>
      </c>
      <c r="S113">
        <v>96.078500000000005</v>
      </c>
      <c r="T113">
        <v>19.763300000000001</v>
      </c>
    </row>
    <row r="114" spans="1:20" x14ac:dyDescent="0.3">
      <c r="A114" t="s">
        <v>249</v>
      </c>
      <c r="B114" t="s">
        <v>51</v>
      </c>
      <c r="C114" t="s">
        <v>250</v>
      </c>
      <c r="D114" t="s">
        <v>53</v>
      </c>
      <c r="E114" t="s">
        <v>32</v>
      </c>
      <c r="G114" t="s">
        <v>100</v>
      </c>
      <c r="H114">
        <v>72.84</v>
      </c>
      <c r="I114">
        <v>10</v>
      </c>
      <c r="J114">
        <v>36.42</v>
      </c>
      <c r="K114">
        <v>728.4</v>
      </c>
      <c r="L114" s="1">
        <v>43662</v>
      </c>
      <c r="M114" s="2">
        <v>0.53055555555555556</v>
      </c>
      <c r="N114" t="s">
        <v>33</v>
      </c>
      <c r="O114">
        <v>509.88</v>
      </c>
      <c r="P114">
        <v>4.7619047620000003</v>
      </c>
      <c r="Q114">
        <v>218.52</v>
      </c>
      <c r="S114">
        <v>96.089100000000002</v>
      </c>
      <c r="T114">
        <v>21.9588</v>
      </c>
    </row>
    <row r="115" spans="1:20" x14ac:dyDescent="0.3">
      <c r="A115" t="s">
        <v>251</v>
      </c>
      <c r="B115" t="s">
        <v>21</v>
      </c>
      <c r="C115" t="s">
        <v>252</v>
      </c>
      <c r="D115" t="s">
        <v>23</v>
      </c>
      <c r="E115" t="s">
        <v>24</v>
      </c>
      <c r="F115" t="s">
        <v>36</v>
      </c>
      <c r="G115" t="s">
        <v>77</v>
      </c>
      <c r="H115">
        <v>58.07</v>
      </c>
      <c r="I115">
        <v>13</v>
      </c>
      <c r="J115">
        <v>37.7455</v>
      </c>
      <c r="K115">
        <v>754.91</v>
      </c>
      <c r="L115" s="1">
        <v>43765</v>
      </c>
      <c r="M115" s="2">
        <v>0.83819444444444446</v>
      </c>
      <c r="N115" t="s">
        <v>27</v>
      </c>
      <c r="O115">
        <v>522.63</v>
      </c>
      <c r="P115">
        <v>4.7619047620000003</v>
      </c>
      <c r="Q115">
        <v>232.28</v>
      </c>
      <c r="S115">
        <v>96.173500000000004</v>
      </c>
      <c r="T115">
        <v>16.840900000000001</v>
      </c>
    </row>
    <row r="116" spans="1:20" x14ac:dyDescent="0.3">
      <c r="A116" t="s">
        <v>253</v>
      </c>
      <c r="B116" t="s">
        <v>29</v>
      </c>
      <c r="C116" t="s">
        <v>254</v>
      </c>
      <c r="D116" t="s">
        <v>31</v>
      </c>
      <c r="E116" t="s">
        <v>24</v>
      </c>
      <c r="F116" t="s">
        <v>25</v>
      </c>
      <c r="G116" t="s">
        <v>77</v>
      </c>
      <c r="H116">
        <v>80.790000000000006</v>
      </c>
      <c r="I116">
        <v>15</v>
      </c>
      <c r="J116">
        <v>60.592500000000001</v>
      </c>
      <c r="K116">
        <v>1211.8499999999999</v>
      </c>
      <c r="L116" s="1">
        <v>43709</v>
      </c>
      <c r="M116" s="2">
        <v>0.85486111111111107</v>
      </c>
      <c r="N116" t="s">
        <v>37</v>
      </c>
      <c r="O116">
        <v>727.11</v>
      </c>
      <c r="P116">
        <v>4.7619047620000003</v>
      </c>
      <c r="Q116">
        <v>484.74</v>
      </c>
      <c r="S116">
        <v>96.078500000000005</v>
      </c>
      <c r="T116">
        <v>19.763300000000001</v>
      </c>
    </row>
    <row r="117" spans="1:20" x14ac:dyDescent="0.3">
      <c r="A117" t="s">
        <v>255</v>
      </c>
      <c r="B117" t="s">
        <v>29</v>
      </c>
      <c r="C117" t="s">
        <v>256</v>
      </c>
      <c r="D117" t="s">
        <v>31</v>
      </c>
      <c r="E117" t="s">
        <v>32</v>
      </c>
      <c r="F117" t="s">
        <v>25</v>
      </c>
      <c r="G117" t="s">
        <v>26</v>
      </c>
      <c r="H117">
        <v>27.02</v>
      </c>
      <c r="I117">
        <v>4</v>
      </c>
      <c r="J117">
        <v>5.4039999999999999</v>
      </c>
      <c r="K117">
        <v>108.08</v>
      </c>
      <c r="L117" s="1">
        <v>43688</v>
      </c>
      <c r="M117" s="2">
        <v>0.54236111111111107</v>
      </c>
      <c r="N117" t="s">
        <v>37</v>
      </c>
      <c r="O117">
        <v>81.06</v>
      </c>
      <c r="P117">
        <v>4.7619047620000003</v>
      </c>
      <c r="Q117">
        <v>27.02</v>
      </c>
      <c r="S117">
        <v>96.078500000000005</v>
      </c>
      <c r="T117">
        <v>19.763300000000001</v>
      </c>
    </row>
    <row r="118" spans="1:20" x14ac:dyDescent="0.3">
      <c r="A118" t="s">
        <v>257</v>
      </c>
      <c r="B118" t="s">
        <v>51</v>
      </c>
      <c r="C118" t="s">
        <v>258</v>
      </c>
      <c r="D118" t="s">
        <v>53</v>
      </c>
      <c r="E118" t="s">
        <v>24</v>
      </c>
      <c r="F118" t="s">
        <v>36</v>
      </c>
      <c r="G118" t="s">
        <v>26</v>
      </c>
      <c r="H118">
        <v>21.94</v>
      </c>
      <c r="I118">
        <v>10</v>
      </c>
      <c r="J118">
        <v>10.97</v>
      </c>
      <c r="K118">
        <v>219.4</v>
      </c>
      <c r="L118" s="1">
        <v>43802</v>
      </c>
      <c r="M118" s="2">
        <v>0.52013888888888893</v>
      </c>
      <c r="N118" t="s">
        <v>27</v>
      </c>
      <c r="O118">
        <v>109.7</v>
      </c>
      <c r="P118">
        <v>4.7619047620000003</v>
      </c>
      <c r="Q118">
        <v>109.7</v>
      </c>
      <c r="S118">
        <v>96.089100000000002</v>
      </c>
      <c r="T118">
        <v>21.9588</v>
      </c>
    </row>
    <row r="119" spans="1:20" x14ac:dyDescent="0.3">
      <c r="A119" t="s">
        <v>259</v>
      </c>
      <c r="B119" t="s">
        <v>51</v>
      </c>
      <c r="C119" t="s">
        <v>260</v>
      </c>
      <c r="D119" t="s">
        <v>53</v>
      </c>
      <c r="E119" t="s">
        <v>24</v>
      </c>
      <c r="F119" t="s">
        <v>36</v>
      </c>
      <c r="G119" t="s">
        <v>26</v>
      </c>
      <c r="H119">
        <v>51.36</v>
      </c>
      <c r="I119">
        <v>1</v>
      </c>
      <c r="J119">
        <v>2.5680000000000001</v>
      </c>
      <c r="K119">
        <v>51.36</v>
      </c>
      <c r="L119" s="1">
        <v>43518</v>
      </c>
      <c r="M119" s="2">
        <v>0.6430555555555556</v>
      </c>
      <c r="N119" t="s">
        <v>27</v>
      </c>
      <c r="O119">
        <v>51.36</v>
      </c>
      <c r="P119">
        <v>4.7619047620000003</v>
      </c>
      <c r="Q119">
        <v>0</v>
      </c>
      <c r="S119">
        <v>96.089100000000002</v>
      </c>
      <c r="T119">
        <v>21.9588</v>
      </c>
    </row>
    <row r="120" spans="1:20" x14ac:dyDescent="0.3">
      <c r="A120" t="s">
        <v>261</v>
      </c>
      <c r="B120" t="s">
        <v>21</v>
      </c>
      <c r="C120" t="s">
        <v>262</v>
      </c>
      <c r="D120" t="s">
        <v>23</v>
      </c>
      <c r="E120" t="s">
        <v>32</v>
      </c>
      <c r="F120" t="s">
        <v>25</v>
      </c>
      <c r="G120" t="s">
        <v>26</v>
      </c>
      <c r="H120">
        <v>10.96</v>
      </c>
      <c r="I120">
        <v>10</v>
      </c>
      <c r="J120">
        <v>5.48</v>
      </c>
      <c r="K120">
        <v>109.6</v>
      </c>
      <c r="L120" s="1">
        <v>43658</v>
      </c>
      <c r="M120" s="2">
        <v>0.8666666666666667</v>
      </c>
      <c r="N120" t="s">
        <v>27</v>
      </c>
      <c r="O120">
        <v>109.6</v>
      </c>
      <c r="P120">
        <v>4.7619047620000003</v>
      </c>
      <c r="Q120">
        <v>0</v>
      </c>
      <c r="S120">
        <v>96.173500000000004</v>
      </c>
      <c r="T120">
        <v>16.840900000000001</v>
      </c>
    </row>
    <row r="121" spans="1:20" x14ac:dyDescent="0.3">
      <c r="A121" t="s">
        <v>263</v>
      </c>
      <c r="B121" t="s">
        <v>51</v>
      </c>
      <c r="C121" t="s">
        <v>175</v>
      </c>
      <c r="D121" t="s">
        <v>53</v>
      </c>
      <c r="E121" t="s">
        <v>32</v>
      </c>
      <c r="F121" t="s">
        <v>36</v>
      </c>
      <c r="G121" t="s">
        <v>77</v>
      </c>
      <c r="H121">
        <v>53.44</v>
      </c>
      <c r="I121">
        <v>3</v>
      </c>
      <c r="J121">
        <v>8.016</v>
      </c>
      <c r="K121">
        <v>160.32</v>
      </c>
      <c r="L121" s="1">
        <v>43582</v>
      </c>
      <c r="M121" s="2">
        <v>0.85972222222222228</v>
      </c>
      <c r="N121" t="s">
        <v>27</v>
      </c>
      <c r="O121">
        <v>106.88</v>
      </c>
      <c r="P121">
        <v>4.7619047620000003</v>
      </c>
      <c r="Q121">
        <v>53.44</v>
      </c>
      <c r="S121">
        <v>96.089100000000002</v>
      </c>
      <c r="T121">
        <v>21.9588</v>
      </c>
    </row>
    <row r="122" spans="1:20" x14ac:dyDescent="0.3">
      <c r="A122" t="s">
        <v>264</v>
      </c>
      <c r="B122" t="s">
        <v>21</v>
      </c>
      <c r="C122" t="s">
        <v>265</v>
      </c>
      <c r="D122" t="s">
        <v>23</v>
      </c>
      <c r="E122" t="s">
        <v>32</v>
      </c>
      <c r="F122" t="s">
        <v>25</v>
      </c>
      <c r="G122" t="s">
        <v>60</v>
      </c>
      <c r="H122">
        <v>99.56</v>
      </c>
      <c r="I122">
        <v>8</v>
      </c>
      <c r="J122">
        <v>39.823999999999998</v>
      </c>
      <c r="K122">
        <v>796.48</v>
      </c>
      <c r="L122" s="1">
        <v>43557</v>
      </c>
      <c r="M122" s="2">
        <v>0.7104166666666667</v>
      </c>
      <c r="N122" t="s">
        <v>37</v>
      </c>
      <c r="O122">
        <v>796.48</v>
      </c>
      <c r="P122">
        <v>4.7619047620000003</v>
      </c>
      <c r="Q122">
        <v>0</v>
      </c>
      <c r="S122">
        <v>96.173500000000004</v>
      </c>
      <c r="T122">
        <v>16.840900000000001</v>
      </c>
    </row>
    <row r="123" spans="1:20" x14ac:dyDescent="0.3">
      <c r="A123" t="s">
        <v>266</v>
      </c>
      <c r="B123" t="s">
        <v>29</v>
      </c>
      <c r="C123" t="s">
        <v>138</v>
      </c>
      <c r="D123" t="s">
        <v>31</v>
      </c>
      <c r="E123" t="s">
        <v>32</v>
      </c>
      <c r="F123" t="s">
        <v>36</v>
      </c>
      <c r="G123" t="s">
        <v>68</v>
      </c>
      <c r="H123">
        <v>57.12</v>
      </c>
      <c r="I123">
        <v>8</v>
      </c>
      <c r="J123">
        <v>22.847999999999999</v>
      </c>
      <c r="K123">
        <v>456.96</v>
      </c>
      <c r="L123" s="1">
        <v>43823</v>
      </c>
      <c r="M123" s="2">
        <v>0.50138888888888888</v>
      </c>
      <c r="N123" t="s">
        <v>37</v>
      </c>
      <c r="O123">
        <v>399.84</v>
      </c>
      <c r="P123">
        <v>4.7619047620000003</v>
      </c>
      <c r="Q123">
        <v>57.12</v>
      </c>
      <c r="S123">
        <v>96.078500000000005</v>
      </c>
      <c r="T123">
        <v>19.763300000000001</v>
      </c>
    </row>
    <row r="124" spans="1:20" x14ac:dyDescent="0.3">
      <c r="A124" t="s">
        <v>267</v>
      </c>
      <c r="B124" t="s">
        <v>51</v>
      </c>
      <c r="C124" t="s">
        <v>268</v>
      </c>
      <c r="D124" t="s">
        <v>53</v>
      </c>
      <c r="E124" t="s">
        <v>32</v>
      </c>
      <c r="F124" t="s">
        <v>36</v>
      </c>
      <c r="G124" t="s">
        <v>68</v>
      </c>
      <c r="H124">
        <v>99.96</v>
      </c>
      <c r="I124">
        <v>13</v>
      </c>
      <c r="J124">
        <v>64.974000000000004</v>
      </c>
      <c r="K124">
        <v>1299.48</v>
      </c>
      <c r="L124" s="1">
        <v>43718</v>
      </c>
      <c r="M124" s="2">
        <v>0.72638888888888886</v>
      </c>
      <c r="N124" t="s">
        <v>37</v>
      </c>
      <c r="O124">
        <v>899.64</v>
      </c>
      <c r="P124">
        <v>4.7619047620000003</v>
      </c>
      <c r="Q124">
        <v>399.84</v>
      </c>
      <c r="S124">
        <v>96.089100000000002</v>
      </c>
      <c r="T124">
        <v>21.9588</v>
      </c>
    </row>
    <row r="125" spans="1:20" x14ac:dyDescent="0.3">
      <c r="A125" t="s">
        <v>269</v>
      </c>
      <c r="B125" t="s">
        <v>29</v>
      </c>
      <c r="C125" t="s">
        <v>270</v>
      </c>
      <c r="D125" t="s">
        <v>31</v>
      </c>
      <c r="E125" t="s">
        <v>32</v>
      </c>
      <c r="F125" t="s">
        <v>36</v>
      </c>
      <c r="G125" t="s">
        <v>77</v>
      </c>
      <c r="H125">
        <v>63.91</v>
      </c>
      <c r="I125">
        <v>10</v>
      </c>
      <c r="J125">
        <v>31.954999999999998</v>
      </c>
      <c r="K125">
        <v>639.1</v>
      </c>
      <c r="L125" s="1">
        <v>43724</v>
      </c>
      <c r="M125" s="2">
        <v>0.82777777777777772</v>
      </c>
      <c r="N125" t="s">
        <v>37</v>
      </c>
      <c r="O125">
        <v>511.28</v>
      </c>
      <c r="P125">
        <v>4.7619047620000003</v>
      </c>
      <c r="Q125">
        <v>127.82</v>
      </c>
      <c r="S125">
        <v>96.078500000000005</v>
      </c>
      <c r="T125">
        <v>19.763300000000001</v>
      </c>
    </row>
    <row r="126" spans="1:20" x14ac:dyDescent="0.3">
      <c r="A126" t="s">
        <v>271</v>
      </c>
      <c r="B126" t="s">
        <v>51</v>
      </c>
      <c r="C126" t="s">
        <v>57</v>
      </c>
      <c r="D126" t="s">
        <v>53</v>
      </c>
      <c r="E126" t="s">
        <v>32</v>
      </c>
      <c r="F126" t="s">
        <v>25</v>
      </c>
      <c r="G126" t="s">
        <v>100</v>
      </c>
      <c r="H126">
        <v>56.47</v>
      </c>
      <c r="I126">
        <v>11</v>
      </c>
      <c r="K126">
        <v>621.16999999999996</v>
      </c>
      <c r="L126" s="1">
        <v>43627</v>
      </c>
      <c r="M126" s="2">
        <v>0.62291666666666667</v>
      </c>
      <c r="N126" t="s">
        <v>27</v>
      </c>
      <c r="O126">
        <v>451.76</v>
      </c>
      <c r="P126">
        <v>4.7619047620000003</v>
      </c>
      <c r="Q126">
        <v>169.41</v>
      </c>
      <c r="S126">
        <v>96.089100000000002</v>
      </c>
      <c r="T126">
        <v>21.9588</v>
      </c>
    </row>
    <row r="127" spans="1:20" x14ac:dyDescent="0.3">
      <c r="A127" t="s">
        <v>272</v>
      </c>
      <c r="B127" t="s">
        <v>21</v>
      </c>
      <c r="C127" t="s">
        <v>164</v>
      </c>
      <c r="D127" t="s">
        <v>23</v>
      </c>
      <c r="E127" t="s">
        <v>32</v>
      </c>
      <c r="F127" t="s">
        <v>25</v>
      </c>
      <c r="G127" t="s">
        <v>77</v>
      </c>
      <c r="H127">
        <v>93.69</v>
      </c>
      <c r="I127">
        <v>7</v>
      </c>
      <c r="K127">
        <v>655.83</v>
      </c>
      <c r="L127" s="1">
        <v>43549</v>
      </c>
      <c r="M127" s="2">
        <v>0.78055555555555556</v>
      </c>
      <c r="N127" t="s">
        <v>37</v>
      </c>
      <c r="O127">
        <v>655.83</v>
      </c>
      <c r="P127">
        <v>4.7619047620000003</v>
      </c>
      <c r="Q127">
        <v>0</v>
      </c>
      <c r="S127">
        <v>96.173500000000004</v>
      </c>
      <c r="T127">
        <v>16.840900000000001</v>
      </c>
    </row>
    <row r="128" spans="1:20" x14ac:dyDescent="0.3">
      <c r="A128" t="s">
        <v>273</v>
      </c>
      <c r="B128" t="s">
        <v>21</v>
      </c>
      <c r="C128" t="s">
        <v>274</v>
      </c>
      <c r="D128" t="s">
        <v>23</v>
      </c>
      <c r="E128" t="s">
        <v>32</v>
      </c>
      <c r="F128" t="s">
        <v>25</v>
      </c>
      <c r="G128" t="s">
        <v>68</v>
      </c>
      <c r="H128">
        <v>32.25</v>
      </c>
      <c r="I128">
        <v>5</v>
      </c>
      <c r="K128">
        <v>161.25</v>
      </c>
      <c r="L128" s="1">
        <v>43798</v>
      </c>
      <c r="M128" s="2">
        <v>0.55972222222222223</v>
      </c>
      <c r="N128" t="s">
        <v>33</v>
      </c>
      <c r="O128">
        <v>161.25</v>
      </c>
      <c r="P128">
        <v>4.7619047620000003</v>
      </c>
      <c r="Q128">
        <v>0</v>
      </c>
      <c r="R128">
        <v>9</v>
      </c>
      <c r="S128">
        <v>96.173500000000004</v>
      </c>
      <c r="T128">
        <v>16.840900000000001</v>
      </c>
    </row>
    <row r="129" spans="1:20" x14ac:dyDescent="0.3">
      <c r="A129" t="s">
        <v>275</v>
      </c>
      <c r="B129" t="s">
        <v>29</v>
      </c>
      <c r="C129" t="s">
        <v>276</v>
      </c>
      <c r="D129" t="s">
        <v>31</v>
      </c>
      <c r="E129" t="s">
        <v>32</v>
      </c>
      <c r="F129" t="s">
        <v>25</v>
      </c>
      <c r="G129" t="s">
        <v>100</v>
      </c>
      <c r="H129">
        <v>31.73</v>
      </c>
      <c r="I129">
        <v>11</v>
      </c>
      <c r="K129">
        <v>349.03</v>
      </c>
      <c r="L129" s="1">
        <v>43589</v>
      </c>
      <c r="M129" s="2">
        <v>0.67847222222222225</v>
      </c>
      <c r="N129" t="s">
        <v>37</v>
      </c>
      <c r="O129">
        <v>285.57</v>
      </c>
      <c r="P129">
        <v>4.7619047620000003</v>
      </c>
      <c r="Q129">
        <v>63.46</v>
      </c>
      <c r="R129">
        <v>6.1950000000000003</v>
      </c>
      <c r="S129">
        <v>96.078500000000005</v>
      </c>
      <c r="T129">
        <v>19.763300000000001</v>
      </c>
    </row>
    <row r="130" spans="1:20" x14ac:dyDescent="0.3">
      <c r="A130" t="s">
        <v>277</v>
      </c>
      <c r="B130" t="s">
        <v>29</v>
      </c>
      <c r="C130" t="s">
        <v>278</v>
      </c>
      <c r="D130" t="s">
        <v>31</v>
      </c>
      <c r="E130" t="s">
        <v>32</v>
      </c>
      <c r="F130" t="s">
        <v>25</v>
      </c>
      <c r="G130" t="s">
        <v>63</v>
      </c>
      <c r="H130">
        <v>68.540000000000006</v>
      </c>
      <c r="I130">
        <v>10</v>
      </c>
      <c r="K130">
        <v>685.4</v>
      </c>
      <c r="L130" s="1">
        <v>43628</v>
      </c>
      <c r="M130" s="2">
        <v>0.6645833333333333</v>
      </c>
      <c r="N130" t="s">
        <v>27</v>
      </c>
      <c r="O130">
        <v>548.32000000000005</v>
      </c>
      <c r="P130">
        <v>4.7619047620000003</v>
      </c>
      <c r="Q130">
        <v>137.08000000000001</v>
      </c>
      <c r="R130">
        <v>8.9250000000000007</v>
      </c>
      <c r="S130">
        <v>96.078500000000005</v>
      </c>
      <c r="T130">
        <v>19.763300000000001</v>
      </c>
    </row>
    <row r="131" spans="1:20" x14ac:dyDescent="0.3">
      <c r="A131" t="s">
        <v>279</v>
      </c>
      <c r="B131" t="s">
        <v>51</v>
      </c>
      <c r="C131" t="s">
        <v>280</v>
      </c>
      <c r="D131" t="s">
        <v>53</v>
      </c>
      <c r="E131" t="s">
        <v>32</v>
      </c>
      <c r="F131" t="s">
        <v>25</v>
      </c>
      <c r="G131" t="s">
        <v>68</v>
      </c>
      <c r="H131">
        <v>90.28</v>
      </c>
      <c r="I131">
        <v>13</v>
      </c>
      <c r="K131">
        <v>1173.6400000000001</v>
      </c>
      <c r="L131" s="1">
        <v>43555</v>
      </c>
      <c r="M131" s="2">
        <v>0.46875</v>
      </c>
      <c r="O131">
        <v>812.52</v>
      </c>
      <c r="P131">
        <v>4.7619047620000003</v>
      </c>
      <c r="Q131">
        <v>361.12</v>
      </c>
      <c r="R131">
        <v>8.64</v>
      </c>
      <c r="S131">
        <v>96.089100000000002</v>
      </c>
      <c r="T131">
        <v>21.9588</v>
      </c>
    </row>
    <row r="132" spans="1:20" x14ac:dyDescent="0.3">
      <c r="A132" t="s">
        <v>281</v>
      </c>
      <c r="B132" t="s">
        <v>51</v>
      </c>
      <c r="C132" t="s">
        <v>282</v>
      </c>
      <c r="D132" t="s">
        <v>53</v>
      </c>
      <c r="E132" t="s">
        <v>32</v>
      </c>
      <c r="F132" t="s">
        <v>25</v>
      </c>
      <c r="G132" t="s">
        <v>100</v>
      </c>
      <c r="H132">
        <v>39.619999999999997</v>
      </c>
      <c r="I132">
        <v>10</v>
      </c>
      <c r="K132">
        <v>396.2</v>
      </c>
      <c r="L132" s="1">
        <v>43559</v>
      </c>
      <c r="M132" s="2">
        <v>0.5541666666666667</v>
      </c>
      <c r="O132">
        <v>277.33999999999997</v>
      </c>
      <c r="P132">
        <v>4.7619047620000003</v>
      </c>
      <c r="Q132">
        <v>118.86</v>
      </c>
      <c r="R132">
        <v>9</v>
      </c>
      <c r="S132">
        <v>96.089100000000002</v>
      </c>
      <c r="T132">
        <v>21.9588</v>
      </c>
    </row>
    <row r="133" spans="1:20" x14ac:dyDescent="0.3">
      <c r="A133" t="s">
        <v>283</v>
      </c>
      <c r="B133" t="s">
        <v>21</v>
      </c>
      <c r="C133" t="s">
        <v>284</v>
      </c>
      <c r="D133" t="s">
        <v>23</v>
      </c>
      <c r="E133" t="s">
        <v>32</v>
      </c>
      <c r="F133" t="s">
        <v>25</v>
      </c>
      <c r="G133" t="s">
        <v>68</v>
      </c>
      <c r="H133">
        <v>92.13</v>
      </c>
      <c r="I133">
        <v>6</v>
      </c>
      <c r="K133">
        <v>552.78</v>
      </c>
      <c r="L133" s="1">
        <v>43690</v>
      </c>
      <c r="M133" s="2">
        <v>0.8569444444444444</v>
      </c>
      <c r="O133">
        <v>552.78</v>
      </c>
      <c r="P133">
        <v>4.7619047620000003</v>
      </c>
      <c r="Q133">
        <v>0</v>
      </c>
      <c r="R133">
        <v>8.3000000000000007</v>
      </c>
      <c r="S133">
        <v>96.173500000000004</v>
      </c>
      <c r="T133">
        <v>16.840900000000001</v>
      </c>
    </row>
    <row r="134" spans="1:20" x14ac:dyDescent="0.3">
      <c r="A134" t="s">
        <v>285</v>
      </c>
      <c r="B134" t="s">
        <v>51</v>
      </c>
      <c r="C134" t="s">
        <v>286</v>
      </c>
      <c r="D134" t="s">
        <v>53</v>
      </c>
      <c r="E134" t="s">
        <v>32</v>
      </c>
      <c r="F134" t="s">
        <v>25</v>
      </c>
      <c r="G134" t="s">
        <v>68</v>
      </c>
      <c r="H134">
        <v>34.840000000000003</v>
      </c>
      <c r="I134">
        <v>6</v>
      </c>
      <c r="K134">
        <v>209.04</v>
      </c>
      <c r="L134" s="1">
        <v>43476</v>
      </c>
      <c r="M134" s="2">
        <v>0.77500000000000002</v>
      </c>
      <c r="O134">
        <v>139.36000000000001</v>
      </c>
      <c r="P134">
        <v>4.7619047620000003</v>
      </c>
      <c r="Q134">
        <v>69.680000000000007</v>
      </c>
      <c r="R134">
        <v>8.8800000000000008</v>
      </c>
      <c r="S134">
        <v>96.089100000000002</v>
      </c>
      <c r="T134">
        <v>21.9588</v>
      </c>
    </row>
    <row r="135" spans="1:20" x14ac:dyDescent="0.3">
      <c r="A135" t="s">
        <v>287</v>
      </c>
      <c r="B135" t="s">
        <v>51</v>
      </c>
      <c r="C135" t="s">
        <v>288</v>
      </c>
      <c r="D135" t="s">
        <v>53</v>
      </c>
      <c r="E135" t="s">
        <v>32</v>
      </c>
      <c r="F135" t="s">
        <v>36</v>
      </c>
      <c r="G135" t="s">
        <v>60</v>
      </c>
      <c r="H135">
        <v>87.45</v>
      </c>
      <c r="I135">
        <v>8</v>
      </c>
      <c r="K135">
        <v>699.6</v>
      </c>
      <c r="L135" s="1">
        <v>43521</v>
      </c>
      <c r="M135" s="2">
        <v>0.61111111111111116</v>
      </c>
      <c r="O135">
        <v>524.70000000000005</v>
      </c>
      <c r="P135">
        <v>4.7619047620000003</v>
      </c>
      <c r="Q135">
        <v>174.9</v>
      </c>
      <c r="R135">
        <v>10</v>
      </c>
      <c r="S135">
        <v>96.089100000000002</v>
      </c>
      <c r="T135">
        <v>21.9588</v>
      </c>
    </row>
    <row r="136" spans="1:20" x14ac:dyDescent="0.3">
      <c r="A136" t="s">
        <v>289</v>
      </c>
      <c r="B136" t="s">
        <v>29</v>
      </c>
      <c r="C136" t="s">
        <v>290</v>
      </c>
      <c r="D136" t="s">
        <v>31</v>
      </c>
      <c r="E136" t="s">
        <v>32</v>
      </c>
      <c r="F136" t="s">
        <v>25</v>
      </c>
      <c r="G136" t="s">
        <v>26</v>
      </c>
      <c r="H136">
        <v>81.3</v>
      </c>
      <c r="I136">
        <v>7</v>
      </c>
      <c r="K136">
        <v>569.1</v>
      </c>
      <c r="L136" s="1">
        <v>43761</v>
      </c>
      <c r="M136" s="2">
        <v>0.69652777777777775</v>
      </c>
      <c r="O136">
        <v>487.8</v>
      </c>
      <c r="P136">
        <v>4.7619047620000003</v>
      </c>
      <c r="Q136">
        <v>81.3</v>
      </c>
      <c r="R136">
        <v>5.5650000000000004</v>
      </c>
      <c r="S136">
        <v>96.078500000000005</v>
      </c>
      <c r="T136">
        <v>19.763300000000001</v>
      </c>
    </row>
    <row r="137" spans="1:20" x14ac:dyDescent="0.3">
      <c r="A137" t="s">
        <v>291</v>
      </c>
      <c r="B137" t="s">
        <v>29</v>
      </c>
      <c r="C137" t="s">
        <v>55</v>
      </c>
      <c r="D137" t="s">
        <v>31</v>
      </c>
      <c r="E137" t="s">
        <v>32</v>
      </c>
      <c r="F137" t="s">
        <v>36</v>
      </c>
      <c r="G137" t="s">
        <v>100</v>
      </c>
      <c r="H137">
        <v>90.22</v>
      </c>
      <c r="I137">
        <v>4</v>
      </c>
      <c r="K137">
        <v>360.88</v>
      </c>
      <c r="L137" s="1">
        <v>43642</v>
      </c>
      <c r="M137" s="2">
        <v>0.81874999999999998</v>
      </c>
      <c r="O137">
        <v>270.66000000000003</v>
      </c>
      <c r="P137">
        <v>4.7619047620000003</v>
      </c>
      <c r="Q137">
        <v>90.22</v>
      </c>
      <c r="R137">
        <v>6.51</v>
      </c>
      <c r="S137">
        <v>96.078500000000005</v>
      </c>
      <c r="T137">
        <v>19.763300000000001</v>
      </c>
    </row>
    <row r="138" spans="1:20" x14ac:dyDescent="0.3">
      <c r="A138" t="s">
        <v>292</v>
      </c>
      <c r="B138" t="s">
        <v>21</v>
      </c>
      <c r="C138" t="s">
        <v>205</v>
      </c>
      <c r="D138" t="s">
        <v>23</v>
      </c>
      <c r="E138" t="s">
        <v>32</v>
      </c>
      <c r="F138" t="s">
        <v>25</v>
      </c>
      <c r="G138" t="s">
        <v>60</v>
      </c>
      <c r="H138">
        <v>26.31</v>
      </c>
      <c r="I138">
        <v>5</v>
      </c>
      <c r="K138">
        <v>131.55000000000001</v>
      </c>
      <c r="L138" s="1">
        <v>43487</v>
      </c>
      <c r="M138" s="2">
        <v>0.87430555555555556</v>
      </c>
      <c r="O138">
        <v>131.55000000000001</v>
      </c>
      <c r="P138">
        <v>4.7619047620000003</v>
      </c>
      <c r="Q138">
        <v>0</v>
      </c>
      <c r="R138">
        <v>8.8000000000000007</v>
      </c>
      <c r="S138">
        <v>96.173500000000004</v>
      </c>
      <c r="T138">
        <v>16.840900000000001</v>
      </c>
    </row>
    <row r="139" spans="1:20" x14ac:dyDescent="0.3">
      <c r="A139" t="s">
        <v>293</v>
      </c>
      <c r="B139" t="s">
        <v>21</v>
      </c>
      <c r="C139" t="s">
        <v>294</v>
      </c>
      <c r="D139" t="s">
        <v>23</v>
      </c>
      <c r="E139" t="s">
        <v>32</v>
      </c>
      <c r="F139" t="s">
        <v>25</v>
      </c>
      <c r="G139" t="s">
        <v>77</v>
      </c>
      <c r="H139">
        <v>34.42</v>
      </c>
      <c r="I139">
        <v>6</v>
      </c>
      <c r="K139">
        <v>206.52</v>
      </c>
      <c r="L139" s="1">
        <v>43510</v>
      </c>
      <c r="M139" s="2">
        <v>0.65208333333333335</v>
      </c>
      <c r="O139">
        <v>206.52</v>
      </c>
      <c r="P139">
        <v>4.7619047620000003</v>
      </c>
      <c r="Q139">
        <v>0</v>
      </c>
      <c r="R139">
        <v>9.8000000000000007</v>
      </c>
      <c r="S139">
        <v>96.173500000000004</v>
      </c>
      <c r="T139">
        <v>16.840900000000001</v>
      </c>
    </row>
    <row r="140" spans="1:20" x14ac:dyDescent="0.3">
      <c r="A140" t="s">
        <v>295</v>
      </c>
      <c r="B140" t="s">
        <v>51</v>
      </c>
      <c r="C140" t="s">
        <v>296</v>
      </c>
      <c r="D140" t="s">
        <v>53</v>
      </c>
      <c r="E140" t="s">
        <v>32</v>
      </c>
      <c r="F140" t="s">
        <v>36</v>
      </c>
      <c r="G140" t="s">
        <v>68</v>
      </c>
      <c r="H140">
        <v>51.91</v>
      </c>
      <c r="I140">
        <v>14</v>
      </c>
      <c r="K140">
        <v>726.74</v>
      </c>
      <c r="L140" s="1">
        <v>43476</v>
      </c>
      <c r="M140" s="2">
        <v>0.51458333333333328</v>
      </c>
      <c r="N140" t="s">
        <v>33</v>
      </c>
      <c r="O140">
        <v>519.1</v>
      </c>
      <c r="P140">
        <v>4.7619047620000003</v>
      </c>
      <c r="Q140">
        <v>207.64</v>
      </c>
      <c r="R140">
        <v>9.84</v>
      </c>
      <c r="S140">
        <v>96.089100000000002</v>
      </c>
      <c r="T140">
        <v>21.9588</v>
      </c>
    </row>
    <row r="141" spans="1:20" x14ac:dyDescent="0.3">
      <c r="A141" t="s">
        <v>297</v>
      </c>
      <c r="B141" t="s">
        <v>21</v>
      </c>
      <c r="C141" t="s">
        <v>265</v>
      </c>
      <c r="D141" t="s">
        <v>23</v>
      </c>
      <c r="F141" t="s">
        <v>36</v>
      </c>
      <c r="G141" t="s">
        <v>68</v>
      </c>
      <c r="H141">
        <v>72.5</v>
      </c>
      <c r="I141">
        <v>8</v>
      </c>
      <c r="J141">
        <v>29</v>
      </c>
      <c r="K141">
        <v>580</v>
      </c>
      <c r="L141" s="1">
        <v>43576</v>
      </c>
      <c r="M141" s="2">
        <v>0.80902777777777779</v>
      </c>
      <c r="N141" t="s">
        <v>27</v>
      </c>
      <c r="O141">
        <v>580</v>
      </c>
      <c r="P141">
        <v>4.7619047620000003</v>
      </c>
      <c r="Q141">
        <v>0</v>
      </c>
      <c r="R141">
        <v>9.1999999999999993</v>
      </c>
      <c r="S141">
        <v>96.173500000000004</v>
      </c>
      <c r="T141">
        <v>16.840900000000001</v>
      </c>
    </row>
    <row r="142" spans="1:20" x14ac:dyDescent="0.3">
      <c r="A142" t="s">
        <v>298</v>
      </c>
      <c r="B142" t="s">
        <v>29</v>
      </c>
      <c r="C142" t="s">
        <v>299</v>
      </c>
      <c r="D142" t="s">
        <v>31</v>
      </c>
      <c r="F142" t="s">
        <v>25</v>
      </c>
      <c r="G142" t="s">
        <v>68</v>
      </c>
      <c r="H142">
        <v>89.8</v>
      </c>
      <c r="I142">
        <v>12</v>
      </c>
      <c r="J142">
        <v>53.88</v>
      </c>
      <c r="K142">
        <v>1077.5999999999999</v>
      </c>
      <c r="L142" s="1">
        <v>43524</v>
      </c>
      <c r="M142" s="2">
        <v>0.54166666666666663</v>
      </c>
      <c r="N142" t="s">
        <v>37</v>
      </c>
      <c r="O142">
        <v>898</v>
      </c>
      <c r="P142">
        <v>4.7619047620000003</v>
      </c>
      <c r="Q142">
        <v>179.6</v>
      </c>
      <c r="R142">
        <v>5.67</v>
      </c>
      <c r="S142">
        <v>96.078500000000005</v>
      </c>
      <c r="T142">
        <v>19.763300000000001</v>
      </c>
    </row>
    <row r="143" spans="1:20" x14ac:dyDescent="0.3">
      <c r="A143" t="s">
        <v>300</v>
      </c>
      <c r="B143" t="s">
        <v>29</v>
      </c>
      <c r="C143" t="s">
        <v>301</v>
      </c>
      <c r="D143" t="s">
        <v>31</v>
      </c>
      <c r="F143" t="s">
        <v>36</v>
      </c>
      <c r="G143" t="s">
        <v>26</v>
      </c>
      <c r="H143">
        <v>90.5</v>
      </c>
      <c r="I143">
        <v>12</v>
      </c>
      <c r="J143">
        <v>54.3</v>
      </c>
      <c r="K143">
        <v>1086</v>
      </c>
      <c r="L143" s="1">
        <v>43704</v>
      </c>
      <c r="M143" s="2">
        <v>0.57499999999999996</v>
      </c>
      <c r="N143" t="s">
        <v>33</v>
      </c>
      <c r="O143">
        <v>905</v>
      </c>
      <c r="P143">
        <v>4.7619047620000003</v>
      </c>
      <c r="Q143">
        <v>181</v>
      </c>
      <c r="R143">
        <v>8.5050000000000008</v>
      </c>
      <c r="S143">
        <v>96.078500000000005</v>
      </c>
      <c r="T143">
        <v>19.763300000000001</v>
      </c>
    </row>
    <row r="144" spans="1:20" x14ac:dyDescent="0.3">
      <c r="A144" t="s">
        <v>302</v>
      </c>
      <c r="B144" t="s">
        <v>29</v>
      </c>
      <c r="C144" t="s">
        <v>303</v>
      </c>
      <c r="D144" t="s">
        <v>31</v>
      </c>
      <c r="F144" t="s">
        <v>25</v>
      </c>
      <c r="G144" t="s">
        <v>26</v>
      </c>
      <c r="H144">
        <v>68.599999999999994</v>
      </c>
      <c r="I144">
        <v>12</v>
      </c>
      <c r="J144">
        <v>41.16</v>
      </c>
      <c r="K144">
        <v>823.2</v>
      </c>
      <c r="L144" s="1">
        <v>43792</v>
      </c>
      <c r="M144" s="2">
        <v>0.83125000000000004</v>
      </c>
      <c r="N144" t="s">
        <v>33</v>
      </c>
      <c r="O144">
        <v>686</v>
      </c>
      <c r="P144">
        <v>4.7619047620000003</v>
      </c>
      <c r="Q144">
        <v>137.19999999999999</v>
      </c>
      <c r="R144">
        <v>9.5549999999999997</v>
      </c>
      <c r="S144">
        <v>96.078500000000005</v>
      </c>
      <c r="T144">
        <v>19.763300000000001</v>
      </c>
    </row>
    <row r="145" spans="1:20" x14ac:dyDescent="0.3">
      <c r="A145" t="s">
        <v>304</v>
      </c>
      <c r="B145" t="s">
        <v>29</v>
      </c>
      <c r="C145" t="s">
        <v>305</v>
      </c>
      <c r="D145" t="s">
        <v>31</v>
      </c>
      <c r="E145" t="s">
        <v>24</v>
      </c>
      <c r="F145" t="s">
        <v>25</v>
      </c>
      <c r="G145" t="s">
        <v>63</v>
      </c>
      <c r="H145">
        <v>30.41</v>
      </c>
      <c r="I145">
        <v>1</v>
      </c>
      <c r="J145">
        <v>1.5205</v>
      </c>
      <c r="K145">
        <v>30.41</v>
      </c>
      <c r="L145" s="1">
        <v>43693</v>
      </c>
      <c r="M145" s="2">
        <v>0.44166666666666665</v>
      </c>
      <c r="N145" t="s">
        <v>37</v>
      </c>
      <c r="O145">
        <v>30.41</v>
      </c>
      <c r="P145">
        <v>4.7619047620000003</v>
      </c>
      <c r="Q145">
        <v>0</v>
      </c>
      <c r="R145">
        <v>8.82</v>
      </c>
      <c r="S145">
        <v>96.078500000000005</v>
      </c>
      <c r="T145">
        <v>19.763300000000001</v>
      </c>
    </row>
    <row r="146" spans="1:20" x14ac:dyDescent="0.3">
      <c r="A146" t="s">
        <v>306</v>
      </c>
      <c r="B146" t="s">
        <v>21</v>
      </c>
      <c r="C146" t="s">
        <v>307</v>
      </c>
      <c r="D146" t="s">
        <v>23</v>
      </c>
      <c r="E146" t="s">
        <v>32</v>
      </c>
      <c r="F146" t="s">
        <v>25</v>
      </c>
      <c r="G146" t="s">
        <v>77</v>
      </c>
      <c r="H146">
        <v>77.95</v>
      </c>
      <c r="I146">
        <v>6</v>
      </c>
      <c r="J146">
        <v>23.385000000000002</v>
      </c>
      <c r="K146">
        <v>467.7</v>
      </c>
      <c r="L146" s="1">
        <v>43796</v>
      </c>
      <c r="M146" s="2">
        <v>0.69236111111111109</v>
      </c>
      <c r="N146" t="s">
        <v>27</v>
      </c>
      <c r="O146">
        <v>467.7</v>
      </c>
      <c r="P146">
        <v>4.7619047620000003</v>
      </c>
      <c r="Q146">
        <v>0</v>
      </c>
      <c r="R146">
        <v>8</v>
      </c>
      <c r="S146">
        <v>96.173500000000004</v>
      </c>
      <c r="T146">
        <v>16.840900000000001</v>
      </c>
    </row>
    <row r="147" spans="1:20" x14ac:dyDescent="0.3">
      <c r="A147" t="s">
        <v>308</v>
      </c>
      <c r="B147" t="s">
        <v>29</v>
      </c>
      <c r="C147" t="s">
        <v>309</v>
      </c>
      <c r="D147" t="s">
        <v>31</v>
      </c>
      <c r="E147" t="s">
        <v>32</v>
      </c>
      <c r="F147" t="s">
        <v>25</v>
      </c>
      <c r="G147" t="s">
        <v>26</v>
      </c>
      <c r="H147">
        <v>46.26</v>
      </c>
      <c r="I147">
        <v>7</v>
      </c>
      <c r="J147">
        <v>16.190999999999999</v>
      </c>
      <c r="K147">
        <v>323.82</v>
      </c>
      <c r="L147" s="1">
        <v>43515</v>
      </c>
      <c r="M147" s="2">
        <v>0.71597222222222223</v>
      </c>
      <c r="N147" t="s">
        <v>37</v>
      </c>
      <c r="O147">
        <v>277.56</v>
      </c>
      <c r="P147">
        <v>4.7619047620000003</v>
      </c>
      <c r="Q147">
        <v>46.26</v>
      </c>
      <c r="R147">
        <v>9.9749999999999996</v>
      </c>
      <c r="S147">
        <v>96.078500000000005</v>
      </c>
      <c r="T147">
        <v>19.763300000000001</v>
      </c>
    </row>
    <row r="148" spans="1:20" x14ac:dyDescent="0.3">
      <c r="A148" t="s">
        <v>310</v>
      </c>
      <c r="B148" t="s">
        <v>21</v>
      </c>
      <c r="C148" t="s">
        <v>311</v>
      </c>
      <c r="D148" t="s">
        <v>23</v>
      </c>
      <c r="E148" t="s">
        <v>24</v>
      </c>
      <c r="F148" t="s">
        <v>25</v>
      </c>
      <c r="G148" t="s">
        <v>100</v>
      </c>
      <c r="H148">
        <v>30.14</v>
      </c>
      <c r="I148">
        <v>14</v>
      </c>
      <c r="J148">
        <v>21.097999999999999</v>
      </c>
      <c r="K148">
        <v>421.96</v>
      </c>
      <c r="L148" s="1">
        <v>43589</v>
      </c>
      <c r="M148" s="2">
        <v>0.51944444444444449</v>
      </c>
      <c r="N148" t="s">
        <v>27</v>
      </c>
      <c r="O148">
        <v>301.39999999999998</v>
      </c>
      <c r="P148">
        <v>4.7619047620000003</v>
      </c>
      <c r="Q148">
        <v>120.56</v>
      </c>
      <c r="R148">
        <v>9.1999999999999993</v>
      </c>
      <c r="S148">
        <v>96.173500000000004</v>
      </c>
      <c r="T148">
        <v>16.840900000000001</v>
      </c>
    </row>
    <row r="149" spans="1:20" x14ac:dyDescent="0.3">
      <c r="A149" t="s">
        <v>312</v>
      </c>
      <c r="B149" t="s">
        <v>29</v>
      </c>
      <c r="C149" t="s">
        <v>313</v>
      </c>
      <c r="D149" t="s">
        <v>31</v>
      </c>
      <c r="E149" t="s">
        <v>32</v>
      </c>
      <c r="F149" t="s">
        <v>36</v>
      </c>
      <c r="G149" t="s">
        <v>26</v>
      </c>
      <c r="H149">
        <v>66.14</v>
      </c>
      <c r="I149">
        <v>5</v>
      </c>
      <c r="J149">
        <v>16.535</v>
      </c>
      <c r="K149">
        <v>330.7</v>
      </c>
      <c r="L149" s="1">
        <v>43567</v>
      </c>
      <c r="M149" s="2">
        <v>0.53194444444444444</v>
      </c>
      <c r="N149" t="s">
        <v>37</v>
      </c>
      <c r="O149">
        <v>264.56</v>
      </c>
      <c r="P149">
        <v>4.7619047620000003</v>
      </c>
      <c r="Q149">
        <v>66.14</v>
      </c>
      <c r="R149">
        <v>5.88</v>
      </c>
      <c r="S149">
        <v>96.078500000000005</v>
      </c>
      <c r="T149">
        <v>19.763300000000001</v>
      </c>
    </row>
    <row r="150" spans="1:20" x14ac:dyDescent="0.3">
      <c r="A150" t="s">
        <v>314</v>
      </c>
      <c r="B150" t="s">
        <v>51</v>
      </c>
      <c r="C150" t="s">
        <v>207</v>
      </c>
      <c r="D150" t="s">
        <v>53</v>
      </c>
      <c r="E150" t="s">
        <v>24</v>
      </c>
      <c r="F150" t="s">
        <v>36</v>
      </c>
      <c r="G150" t="s">
        <v>77</v>
      </c>
      <c r="H150">
        <v>71.86</v>
      </c>
      <c r="I150">
        <v>15</v>
      </c>
      <c r="J150">
        <v>53.895000000000003</v>
      </c>
      <c r="K150">
        <v>1077.9000000000001</v>
      </c>
      <c r="L150" s="1">
        <v>43470</v>
      </c>
      <c r="M150" s="2">
        <v>0.62986111111111109</v>
      </c>
      <c r="N150" t="s">
        <v>37</v>
      </c>
      <c r="O150">
        <v>574.88</v>
      </c>
      <c r="P150">
        <v>4.7619047620000003</v>
      </c>
      <c r="Q150">
        <v>503.02</v>
      </c>
      <c r="R150">
        <v>7.44</v>
      </c>
      <c r="S150">
        <v>96.089100000000002</v>
      </c>
      <c r="T150">
        <v>21.9588</v>
      </c>
    </row>
    <row r="151" spans="1:20" x14ac:dyDescent="0.3">
      <c r="A151" t="s">
        <v>315</v>
      </c>
      <c r="B151" t="s">
        <v>21</v>
      </c>
      <c r="C151" t="s">
        <v>316</v>
      </c>
      <c r="D151" t="s">
        <v>23</v>
      </c>
      <c r="E151" t="s">
        <v>32</v>
      </c>
      <c r="F151" t="s">
        <v>36</v>
      </c>
      <c r="G151" t="s">
        <v>26</v>
      </c>
      <c r="H151">
        <v>32.46</v>
      </c>
      <c r="I151">
        <v>8</v>
      </c>
      <c r="J151">
        <v>12.984</v>
      </c>
      <c r="K151">
        <v>259.68</v>
      </c>
      <c r="L151" s="1">
        <v>43477</v>
      </c>
      <c r="M151" s="2">
        <v>0.57499999999999996</v>
      </c>
      <c r="N151" t="s">
        <v>37</v>
      </c>
      <c r="O151">
        <v>259.68</v>
      </c>
      <c r="P151">
        <v>4.7619047620000003</v>
      </c>
      <c r="Q151">
        <v>0</v>
      </c>
      <c r="R151">
        <v>4.9000000000000004</v>
      </c>
      <c r="S151">
        <v>96.173500000000004</v>
      </c>
      <c r="T151">
        <v>16.840900000000001</v>
      </c>
    </row>
    <row r="152" spans="1:20" x14ac:dyDescent="0.3">
      <c r="A152" t="s">
        <v>317</v>
      </c>
      <c r="B152" t="s">
        <v>51</v>
      </c>
      <c r="C152" t="s">
        <v>318</v>
      </c>
      <c r="D152" t="s">
        <v>53</v>
      </c>
      <c r="E152" t="s">
        <v>24</v>
      </c>
      <c r="F152" t="s">
        <v>25</v>
      </c>
      <c r="G152" t="s">
        <v>26</v>
      </c>
      <c r="H152">
        <v>91.54</v>
      </c>
      <c r="I152">
        <v>8</v>
      </c>
      <c r="K152">
        <v>732.32</v>
      </c>
      <c r="L152" s="1">
        <v>43668</v>
      </c>
      <c r="M152" s="2">
        <v>0.80555555555555558</v>
      </c>
      <c r="N152" t="s">
        <v>37</v>
      </c>
      <c r="O152">
        <v>366.16</v>
      </c>
      <c r="P152">
        <v>4.7619047620000003</v>
      </c>
      <c r="Q152">
        <v>366.16</v>
      </c>
      <c r="R152">
        <v>5.76</v>
      </c>
      <c r="S152">
        <v>96.089100000000002</v>
      </c>
      <c r="T152">
        <v>21.9588</v>
      </c>
    </row>
    <row r="153" spans="1:20" x14ac:dyDescent="0.3">
      <c r="A153" t="s">
        <v>319</v>
      </c>
      <c r="B153" t="s">
        <v>29</v>
      </c>
      <c r="C153" t="s">
        <v>320</v>
      </c>
      <c r="D153" t="s">
        <v>31</v>
      </c>
      <c r="E153" t="s">
        <v>24</v>
      </c>
      <c r="F153" t="s">
        <v>36</v>
      </c>
      <c r="G153" t="s">
        <v>26</v>
      </c>
      <c r="H153">
        <v>34.56</v>
      </c>
      <c r="I153">
        <v>11</v>
      </c>
      <c r="K153">
        <v>380.16</v>
      </c>
      <c r="L153" s="1">
        <v>43703</v>
      </c>
      <c r="M153" s="2">
        <v>0.67152777777777772</v>
      </c>
      <c r="N153" t="s">
        <v>37</v>
      </c>
      <c r="O153">
        <v>241.92</v>
      </c>
      <c r="P153">
        <v>4.7619047620000003</v>
      </c>
      <c r="Q153">
        <v>138.24</v>
      </c>
      <c r="R153">
        <v>7.665</v>
      </c>
      <c r="S153">
        <v>96.078500000000005</v>
      </c>
      <c r="T153">
        <v>19.763300000000001</v>
      </c>
    </row>
    <row r="154" spans="1:20" x14ac:dyDescent="0.3">
      <c r="A154" t="s">
        <v>321</v>
      </c>
      <c r="B154" t="s">
        <v>21</v>
      </c>
      <c r="C154" t="s">
        <v>179</v>
      </c>
      <c r="D154" t="s">
        <v>23</v>
      </c>
      <c r="E154" t="s">
        <v>32</v>
      </c>
      <c r="F154" t="s">
        <v>36</v>
      </c>
      <c r="G154" t="s">
        <v>26</v>
      </c>
      <c r="H154">
        <v>83.24</v>
      </c>
      <c r="I154">
        <v>9</v>
      </c>
      <c r="K154">
        <v>749.16</v>
      </c>
      <c r="L154" s="1">
        <v>43490</v>
      </c>
      <c r="M154" s="2">
        <v>0.49722222222222223</v>
      </c>
      <c r="N154" t="s">
        <v>37</v>
      </c>
      <c r="O154">
        <v>749.16</v>
      </c>
      <c r="P154">
        <v>4.7619047620000003</v>
      </c>
      <c r="Q154">
        <v>0</v>
      </c>
      <c r="R154">
        <v>7.4</v>
      </c>
      <c r="S154">
        <v>96.173500000000004</v>
      </c>
      <c r="T154">
        <v>16.840900000000001</v>
      </c>
    </row>
    <row r="155" spans="1:20" x14ac:dyDescent="0.3">
      <c r="A155" t="s">
        <v>322</v>
      </c>
      <c r="B155" t="s">
        <v>29</v>
      </c>
      <c r="C155" t="s">
        <v>323</v>
      </c>
      <c r="D155" t="s">
        <v>31</v>
      </c>
      <c r="E155" t="s">
        <v>32</v>
      </c>
      <c r="F155" t="s">
        <v>25</v>
      </c>
      <c r="G155" t="s">
        <v>26</v>
      </c>
      <c r="H155">
        <v>16.48</v>
      </c>
      <c r="I155">
        <v>7</v>
      </c>
      <c r="K155">
        <v>115.36</v>
      </c>
      <c r="L155" s="1">
        <v>43748</v>
      </c>
      <c r="M155" s="2">
        <v>0.76597222222222228</v>
      </c>
      <c r="N155" t="s">
        <v>27</v>
      </c>
      <c r="O155">
        <v>98.88</v>
      </c>
      <c r="P155">
        <v>4.7619047620000003</v>
      </c>
      <c r="Q155">
        <v>16.48</v>
      </c>
      <c r="R155">
        <v>10</v>
      </c>
      <c r="S155">
        <v>96.078500000000005</v>
      </c>
      <c r="T155">
        <v>19.763300000000001</v>
      </c>
    </row>
    <row r="156" spans="1:20" x14ac:dyDescent="0.3">
      <c r="A156" t="s">
        <v>324</v>
      </c>
      <c r="B156" t="s">
        <v>29</v>
      </c>
      <c r="C156" t="s">
        <v>248</v>
      </c>
      <c r="D156" t="s">
        <v>31</v>
      </c>
      <c r="E156" t="s">
        <v>32</v>
      </c>
      <c r="F156" t="s">
        <v>25</v>
      </c>
      <c r="G156" t="s">
        <v>26</v>
      </c>
      <c r="H156">
        <v>80.97</v>
      </c>
      <c r="I156">
        <v>10</v>
      </c>
      <c r="K156">
        <v>809.7</v>
      </c>
      <c r="L156" s="1">
        <v>43826</v>
      </c>
      <c r="M156" s="2">
        <v>0.54513888888888884</v>
      </c>
      <c r="N156" t="s">
        <v>33</v>
      </c>
      <c r="O156">
        <v>647.76</v>
      </c>
      <c r="P156">
        <v>4.7619047620000003</v>
      </c>
      <c r="Q156">
        <v>161.94</v>
      </c>
      <c r="R156">
        <v>9.7650000000000006</v>
      </c>
      <c r="S156">
        <v>96.078500000000005</v>
      </c>
      <c r="T156">
        <v>19.763300000000001</v>
      </c>
    </row>
    <row r="157" spans="1:20" x14ac:dyDescent="0.3">
      <c r="A157" t="s">
        <v>325</v>
      </c>
      <c r="B157" t="s">
        <v>21</v>
      </c>
      <c r="C157" t="s">
        <v>326</v>
      </c>
      <c r="D157" t="s">
        <v>23</v>
      </c>
      <c r="E157" t="s">
        <v>24</v>
      </c>
      <c r="F157" t="s">
        <v>36</v>
      </c>
      <c r="G157" t="s">
        <v>26</v>
      </c>
      <c r="H157">
        <v>92.29</v>
      </c>
      <c r="I157">
        <v>7</v>
      </c>
      <c r="K157">
        <v>646.03</v>
      </c>
      <c r="L157" s="1">
        <v>43830</v>
      </c>
      <c r="M157" s="2">
        <v>0.66319444444444442</v>
      </c>
      <c r="N157" t="s">
        <v>37</v>
      </c>
      <c r="O157">
        <v>461.45</v>
      </c>
      <c r="P157">
        <v>4.7619047620000003</v>
      </c>
      <c r="Q157">
        <v>184.58</v>
      </c>
      <c r="R157">
        <v>9</v>
      </c>
      <c r="S157">
        <v>96.173500000000004</v>
      </c>
      <c r="T157">
        <v>16.840900000000001</v>
      </c>
    </row>
    <row r="158" spans="1:20" x14ac:dyDescent="0.3">
      <c r="A158" t="s">
        <v>327</v>
      </c>
      <c r="B158" t="s">
        <v>51</v>
      </c>
      <c r="C158" t="s">
        <v>328</v>
      </c>
      <c r="D158" t="s">
        <v>53</v>
      </c>
      <c r="E158" t="s">
        <v>24</v>
      </c>
      <c r="F158" t="s">
        <v>36</v>
      </c>
      <c r="G158" t="s">
        <v>26</v>
      </c>
      <c r="H158">
        <v>72.17</v>
      </c>
      <c r="I158">
        <v>1</v>
      </c>
      <c r="K158">
        <v>72.17</v>
      </c>
      <c r="L158" s="1">
        <v>43790</v>
      </c>
      <c r="M158" s="2">
        <v>0.81944444444444442</v>
      </c>
      <c r="N158" t="s">
        <v>33</v>
      </c>
      <c r="O158">
        <v>72.17</v>
      </c>
      <c r="P158">
        <v>4.7619047620000003</v>
      </c>
      <c r="Q158">
        <v>0</v>
      </c>
      <c r="R158">
        <v>7.32</v>
      </c>
      <c r="S158">
        <v>96.089100000000002</v>
      </c>
      <c r="T158">
        <v>21.9588</v>
      </c>
    </row>
    <row r="159" spans="1:20" x14ac:dyDescent="0.3">
      <c r="A159" t="s">
        <v>329</v>
      </c>
      <c r="B159" t="s">
        <v>51</v>
      </c>
      <c r="C159" t="s">
        <v>134</v>
      </c>
      <c r="D159" t="s">
        <v>53</v>
      </c>
      <c r="E159" t="s">
        <v>32</v>
      </c>
      <c r="F159" t="s">
        <v>36</v>
      </c>
      <c r="G159" t="s">
        <v>26</v>
      </c>
      <c r="H159">
        <v>50.28</v>
      </c>
      <c r="I159">
        <v>7</v>
      </c>
      <c r="K159">
        <v>351.96</v>
      </c>
      <c r="L159" s="1">
        <v>43778</v>
      </c>
      <c r="M159" s="2">
        <v>0.58194444444444449</v>
      </c>
      <c r="N159" t="s">
        <v>27</v>
      </c>
      <c r="O159">
        <v>251.4</v>
      </c>
      <c r="P159">
        <v>4.7619047620000003</v>
      </c>
      <c r="Q159">
        <v>100.56</v>
      </c>
      <c r="R159">
        <v>10</v>
      </c>
      <c r="S159">
        <v>96.089100000000002</v>
      </c>
      <c r="T159">
        <v>21.9588</v>
      </c>
    </row>
    <row r="160" spans="1:20" x14ac:dyDescent="0.3">
      <c r="A160" t="s">
        <v>330</v>
      </c>
      <c r="B160" t="s">
        <v>51</v>
      </c>
      <c r="C160" t="s">
        <v>331</v>
      </c>
      <c r="D160" t="s">
        <v>53</v>
      </c>
      <c r="E160" t="s">
        <v>24</v>
      </c>
      <c r="F160" t="s">
        <v>36</v>
      </c>
      <c r="G160" t="s">
        <v>26</v>
      </c>
      <c r="H160">
        <v>97.22</v>
      </c>
      <c r="I160">
        <v>18</v>
      </c>
      <c r="J160">
        <v>87.498000000000005</v>
      </c>
      <c r="K160">
        <v>1749.96</v>
      </c>
      <c r="L160" s="1">
        <v>43611</v>
      </c>
      <c r="M160" s="2">
        <v>0.61319444444444449</v>
      </c>
      <c r="N160" t="s">
        <v>27</v>
      </c>
      <c r="O160">
        <v>874.98</v>
      </c>
      <c r="P160">
        <v>4.7619047620000003</v>
      </c>
      <c r="Q160">
        <v>874.98</v>
      </c>
      <c r="R160">
        <v>7.2</v>
      </c>
      <c r="S160">
        <v>96.089100000000002</v>
      </c>
      <c r="T160">
        <v>21.9588</v>
      </c>
    </row>
    <row r="161" spans="1:20" x14ac:dyDescent="0.3">
      <c r="A161" t="s">
        <v>332</v>
      </c>
      <c r="B161" t="s">
        <v>51</v>
      </c>
      <c r="C161" t="s">
        <v>333</v>
      </c>
      <c r="D161" t="s">
        <v>53</v>
      </c>
      <c r="E161" t="s">
        <v>32</v>
      </c>
      <c r="F161" t="s">
        <v>36</v>
      </c>
      <c r="G161" t="s">
        <v>26</v>
      </c>
      <c r="H161">
        <v>93.39</v>
      </c>
      <c r="I161">
        <v>8</v>
      </c>
      <c r="J161">
        <v>37.356000000000002</v>
      </c>
      <c r="K161">
        <v>747.12</v>
      </c>
      <c r="L161" s="1">
        <v>43704</v>
      </c>
      <c r="M161" s="2">
        <v>0.8041666666666667</v>
      </c>
      <c r="N161" t="s">
        <v>27</v>
      </c>
      <c r="O161">
        <v>560.34</v>
      </c>
      <c r="P161">
        <v>4.7619047620000003</v>
      </c>
      <c r="Q161">
        <v>186.78</v>
      </c>
      <c r="R161">
        <v>10</v>
      </c>
      <c r="S161">
        <v>96.089100000000002</v>
      </c>
      <c r="T161">
        <v>21.9588</v>
      </c>
    </row>
    <row r="162" spans="1:20" x14ac:dyDescent="0.3">
      <c r="A162" t="s">
        <v>334</v>
      </c>
      <c r="B162" t="s">
        <v>29</v>
      </c>
      <c r="C162" t="s">
        <v>335</v>
      </c>
      <c r="D162" t="s">
        <v>31</v>
      </c>
      <c r="E162" t="s">
        <v>32</v>
      </c>
      <c r="F162" t="s">
        <v>25</v>
      </c>
      <c r="G162" t="s">
        <v>26</v>
      </c>
      <c r="H162">
        <v>43.18</v>
      </c>
      <c r="I162">
        <v>10</v>
      </c>
      <c r="J162">
        <v>21.59</v>
      </c>
      <c r="K162">
        <v>431.8</v>
      </c>
      <c r="L162" s="1">
        <v>43578</v>
      </c>
      <c r="M162" s="2">
        <v>0.81874999999999998</v>
      </c>
      <c r="N162" t="s">
        <v>37</v>
      </c>
      <c r="O162">
        <v>345.44</v>
      </c>
      <c r="P162">
        <v>4.7619047620000003</v>
      </c>
      <c r="Q162">
        <v>86.36</v>
      </c>
      <c r="R162">
        <v>8.7149999999999999</v>
      </c>
      <c r="S162">
        <v>96.078500000000005</v>
      </c>
      <c r="T162">
        <v>19.763300000000001</v>
      </c>
    </row>
    <row r="163" spans="1:20" x14ac:dyDescent="0.3">
      <c r="A163" t="s">
        <v>336</v>
      </c>
      <c r="B163" t="s">
        <v>21</v>
      </c>
      <c r="C163" t="s">
        <v>337</v>
      </c>
      <c r="D163" t="s">
        <v>23</v>
      </c>
      <c r="E163" t="s">
        <v>32</v>
      </c>
      <c r="F163" t="s">
        <v>36</v>
      </c>
      <c r="G163" t="s">
        <v>26</v>
      </c>
      <c r="H163">
        <v>63.69</v>
      </c>
      <c r="I163">
        <v>1</v>
      </c>
      <c r="J163">
        <v>3.1844999999999999</v>
      </c>
      <c r="K163">
        <v>63.69</v>
      </c>
      <c r="L163" s="1">
        <v>43642</v>
      </c>
      <c r="M163" s="2">
        <v>0.68125000000000002</v>
      </c>
      <c r="N163" t="s">
        <v>33</v>
      </c>
      <c r="O163">
        <v>63.69</v>
      </c>
      <c r="P163">
        <v>4.7619047620000003</v>
      </c>
      <c r="Q163">
        <v>0</v>
      </c>
      <c r="R163">
        <v>6</v>
      </c>
      <c r="S163">
        <v>96.173500000000004</v>
      </c>
      <c r="T163">
        <v>16.840900000000001</v>
      </c>
    </row>
    <row r="164" spans="1:20" x14ac:dyDescent="0.3">
      <c r="A164" t="s">
        <v>338</v>
      </c>
      <c r="B164" t="s">
        <v>21</v>
      </c>
      <c r="C164" t="s">
        <v>339</v>
      </c>
      <c r="D164" t="s">
        <v>23</v>
      </c>
      <c r="E164" t="s">
        <v>32</v>
      </c>
      <c r="F164" t="s">
        <v>36</v>
      </c>
      <c r="G164" t="s">
        <v>26</v>
      </c>
      <c r="H164">
        <v>45.79</v>
      </c>
      <c r="I164">
        <v>7</v>
      </c>
      <c r="J164">
        <v>16.026499999999999</v>
      </c>
      <c r="K164">
        <v>320.52999999999997</v>
      </c>
      <c r="L164" s="1">
        <v>43492</v>
      </c>
      <c r="M164" s="2">
        <v>0.82222222222222219</v>
      </c>
      <c r="N164" t="s">
        <v>37</v>
      </c>
      <c r="O164">
        <v>320.52999999999997</v>
      </c>
      <c r="P164">
        <v>4.7619047620000003</v>
      </c>
      <c r="Q164">
        <v>0</v>
      </c>
      <c r="R164">
        <v>7</v>
      </c>
      <c r="S164">
        <v>96.173500000000004</v>
      </c>
      <c r="T164">
        <v>16.840900000000001</v>
      </c>
    </row>
    <row r="165" spans="1:20" x14ac:dyDescent="0.3">
      <c r="A165" t="s">
        <v>340</v>
      </c>
      <c r="B165" t="s">
        <v>29</v>
      </c>
      <c r="C165" t="s">
        <v>341</v>
      </c>
      <c r="D165" t="s">
        <v>31</v>
      </c>
      <c r="E165" t="s">
        <v>32</v>
      </c>
      <c r="F165" t="s">
        <v>36</v>
      </c>
      <c r="G165" t="s">
        <v>26</v>
      </c>
      <c r="H165">
        <v>76.400000000000006</v>
      </c>
      <c r="I165">
        <v>2</v>
      </c>
      <c r="J165">
        <v>7.64</v>
      </c>
      <c r="K165">
        <v>152.80000000000001</v>
      </c>
      <c r="L165" s="1">
        <v>43559</v>
      </c>
      <c r="M165" s="2">
        <v>0.8208333333333333</v>
      </c>
      <c r="N165" t="s">
        <v>27</v>
      </c>
      <c r="O165">
        <v>152.80000000000001</v>
      </c>
      <c r="P165">
        <v>4.7619047620000003</v>
      </c>
      <c r="Q165">
        <v>0</v>
      </c>
      <c r="R165">
        <v>6.8250000000000002</v>
      </c>
      <c r="S165">
        <v>96.078500000000005</v>
      </c>
      <c r="T165">
        <v>19.763300000000001</v>
      </c>
    </row>
    <row r="166" spans="1:20" x14ac:dyDescent="0.3">
      <c r="A166" t="s">
        <v>342</v>
      </c>
      <c r="B166" t="s">
        <v>51</v>
      </c>
      <c r="C166" t="s">
        <v>343</v>
      </c>
      <c r="D166" t="s">
        <v>53</v>
      </c>
      <c r="E166" t="s">
        <v>32</v>
      </c>
      <c r="F166" t="s">
        <v>36</v>
      </c>
      <c r="G166" t="s">
        <v>26</v>
      </c>
      <c r="H166">
        <v>39.9</v>
      </c>
      <c r="I166">
        <v>14</v>
      </c>
      <c r="J166">
        <v>27.93</v>
      </c>
      <c r="K166">
        <v>558.6</v>
      </c>
      <c r="L166" s="1">
        <v>43634</v>
      </c>
      <c r="M166" s="2">
        <v>0.64166666666666672</v>
      </c>
      <c r="N166" t="s">
        <v>37</v>
      </c>
      <c r="O166">
        <v>399</v>
      </c>
      <c r="P166">
        <v>4.7619047620000003</v>
      </c>
      <c r="Q166">
        <v>159.6</v>
      </c>
      <c r="R166">
        <v>7.08</v>
      </c>
      <c r="S166">
        <v>96.089100000000002</v>
      </c>
      <c r="T166">
        <v>21.9588</v>
      </c>
    </row>
    <row r="167" spans="1:20" x14ac:dyDescent="0.3">
      <c r="A167" t="s">
        <v>344</v>
      </c>
      <c r="B167" t="s">
        <v>51</v>
      </c>
      <c r="C167" t="s">
        <v>345</v>
      </c>
      <c r="D167" t="s">
        <v>53</v>
      </c>
      <c r="E167" t="s">
        <v>24</v>
      </c>
      <c r="F167" t="s">
        <v>36</v>
      </c>
      <c r="G167" t="s">
        <v>26</v>
      </c>
      <c r="H167">
        <v>42.57</v>
      </c>
      <c r="I167">
        <v>15</v>
      </c>
      <c r="J167">
        <v>31.927499999999998</v>
      </c>
      <c r="K167">
        <v>638.54999999999995</v>
      </c>
      <c r="L167" s="1">
        <v>43622</v>
      </c>
      <c r="M167" s="2">
        <v>0.59166666666666667</v>
      </c>
      <c r="N167" t="s">
        <v>27</v>
      </c>
      <c r="O167">
        <v>340.56</v>
      </c>
      <c r="P167">
        <v>4.7619047620000003</v>
      </c>
      <c r="Q167">
        <v>297.99</v>
      </c>
      <c r="R167">
        <v>6.72</v>
      </c>
      <c r="S167">
        <v>96.089100000000002</v>
      </c>
      <c r="T167">
        <v>21.9588</v>
      </c>
    </row>
    <row r="168" spans="1:20" x14ac:dyDescent="0.3">
      <c r="A168" t="s">
        <v>346</v>
      </c>
      <c r="B168" t="s">
        <v>29</v>
      </c>
      <c r="C168" t="s">
        <v>347</v>
      </c>
      <c r="D168" t="s">
        <v>31</v>
      </c>
      <c r="E168" t="s">
        <v>32</v>
      </c>
      <c r="F168" t="s">
        <v>36</v>
      </c>
      <c r="G168" t="s">
        <v>26</v>
      </c>
      <c r="H168">
        <v>95.58</v>
      </c>
      <c r="I168">
        <v>12</v>
      </c>
      <c r="J168">
        <v>57.347999999999999</v>
      </c>
      <c r="K168">
        <v>1146.96</v>
      </c>
      <c r="L168" s="1">
        <v>43471</v>
      </c>
      <c r="M168" s="2">
        <v>0.56388888888888888</v>
      </c>
      <c r="N168" t="s">
        <v>33</v>
      </c>
      <c r="O168">
        <v>955.8</v>
      </c>
      <c r="P168">
        <v>4.7619047620000003</v>
      </c>
      <c r="Q168">
        <v>191.16</v>
      </c>
      <c r="R168">
        <v>5.04</v>
      </c>
      <c r="S168">
        <v>96.078500000000005</v>
      </c>
      <c r="T168">
        <v>19.763300000000001</v>
      </c>
    </row>
    <row r="169" spans="1:20" x14ac:dyDescent="0.3">
      <c r="A169" t="s">
        <v>348</v>
      </c>
      <c r="B169" t="s">
        <v>21</v>
      </c>
      <c r="C169" t="s">
        <v>349</v>
      </c>
      <c r="D169" t="s">
        <v>23</v>
      </c>
      <c r="E169" t="s">
        <v>32</v>
      </c>
      <c r="F169" t="s">
        <v>36</v>
      </c>
      <c r="G169" t="s">
        <v>26</v>
      </c>
      <c r="H169">
        <v>98.98</v>
      </c>
      <c r="I169">
        <v>10</v>
      </c>
      <c r="J169">
        <v>49.49</v>
      </c>
      <c r="K169">
        <v>989.8</v>
      </c>
      <c r="L169" s="1">
        <v>43578</v>
      </c>
      <c r="M169" s="2">
        <v>0.68055555555555558</v>
      </c>
      <c r="N169" t="s">
        <v>37</v>
      </c>
      <c r="O169">
        <v>989.8</v>
      </c>
      <c r="P169">
        <v>4.7619047620000003</v>
      </c>
      <c r="Q169">
        <v>0</v>
      </c>
      <c r="R169">
        <v>8.6999999999999993</v>
      </c>
      <c r="S169">
        <v>96.173500000000004</v>
      </c>
      <c r="T169">
        <v>16.840900000000001</v>
      </c>
    </row>
    <row r="170" spans="1:20" x14ac:dyDescent="0.3">
      <c r="A170" t="s">
        <v>350</v>
      </c>
      <c r="B170" t="s">
        <v>21</v>
      </c>
      <c r="C170" t="s">
        <v>351</v>
      </c>
      <c r="D170" t="s">
        <v>23</v>
      </c>
      <c r="E170" t="s">
        <v>32</v>
      </c>
      <c r="F170" t="s">
        <v>36</v>
      </c>
      <c r="G170" t="s">
        <v>26</v>
      </c>
      <c r="H170">
        <v>51.28</v>
      </c>
      <c r="I170">
        <v>6</v>
      </c>
      <c r="J170">
        <v>15.384</v>
      </c>
      <c r="K170">
        <v>307.68</v>
      </c>
      <c r="L170" s="1">
        <v>43656</v>
      </c>
      <c r="M170" s="2">
        <v>0.68819444444444444</v>
      </c>
      <c r="N170" t="s">
        <v>33</v>
      </c>
      <c r="O170">
        <v>307.68</v>
      </c>
      <c r="P170">
        <v>4.7619047620000003</v>
      </c>
      <c r="Q170">
        <v>0</v>
      </c>
      <c r="R170">
        <v>6.5</v>
      </c>
      <c r="S170">
        <v>96.173500000000004</v>
      </c>
      <c r="T170">
        <v>16.840900000000001</v>
      </c>
    </row>
    <row r="171" spans="1:20" x14ac:dyDescent="0.3">
      <c r="A171" t="s">
        <v>352</v>
      </c>
      <c r="B171" t="s">
        <v>21</v>
      </c>
      <c r="C171" t="s">
        <v>351</v>
      </c>
      <c r="D171" t="s">
        <v>23</v>
      </c>
      <c r="E171" t="s">
        <v>24</v>
      </c>
      <c r="F171" t="s">
        <v>36</v>
      </c>
      <c r="G171" t="s">
        <v>26</v>
      </c>
      <c r="H171">
        <v>69.52</v>
      </c>
      <c r="I171">
        <v>10</v>
      </c>
      <c r="J171">
        <v>34.76</v>
      </c>
      <c r="K171">
        <v>695.2</v>
      </c>
      <c r="L171" s="1">
        <v>43807</v>
      </c>
      <c r="M171" s="2">
        <v>0.63194444444444442</v>
      </c>
      <c r="N171" t="s">
        <v>37</v>
      </c>
      <c r="O171">
        <v>486.64</v>
      </c>
      <c r="P171">
        <v>4.7619047620000003</v>
      </c>
      <c r="Q171">
        <v>208.56</v>
      </c>
      <c r="R171">
        <v>8.5</v>
      </c>
      <c r="S171">
        <v>96.173500000000004</v>
      </c>
      <c r="T171">
        <v>16.840900000000001</v>
      </c>
    </row>
    <row r="172" spans="1:20" x14ac:dyDescent="0.3">
      <c r="A172" t="s">
        <v>353</v>
      </c>
      <c r="B172" t="s">
        <v>21</v>
      </c>
      <c r="C172" t="s">
        <v>354</v>
      </c>
      <c r="D172" t="s">
        <v>23</v>
      </c>
      <c r="E172" t="s">
        <v>32</v>
      </c>
      <c r="F172" t="s">
        <v>36</v>
      </c>
      <c r="G172" t="s">
        <v>26</v>
      </c>
      <c r="H172">
        <v>70.010000000000005</v>
      </c>
      <c r="I172">
        <v>5</v>
      </c>
      <c r="J172">
        <v>17.502500000000001</v>
      </c>
      <c r="K172">
        <v>350.05</v>
      </c>
      <c r="L172" s="1">
        <v>43785</v>
      </c>
      <c r="M172" s="2">
        <v>0.48333333333333334</v>
      </c>
      <c r="N172" t="s">
        <v>27</v>
      </c>
      <c r="O172">
        <v>350.05</v>
      </c>
      <c r="P172">
        <v>4.7619047620000003</v>
      </c>
      <c r="Q172">
        <v>0</v>
      </c>
      <c r="R172">
        <v>5.5</v>
      </c>
      <c r="S172">
        <v>96.173500000000004</v>
      </c>
      <c r="T172">
        <v>16.840900000000001</v>
      </c>
    </row>
    <row r="173" spans="1:20" x14ac:dyDescent="0.3">
      <c r="A173" t="s">
        <v>355</v>
      </c>
      <c r="B173" t="s">
        <v>51</v>
      </c>
      <c r="C173" t="s">
        <v>356</v>
      </c>
      <c r="D173" t="s">
        <v>53</v>
      </c>
      <c r="E173" t="s">
        <v>24</v>
      </c>
      <c r="F173" t="s">
        <v>36</v>
      </c>
      <c r="G173" t="s">
        <v>26</v>
      </c>
      <c r="H173">
        <v>80.05</v>
      </c>
      <c r="I173">
        <v>10</v>
      </c>
      <c r="J173">
        <v>40.024999999999999</v>
      </c>
      <c r="K173">
        <v>800.5</v>
      </c>
      <c r="L173" s="1">
        <v>43520</v>
      </c>
      <c r="M173" s="2">
        <v>0.53125</v>
      </c>
      <c r="N173" t="s">
        <v>37</v>
      </c>
      <c r="O173">
        <v>400.25</v>
      </c>
      <c r="P173">
        <v>4.7619047620000003</v>
      </c>
      <c r="Q173">
        <v>400.25</v>
      </c>
      <c r="R173">
        <v>10</v>
      </c>
      <c r="S173">
        <v>96.089100000000002</v>
      </c>
      <c r="T173">
        <v>21.9588</v>
      </c>
    </row>
    <row r="174" spans="1:20" x14ac:dyDescent="0.3">
      <c r="A174" t="s">
        <v>357</v>
      </c>
      <c r="B174" t="s">
        <v>29</v>
      </c>
      <c r="C174" t="s">
        <v>358</v>
      </c>
      <c r="D174" t="s">
        <v>31</v>
      </c>
      <c r="E174" t="s">
        <v>32</v>
      </c>
      <c r="F174" t="s">
        <v>36</v>
      </c>
      <c r="G174" t="s">
        <v>26</v>
      </c>
      <c r="H174">
        <v>20.85</v>
      </c>
      <c r="I174">
        <v>10</v>
      </c>
      <c r="J174">
        <v>10.425000000000001</v>
      </c>
      <c r="K174">
        <v>208.5</v>
      </c>
      <c r="L174" s="1">
        <v>43490</v>
      </c>
      <c r="M174" s="2">
        <v>0.80347222222222225</v>
      </c>
      <c r="N174" t="s">
        <v>33</v>
      </c>
      <c r="O174">
        <v>166.8</v>
      </c>
      <c r="P174">
        <v>4.7619047620000003</v>
      </c>
      <c r="Q174">
        <v>41.7</v>
      </c>
      <c r="R174">
        <v>6.6150000000000002</v>
      </c>
      <c r="S174">
        <v>96.078500000000005</v>
      </c>
      <c r="T174">
        <v>19.763300000000001</v>
      </c>
    </row>
    <row r="175" spans="1:20" x14ac:dyDescent="0.3">
      <c r="A175" t="s">
        <v>359</v>
      </c>
      <c r="B175" t="s">
        <v>51</v>
      </c>
      <c r="C175" t="s">
        <v>81</v>
      </c>
      <c r="D175" t="s">
        <v>53</v>
      </c>
      <c r="E175" t="s">
        <v>32</v>
      </c>
      <c r="F175" t="s">
        <v>36</v>
      </c>
      <c r="G175" t="s">
        <v>26</v>
      </c>
      <c r="H175">
        <v>52.89</v>
      </c>
      <c r="I175">
        <v>8</v>
      </c>
      <c r="J175">
        <v>21.155999999999999</v>
      </c>
      <c r="K175">
        <v>423.12</v>
      </c>
      <c r="L175" s="1">
        <v>43492</v>
      </c>
      <c r="M175" s="2">
        <v>0.7319444444444444</v>
      </c>
      <c r="N175" t="s">
        <v>37</v>
      </c>
      <c r="O175">
        <v>317.33999999999997</v>
      </c>
      <c r="P175">
        <v>4.7619047620000003</v>
      </c>
      <c r="Q175">
        <v>105.78</v>
      </c>
      <c r="R175">
        <v>10</v>
      </c>
      <c r="S175">
        <v>96.089100000000002</v>
      </c>
      <c r="T175">
        <v>21.9588</v>
      </c>
    </row>
    <row r="176" spans="1:20" x14ac:dyDescent="0.3">
      <c r="A176" t="s">
        <v>360</v>
      </c>
      <c r="B176" t="s">
        <v>51</v>
      </c>
      <c r="C176" t="s">
        <v>361</v>
      </c>
      <c r="D176" t="s">
        <v>53</v>
      </c>
      <c r="E176" t="s">
        <v>32</v>
      </c>
      <c r="F176" t="s">
        <v>36</v>
      </c>
      <c r="G176" t="s">
        <v>26</v>
      </c>
      <c r="H176">
        <v>19.79</v>
      </c>
      <c r="I176">
        <v>11</v>
      </c>
      <c r="J176">
        <v>10.884499999999999</v>
      </c>
      <c r="K176">
        <v>217.69</v>
      </c>
      <c r="L176" s="1">
        <v>43636</v>
      </c>
      <c r="M176" s="2">
        <v>0.50277777777777777</v>
      </c>
      <c r="N176" t="s">
        <v>27</v>
      </c>
      <c r="O176">
        <v>158.32</v>
      </c>
      <c r="P176">
        <v>4.7619047620000003</v>
      </c>
      <c r="Q176">
        <v>59.37</v>
      </c>
      <c r="R176">
        <v>10</v>
      </c>
      <c r="S176">
        <v>96.089100000000002</v>
      </c>
      <c r="T176">
        <v>21.9588</v>
      </c>
    </row>
    <row r="177" spans="1:20" x14ac:dyDescent="0.3">
      <c r="A177" t="s">
        <v>362</v>
      </c>
      <c r="B177" t="s">
        <v>21</v>
      </c>
      <c r="C177" t="s">
        <v>363</v>
      </c>
      <c r="D177" t="s">
        <v>23</v>
      </c>
      <c r="E177" t="s">
        <v>32</v>
      </c>
      <c r="F177" t="s">
        <v>36</v>
      </c>
      <c r="G177" t="s">
        <v>26</v>
      </c>
      <c r="H177">
        <v>33.840000000000003</v>
      </c>
      <c r="I177">
        <v>9</v>
      </c>
      <c r="K177">
        <v>304.56</v>
      </c>
      <c r="L177" s="1">
        <v>43530</v>
      </c>
      <c r="M177" s="2">
        <v>0.68125000000000002</v>
      </c>
      <c r="N177" t="s">
        <v>27</v>
      </c>
      <c r="O177">
        <v>304.56</v>
      </c>
      <c r="P177">
        <v>4.7619047620000003</v>
      </c>
      <c r="Q177">
        <v>0</v>
      </c>
      <c r="R177">
        <v>8.8000000000000007</v>
      </c>
      <c r="S177">
        <v>96.173500000000004</v>
      </c>
      <c r="T177">
        <v>16.840900000000001</v>
      </c>
    </row>
    <row r="178" spans="1:20" x14ac:dyDescent="0.3">
      <c r="A178" t="s">
        <v>364</v>
      </c>
      <c r="B178" t="s">
        <v>21</v>
      </c>
      <c r="C178" t="s">
        <v>365</v>
      </c>
      <c r="D178" t="s">
        <v>23</v>
      </c>
      <c r="E178" t="s">
        <v>32</v>
      </c>
      <c r="F178" t="s">
        <v>36</v>
      </c>
      <c r="G178" t="s">
        <v>26</v>
      </c>
      <c r="H178">
        <v>22.17</v>
      </c>
      <c r="I178">
        <v>8</v>
      </c>
      <c r="K178">
        <v>177.36</v>
      </c>
      <c r="L178" s="1">
        <v>43625</v>
      </c>
      <c r="M178" s="2">
        <v>0.70902777777777781</v>
      </c>
      <c r="N178" t="s">
        <v>37</v>
      </c>
      <c r="O178">
        <v>177.36</v>
      </c>
      <c r="P178">
        <v>4.7619047620000003</v>
      </c>
      <c r="Q178">
        <v>0</v>
      </c>
      <c r="R178">
        <v>9.6</v>
      </c>
      <c r="S178">
        <v>96.173500000000004</v>
      </c>
      <c r="T178">
        <v>16.840900000000001</v>
      </c>
    </row>
    <row r="179" spans="1:20" x14ac:dyDescent="0.3">
      <c r="A179" t="s">
        <v>366</v>
      </c>
      <c r="B179" t="s">
        <v>29</v>
      </c>
      <c r="C179" t="s">
        <v>367</v>
      </c>
      <c r="D179" t="s">
        <v>31</v>
      </c>
      <c r="E179" t="s">
        <v>32</v>
      </c>
      <c r="F179" t="s">
        <v>25</v>
      </c>
      <c r="G179" t="s">
        <v>26</v>
      </c>
      <c r="H179">
        <v>22.51</v>
      </c>
      <c r="I179">
        <v>8</v>
      </c>
      <c r="K179">
        <v>180.08</v>
      </c>
      <c r="L179" s="1">
        <v>43742</v>
      </c>
      <c r="M179" s="2">
        <v>0.4513888888888889</v>
      </c>
      <c r="N179" t="s">
        <v>37</v>
      </c>
      <c r="O179">
        <v>157.57</v>
      </c>
      <c r="P179">
        <v>4.7619047620000003</v>
      </c>
      <c r="Q179">
        <v>22.51</v>
      </c>
      <c r="R179">
        <v>5.04</v>
      </c>
      <c r="S179">
        <v>96.078500000000005</v>
      </c>
      <c r="T179">
        <v>19.763300000000001</v>
      </c>
    </row>
    <row r="180" spans="1:20" x14ac:dyDescent="0.3">
      <c r="A180" t="s">
        <v>368</v>
      </c>
      <c r="C180" t="s">
        <v>369</v>
      </c>
      <c r="D180" t="s">
        <v>23</v>
      </c>
      <c r="E180" t="s">
        <v>32</v>
      </c>
      <c r="F180" t="s">
        <v>36</v>
      </c>
      <c r="G180" t="s">
        <v>26</v>
      </c>
      <c r="H180">
        <v>73.88</v>
      </c>
      <c r="I180">
        <v>6</v>
      </c>
      <c r="K180">
        <v>443.28</v>
      </c>
      <c r="L180" s="1">
        <v>43609</v>
      </c>
      <c r="M180" s="2">
        <v>0.80277777777777781</v>
      </c>
      <c r="N180" t="s">
        <v>27</v>
      </c>
      <c r="O180">
        <v>443.28</v>
      </c>
      <c r="P180">
        <v>4.7619047620000003</v>
      </c>
      <c r="Q180">
        <v>0</v>
      </c>
      <c r="R180">
        <v>4.4000000000000004</v>
      </c>
      <c r="S180">
        <v>96.173500000000004</v>
      </c>
      <c r="T180">
        <v>16.840900000000001</v>
      </c>
    </row>
    <row r="181" spans="1:20" x14ac:dyDescent="0.3">
      <c r="A181" t="s">
        <v>370</v>
      </c>
      <c r="C181" t="s">
        <v>371</v>
      </c>
      <c r="D181" t="s">
        <v>31</v>
      </c>
      <c r="E181" t="s">
        <v>32</v>
      </c>
      <c r="F181" t="s">
        <v>36</v>
      </c>
      <c r="G181" t="s">
        <v>26</v>
      </c>
      <c r="H181">
        <v>86.8</v>
      </c>
      <c r="I181">
        <v>4</v>
      </c>
      <c r="K181">
        <v>347.2</v>
      </c>
      <c r="L181" s="1">
        <v>43756</v>
      </c>
      <c r="M181" s="2">
        <v>0.69930555555555551</v>
      </c>
      <c r="N181" t="s">
        <v>27</v>
      </c>
      <c r="O181">
        <v>260.39999999999998</v>
      </c>
      <c r="P181">
        <v>4.7619047620000003</v>
      </c>
      <c r="Q181">
        <v>86.8</v>
      </c>
      <c r="S181">
        <v>96.078500000000005</v>
      </c>
      <c r="T181">
        <v>19.763300000000001</v>
      </c>
    </row>
    <row r="182" spans="1:20" x14ac:dyDescent="0.3">
      <c r="A182" t="s">
        <v>372</v>
      </c>
      <c r="C182" t="s">
        <v>183</v>
      </c>
      <c r="D182" t="s">
        <v>31</v>
      </c>
      <c r="E182" t="s">
        <v>32</v>
      </c>
      <c r="G182" t="s">
        <v>26</v>
      </c>
      <c r="H182">
        <v>64.260000000000005</v>
      </c>
      <c r="I182">
        <v>8</v>
      </c>
      <c r="K182">
        <v>514.08000000000004</v>
      </c>
      <c r="L182" s="1">
        <v>43498</v>
      </c>
      <c r="M182" s="2">
        <v>0.41666666666666669</v>
      </c>
      <c r="N182" t="s">
        <v>33</v>
      </c>
      <c r="O182">
        <v>449.82</v>
      </c>
      <c r="P182">
        <v>4.7619047620000003</v>
      </c>
      <c r="Q182">
        <v>64.260000000000005</v>
      </c>
      <c r="S182">
        <v>96.078500000000005</v>
      </c>
      <c r="T182">
        <v>19.763300000000001</v>
      </c>
    </row>
    <row r="183" spans="1:20" x14ac:dyDescent="0.3">
      <c r="A183" t="s">
        <v>373</v>
      </c>
      <c r="C183" t="s">
        <v>374</v>
      </c>
      <c r="D183" t="s">
        <v>31</v>
      </c>
      <c r="E183" t="s">
        <v>32</v>
      </c>
      <c r="G183" t="s">
        <v>26</v>
      </c>
      <c r="H183">
        <v>38.47</v>
      </c>
      <c r="I183">
        <v>10</v>
      </c>
      <c r="K183">
        <v>384.7</v>
      </c>
      <c r="L183" s="1">
        <v>43658</v>
      </c>
      <c r="M183" s="2">
        <v>0.49375000000000002</v>
      </c>
      <c r="N183" t="s">
        <v>33</v>
      </c>
      <c r="O183">
        <v>307.76</v>
      </c>
      <c r="P183">
        <v>4.7619047620000003</v>
      </c>
      <c r="Q183">
        <v>76.94</v>
      </c>
      <c r="S183">
        <v>96.078500000000005</v>
      </c>
      <c r="T183">
        <v>19.763300000000001</v>
      </c>
    </row>
    <row r="184" spans="1:20" x14ac:dyDescent="0.3">
      <c r="A184" t="s">
        <v>375</v>
      </c>
      <c r="C184" t="s">
        <v>376</v>
      </c>
      <c r="D184" t="s">
        <v>23</v>
      </c>
      <c r="E184" t="s">
        <v>32</v>
      </c>
      <c r="G184" t="s">
        <v>26</v>
      </c>
      <c r="H184">
        <v>15.5</v>
      </c>
      <c r="I184">
        <v>10</v>
      </c>
      <c r="K184">
        <v>155</v>
      </c>
      <c r="L184" s="1">
        <v>43659</v>
      </c>
      <c r="M184" s="2">
        <v>0.4548611111111111</v>
      </c>
      <c r="N184" t="s">
        <v>27</v>
      </c>
      <c r="O184">
        <v>155</v>
      </c>
      <c r="P184">
        <v>4.7619047620000003</v>
      </c>
      <c r="Q184">
        <v>0</v>
      </c>
      <c r="S184">
        <v>96.173500000000004</v>
      </c>
      <c r="T184">
        <v>16.840900000000001</v>
      </c>
    </row>
    <row r="185" spans="1:20" x14ac:dyDescent="0.3">
      <c r="A185" t="s">
        <v>377</v>
      </c>
      <c r="C185" t="s">
        <v>378</v>
      </c>
      <c r="D185" t="s">
        <v>31</v>
      </c>
      <c r="E185" t="s">
        <v>32</v>
      </c>
      <c r="G185" t="s">
        <v>26</v>
      </c>
      <c r="H185">
        <v>34.31</v>
      </c>
      <c r="I185">
        <v>10</v>
      </c>
      <c r="K185">
        <v>343.1</v>
      </c>
      <c r="L185" s="1">
        <v>43825</v>
      </c>
      <c r="M185" s="2">
        <v>0.625</v>
      </c>
      <c r="N185" t="s">
        <v>27</v>
      </c>
      <c r="O185">
        <v>274.48</v>
      </c>
      <c r="P185">
        <v>4.7619047620000003</v>
      </c>
      <c r="Q185">
        <v>68.62</v>
      </c>
      <c r="S185">
        <v>96.078500000000005</v>
      </c>
      <c r="T185">
        <v>19.763300000000001</v>
      </c>
    </row>
    <row r="186" spans="1:20" x14ac:dyDescent="0.3">
      <c r="A186" t="s">
        <v>379</v>
      </c>
      <c r="C186" t="s">
        <v>380</v>
      </c>
      <c r="D186" t="s">
        <v>23</v>
      </c>
      <c r="E186" t="s">
        <v>32</v>
      </c>
      <c r="F186" t="s">
        <v>25</v>
      </c>
      <c r="G186" t="s">
        <v>26</v>
      </c>
      <c r="H186">
        <v>12.34</v>
      </c>
      <c r="I186">
        <v>7</v>
      </c>
      <c r="K186">
        <v>86.38</v>
      </c>
      <c r="L186" s="1">
        <v>43746</v>
      </c>
      <c r="M186" s="2">
        <v>0.47152777777777777</v>
      </c>
      <c r="N186" t="s">
        <v>37</v>
      </c>
      <c r="O186">
        <v>86.38</v>
      </c>
      <c r="P186">
        <v>4.7619047620000003</v>
      </c>
      <c r="Q186">
        <v>0</v>
      </c>
      <c r="S186">
        <v>96.173500000000004</v>
      </c>
      <c r="T186">
        <v>16.840900000000001</v>
      </c>
    </row>
    <row r="187" spans="1:20" x14ac:dyDescent="0.3">
      <c r="A187" t="s">
        <v>381</v>
      </c>
      <c r="C187" t="s">
        <v>382</v>
      </c>
      <c r="D187" t="s">
        <v>53</v>
      </c>
      <c r="E187" t="s">
        <v>32</v>
      </c>
      <c r="F187" t="s">
        <v>36</v>
      </c>
      <c r="G187" t="s">
        <v>26</v>
      </c>
      <c r="H187">
        <v>18.079999999999998</v>
      </c>
      <c r="I187">
        <v>4</v>
      </c>
      <c r="K187">
        <v>72.319999999999993</v>
      </c>
      <c r="L187" s="1">
        <v>43542</v>
      </c>
      <c r="M187" s="2">
        <v>0.82361111111111107</v>
      </c>
      <c r="N187" t="s">
        <v>27</v>
      </c>
      <c r="O187">
        <v>54.24</v>
      </c>
      <c r="P187">
        <v>4.7619047620000003</v>
      </c>
      <c r="Q187">
        <v>18.079999999999998</v>
      </c>
      <c r="S187">
        <v>96.089100000000002</v>
      </c>
      <c r="T187">
        <v>21.9588</v>
      </c>
    </row>
    <row r="188" spans="1:20" x14ac:dyDescent="0.3">
      <c r="A188" t="s">
        <v>383</v>
      </c>
      <c r="C188" t="s">
        <v>333</v>
      </c>
      <c r="D188" t="s">
        <v>53</v>
      </c>
      <c r="E188" t="s">
        <v>32</v>
      </c>
      <c r="F188" t="s">
        <v>25</v>
      </c>
      <c r="G188" t="s">
        <v>26</v>
      </c>
      <c r="H188">
        <v>94.49</v>
      </c>
      <c r="I188">
        <v>11</v>
      </c>
      <c r="K188">
        <v>1039.3900000000001</v>
      </c>
      <c r="L188" s="1">
        <v>43791</v>
      </c>
      <c r="M188" s="2">
        <v>0.79166666666666663</v>
      </c>
      <c r="N188" t="s">
        <v>27</v>
      </c>
      <c r="O188">
        <v>755.92</v>
      </c>
      <c r="P188">
        <v>4.7619047620000003</v>
      </c>
      <c r="Q188">
        <v>283.47000000000003</v>
      </c>
      <c r="S188">
        <v>96.089100000000002</v>
      </c>
      <c r="T188">
        <v>21.9588</v>
      </c>
    </row>
    <row r="189" spans="1:20" x14ac:dyDescent="0.3">
      <c r="A189" t="s">
        <v>384</v>
      </c>
      <c r="C189" t="s">
        <v>385</v>
      </c>
      <c r="D189" t="s">
        <v>53</v>
      </c>
      <c r="E189" t="s">
        <v>24</v>
      </c>
      <c r="F189" t="s">
        <v>36</v>
      </c>
      <c r="G189" t="s">
        <v>26</v>
      </c>
      <c r="H189">
        <v>46.47</v>
      </c>
      <c r="I189">
        <v>8</v>
      </c>
      <c r="K189">
        <v>371.76</v>
      </c>
      <c r="L189" s="1">
        <v>43770</v>
      </c>
      <c r="M189" s="2">
        <v>0.45347222222222222</v>
      </c>
      <c r="N189" t="s">
        <v>33</v>
      </c>
      <c r="O189">
        <v>185.88</v>
      </c>
      <c r="P189">
        <v>4.7619047620000003</v>
      </c>
      <c r="Q189">
        <v>185.88</v>
      </c>
      <c r="S189">
        <v>96.089100000000002</v>
      </c>
      <c r="T189">
        <v>21.9588</v>
      </c>
    </row>
    <row r="190" spans="1:20" x14ac:dyDescent="0.3">
      <c r="A190" t="s">
        <v>386</v>
      </c>
      <c r="B190" t="s">
        <v>21</v>
      </c>
      <c r="C190" t="s">
        <v>387</v>
      </c>
      <c r="D190" t="s">
        <v>23</v>
      </c>
      <c r="E190" t="s">
        <v>32</v>
      </c>
      <c r="F190" t="s">
        <v>36</v>
      </c>
      <c r="G190" t="s">
        <v>26</v>
      </c>
      <c r="H190">
        <v>74.069999999999993</v>
      </c>
      <c r="I190">
        <v>1</v>
      </c>
      <c r="K190">
        <v>74.069999999999993</v>
      </c>
      <c r="L190" s="1">
        <v>43536</v>
      </c>
      <c r="M190" s="2">
        <v>0.53472222222222221</v>
      </c>
      <c r="N190" t="s">
        <v>27</v>
      </c>
      <c r="O190">
        <v>74.069999999999993</v>
      </c>
      <c r="P190">
        <v>4.7619047620000003</v>
      </c>
      <c r="Q190">
        <v>0</v>
      </c>
      <c r="S190">
        <v>96.173500000000004</v>
      </c>
      <c r="T190">
        <v>16.840900000000001</v>
      </c>
    </row>
    <row r="191" spans="1:20" x14ac:dyDescent="0.3">
      <c r="A191" t="s">
        <v>388</v>
      </c>
      <c r="B191" t="s">
        <v>29</v>
      </c>
      <c r="C191" t="s">
        <v>389</v>
      </c>
      <c r="D191" t="s">
        <v>31</v>
      </c>
      <c r="E191" t="s">
        <v>32</v>
      </c>
      <c r="F191" t="s">
        <v>25</v>
      </c>
      <c r="G191" t="s">
        <v>26</v>
      </c>
      <c r="H191">
        <v>69.81</v>
      </c>
      <c r="I191">
        <v>5</v>
      </c>
      <c r="K191">
        <v>349.05</v>
      </c>
      <c r="L191" s="1">
        <v>43753</v>
      </c>
      <c r="M191" s="2">
        <v>0.86805555555555558</v>
      </c>
      <c r="N191" t="s">
        <v>37</v>
      </c>
      <c r="O191">
        <v>279.24</v>
      </c>
      <c r="P191">
        <v>4.7619047620000003</v>
      </c>
      <c r="Q191">
        <v>69.81</v>
      </c>
      <c r="S191">
        <v>96.078500000000005</v>
      </c>
      <c r="T191">
        <v>19.763300000000001</v>
      </c>
    </row>
    <row r="192" spans="1:20" x14ac:dyDescent="0.3">
      <c r="A192" t="s">
        <v>390</v>
      </c>
      <c r="B192" t="s">
        <v>51</v>
      </c>
      <c r="C192" t="s">
        <v>95</v>
      </c>
      <c r="D192" t="s">
        <v>53</v>
      </c>
      <c r="E192" t="s">
        <v>32</v>
      </c>
      <c r="F192" t="s">
        <v>25</v>
      </c>
      <c r="G192" t="s">
        <v>26</v>
      </c>
      <c r="H192">
        <v>77.040000000000006</v>
      </c>
      <c r="I192">
        <v>4</v>
      </c>
      <c r="J192">
        <v>15.407999999999999</v>
      </c>
      <c r="K192">
        <v>308.16000000000003</v>
      </c>
      <c r="L192" s="1">
        <v>43817</v>
      </c>
      <c r="M192" s="2">
        <v>0.44374999999999998</v>
      </c>
      <c r="N192" t="s">
        <v>37</v>
      </c>
      <c r="O192">
        <v>231.12</v>
      </c>
      <c r="P192">
        <v>4.7619047620000003</v>
      </c>
      <c r="Q192">
        <v>77.040000000000006</v>
      </c>
      <c r="R192">
        <v>8.64</v>
      </c>
      <c r="S192">
        <v>96.089100000000002</v>
      </c>
      <c r="T192">
        <v>21.9588</v>
      </c>
    </row>
    <row r="193" spans="1:20" x14ac:dyDescent="0.3">
      <c r="A193" t="s">
        <v>391</v>
      </c>
      <c r="B193" t="s">
        <v>51</v>
      </c>
      <c r="C193" t="s">
        <v>392</v>
      </c>
      <c r="D193" t="s">
        <v>53</v>
      </c>
      <c r="E193" t="s">
        <v>32</v>
      </c>
      <c r="F193" t="s">
        <v>25</v>
      </c>
      <c r="G193" t="s">
        <v>26</v>
      </c>
      <c r="H193">
        <v>73.52</v>
      </c>
      <c r="I193">
        <v>3</v>
      </c>
      <c r="J193">
        <v>11.028</v>
      </c>
      <c r="K193">
        <v>220.56</v>
      </c>
      <c r="L193" s="1">
        <v>43685</v>
      </c>
      <c r="M193" s="2">
        <v>0.57013888888888886</v>
      </c>
      <c r="N193" t="s">
        <v>27</v>
      </c>
      <c r="O193">
        <v>147.04</v>
      </c>
      <c r="P193">
        <v>4.7619047620000003</v>
      </c>
      <c r="Q193">
        <v>73.52</v>
      </c>
      <c r="R193">
        <v>5.52</v>
      </c>
      <c r="S193">
        <v>96.089100000000002</v>
      </c>
      <c r="T193">
        <v>21.9588</v>
      </c>
    </row>
    <row r="194" spans="1:20" x14ac:dyDescent="0.3">
      <c r="A194" t="s">
        <v>393</v>
      </c>
      <c r="B194" t="s">
        <v>29</v>
      </c>
      <c r="C194" t="s">
        <v>394</v>
      </c>
      <c r="D194" t="s">
        <v>31</v>
      </c>
      <c r="E194" t="s">
        <v>32</v>
      </c>
      <c r="F194" t="s">
        <v>25</v>
      </c>
      <c r="G194" t="s">
        <v>26</v>
      </c>
      <c r="H194">
        <v>87.8</v>
      </c>
      <c r="I194">
        <v>11</v>
      </c>
      <c r="J194">
        <v>48.29</v>
      </c>
      <c r="K194">
        <v>965.8</v>
      </c>
      <c r="L194" s="1">
        <v>43767</v>
      </c>
      <c r="M194" s="2">
        <v>0.79722222222222228</v>
      </c>
      <c r="N194" t="s">
        <v>33</v>
      </c>
      <c r="O194">
        <v>790.2</v>
      </c>
      <c r="P194">
        <v>4.7619047620000003</v>
      </c>
      <c r="Q194">
        <v>175.6</v>
      </c>
      <c r="R194">
        <v>9.66</v>
      </c>
      <c r="S194">
        <v>96.078500000000005</v>
      </c>
      <c r="T194">
        <v>19.763300000000001</v>
      </c>
    </row>
    <row r="195" spans="1:20" x14ac:dyDescent="0.3">
      <c r="A195" t="s">
        <v>395</v>
      </c>
      <c r="B195" t="s">
        <v>51</v>
      </c>
      <c r="C195" t="s">
        <v>104</v>
      </c>
      <c r="D195" t="s">
        <v>53</v>
      </c>
      <c r="E195" t="s">
        <v>32</v>
      </c>
      <c r="F195" t="s">
        <v>36</v>
      </c>
      <c r="G195" t="s">
        <v>26</v>
      </c>
      <c r="H195">
        <v>25.55</v>
      </c>
      <c r="I195">
        <v>6</v>
      </c>
      <c r="J195">
        <v>7.665</v>
      </c>
      <c r="K195">
        <v>153.30000000000001</v>
      </c>
      <c r="L195" s="1">
        <v>43773</v>
      </c>
      <c r="M195" s="2">
        <v>0.84930555555555554</v>
      </c>
      <c r="N195" t="s">
        <v>27</v>
      </c>
      <c r="O195">
        <v>102.2</v>
      </c>
      <c r="P195">
        <v>4.7619047620000003</v>
      </c>
      <c r="Q195">
        <v>51.1</v>
      </c>
      <c r="R195">
        <v>6.84</v>
      </c>
      <c r="S195">
        <v>96.089100000000002</v>
      </c>
      <c r="T195">
        <v>21.9588</v>
      </c>
    </row>
    <row r="196" spans="1:20" x14ac:dyDescent="0.3">
      <c r="A196" t="s">
        <v>396</v>
      </c>
      <c r="B196" t="s">
        <v>21</v>
      </c>
      <c r="C196" t="s">
        <v>397</v>
      </c>
      <c r="D196" t="s">
        <v>23</v>
      </c>
      <c r="E196" t="s">
        <v>32</v>
      </c>
      <c r="F196" t="s">
        <v>36</v>
      </c>
      <c r="G196" t="s">
        <v>26</v>
      </c>
      <c r="H196">
        <v>32.71</v>
      </c>
      <c r="I196">
        <v>5</v>
      </c>
      <c r="J196">
        <v>8.1775000000000002</v>
      </c>
      <c r="K196">
        <v>163.55000000000001</v>
      </c>
      <c r="L196" s="1">
        <v>43777</v>
      </c>
      <c r="M196" s="2">
        <v>0.47916666666666669</v>
      </c>
      <c r="N196" t="s">
        <v>37</v>
      </c>
      <c r="O196">
        <v>163.55000000000001</v>
      </c>
      <c r="P196">
        <v>4.7619047620000003</v>
      </c>
      <c r="Q196">
        <v>0</v>
      </c>
      <c r="R196">
        <v>9.9</v>
      </c>
      <c r="S196">
        <v>96.173500000000004</v>
      </c>
      <c r="T196">
        <v>16.840900000000001</v>
      </c>
    </row>
    <row r="197" spans="1:20" x14ac:dyDescent="0.3">
      <c r="A197" t="s">
        <v>398</v>
      </c>
      <c r="B197" t="s">
        <v>29</v>
      </c>
      <c r="C197" t="s">
        <v>399</v>
      </c>
      <c r="D197" t="s">
        <v>31</v>
      </c>
      <c r="E197" t="s">
        <v>24</v>
      </c>
      <c r="F197" t="s">
        <v>25</v>
      </c>
      <c r="G197" t="s">
        <v>26</v>
      </c>
      <c r="H197">
        <v>74.290000000000006</v>
      </c>
      <c r="I197">
        <v>1</v>
      </c>
      <c r="J197">
        <v>3.7145000000000001</v>
      </c>
      <c r="K197">
        <v>74.290000000000006</v>
      </c>
      <c r="L197" s="1">
        <v>43578</v>
      </c>
      <c r="M197" s="2">
        <v>0.8125</v>
      </c>
      <c r="N197" t="s">
        <v>33</v>
      </c>
      <c r="O197">
        <v>74.290000000000006</v>
      </c>
      <c r="P197">
        <v>4.7619047620000003</v>
      </c>
      <c r="Q197">
        <v>0</v>
      </c>
      <c r="R197">
        <v>5.25</v>
      </c>
      <c r="S197">
        <v>96.078500000000005</v>
      </c>
      <c r="T197">
        <v>19.763300000000001</v>
      </c>
    </row>
    <row r="198" spans="1:20" x14ac:dyDescent="0.3">
      <c r="A198" t="s">
        <v>400</v>
      </c>
      <c r="B198" t="s">
        <v>29</v>
      </c>
      <c r="C198" t="s">
        <v>401</v>
      </c>
      <c r="D198" t="s">
        <v>31</v>
      </c>
      <c r="E198" t="s">
        <v>24</v>
      </c>
      <c r="F198" t="s">
        <v>36</v>
      </c>
      <c r="G198" t="s">
        <v>26</v>
      </c>
      <c r="H198">
        <v>43.7</v>
      </c>
      <c r="I198">
        <v>3</v>
      </c>
      <c r="J198">
        <v>6.5549999999999997</v>
      </c>
      <c r="K198">
        <v>131.1</v>
      </c>
      <c r="L198" s="1">
        <v>43774</v>
      </c>
      <c r="M198" s="2">
        <v>0.75208333333333333</v>
      </c>
      <c r="N198" t="s">
        <v>33</v>
      </c>
      <c r="O198">
        <v>87.4</v>
      </c>
      <c r="P198">
        <v>4.7619047620000003</v>
      </c>
      <c r="Q198">
        <v>43.7</v>
      </c>
      <c r="R198">
        <v>5.1449999999999996</v>
      </c>
      <c r="S198">
        <v>96.078500000000005</v>
      </c>
      <c r="T198">
        <v>19.763300000000001</v>
      </c>
    </row>
    <row r="199" spans="1:20" x14ac:dyDescent="0.3">
      <c r="A199" t="s">
        <v>402</v>
      </c>
      <c r="B199" t="s">
        <v>21</v>
      </c>
      <c r="C199" t="s">
        <v>403</v>
      </c>
      <c r="D199" t="s">
        <v>23</v>
      </c>
      <c r="E199" t="s">
        <v>32</v>
      </c>
      <c r="F199" t="s">
        <v>25</v>
      </c>
      <c r="G199" t="s">
        <v>26</v>
      </c>
      <c r="H199">
        <v>25.29</v>
      </c>
      <c r="I199">
        <v>1</v>
      </c>
      <c r="J199">
        <v>1.2645</v>
      </c>
      <c r="K199">
        <v>25.29</v>
      </c>
      <c r="L199" s="1">
        <v>43829</v>
      </c>
      <c r="M199" s="2">
        <v>0.42569444444444443</v>
      </c>
      <c r="N199" t="s">
        <v>27</v>
      </c>
      <c r="O199">
        <v>25.29</v>
      </c>
      <c r="P199">
        <v>4.7619047620000003</v>
      </c>
      <c r="Q199">
        <v>0</v>
      </c>
      <c r="R199">
        <v>6.1</v>
      </c>
      <c r="S199">
        <v>96.173500000000004</v>
      </c>
      <c r="T199">
        <v>16.840900000000001</v>
      </c>
    </row>
    <row r="200" spans="1:20" x14ac:dyDescent="0.3">
      <c r="A200" t="s">
        <v>404</v>
      </c>
      <c r="B200" t="s">
        <v>29</v>
      </c>
      <c r="C200" t="s">
        <v>405</v>
      </c>
      <c r="D200" t="s">
        <v>31</v>
      </c>
      <c r="F200" t="s">
        <v>36</v>
      </c>
      <c r="G200" t="s">
        <v>26</v>
      </c>
      <c r="H200">
        <v>41.5</v>
      </c>
      <c r="I200">
        <v>5</v>
      </c>
      <c r="J200">
        <v>10.375</v>
      </c>
      <c r="K200">
        <v>207.5</v>
      </c>
      <c r="L200" s="1">
        <v>43637</v>
      </c>
      <c r="M200" s="2">
        <v>0.83194444444444449</v>
      </c>
      <c r="N200" t="s">
        <v>37</v>
      </c>
      <c r="O200">
        <v>166</v>
      </c>
      <c r="P200">
        <v>4.7619047620000003</v>
      </c>
      <c r="Q200">
        <v>41.5</v>
      </c>
      <c r="R200">
        <v>8.61</v>
      </c>
      <c r="S200">
        <v>96.078500000000005</v>
      </c>
      <c r="T200">
        <v>19.763300000000001</v>
      </c>
    </row>
    <row r="201" spans="1:20" x14ac:dyDescent="0.3">
      <c r="A201" t="s">
        <v>406</v>
      </c>
      <c r="B201" t="s">
        <v>29</v>
      </c>
      <c r="C201" t="s">
        <v>407</v>
      </c>
      <c r="D201" t="s">
        <v>31</v>
      </c>
      <c r="F201" t="s">
        <v>25</v>
      </c>
      <c r="G201" t="s">
        <v>26</v>
      </c>
      <c r="H201">
        <v>71.39</v>
      </c>
      <c r="I201">
        <v>6</v>
      </c>
      <c r="J201">
        <v>21.417000000000002</v>
      </c>
      <c r="K201">
        <v>428.34</v>
      </c>
      <c r="L201" s="1">
        <v>43519</v>
      </c>
      <c r="M201" s="2">
        <v>0.83125000000000004</v>
      </c>
      <c r="N201" t="s">
        <v>37</v>
      </c>
      <c r="O201">
        <v>356.95</v>
      </c>
      <c r="P201">
        <v>4.7619047620000003</v>
      </c>
      <c r="Q201">
        <v>71.39</v>
      </c>
      <c r="R201">
        <v>5.7750000000000004</v>
      </c>
      <c r="S201">
        <v>96.078500000000005</v>
      </c>
      <c r="T201">
        <v>19.763300000000001</v>
      </c>
    </row>
    <row r="202" spans="1:20" x14ac:dyDescent="0.3">
      <c r="A202" t="s">
        <v>408</v>
      </c>
      <c r="B202" t="s">
        <v>29</v>
      </c>
      <c r="C202" t="s">
        <v>341</v>
      </c>
      <c r="D202" t="s">
        <v>31</v>
      </c>
      <c r="F202" t="s">
        <v>25</v>
      </c>
      <c r="G202" t="s">
        <v>26</v>
      </c>
      <c r="H202">
        <v>19.149999999999999</v>
      </c>
      <c r="I202">
        <v>7</v>
      </c>
      <c r="J202">
        <v>6.7024999999999997</v>
      </c>
      <c r="K202">
        <v>134.05000000000001</v>
      </c>
      <c r="L202" s="1">
        <v>43599</v>
      </c>
      <c r="M202" s="2">
        <v>0.41736111111111113</v>
      </c>
      <c r="N202" t="s">
        <v>37</v>
      </c>
      <c r="O202">
        <v>114.9</v>
      </c>
      <c r="P202">
        <v>4.7619047620000003</v>
      </c>
      <c r="Q202">
        <v>19.149999999999999</v>
      </c>
      <c r="R202">
        <v>7.14</v>
      </c>
      <c r="S202">
        <v>96.078500000000005</v>
      </c>
      <c r="T202">
        <v>19.763300000000001</v>
      </c>
    </row>
    <row r="203" spans="1:20" x14ac:dyDescent="0.3">
      <c r="A203" t="s">
        <v>409</v>
      </c>
      <c r="B203" t="s">
        <v>51</v>
      </c>
      <c r="C203" t="s">
        <v>286</v>
      </c>
      <c r="D203" t="s">
        <v>53</v>
      </c>
      <c r="F203" t="s">
        <v>25</v>
      </c>
      <c r="G203" t="s">
        <v>26</v>
      </c>
      <c r="H203">
        <v>57.49</v>
      </c>
      <c r="I203">
        <v>6</v>
      </c>
      <c r="J203">
        <v>17.247</v>
      </c>
      <c r="K203">
        <v>344.94</v>
      </c>
      <c r="L203" s="1">
        <v>43784</v>
      </c>
      <c r="M203" s="2">
        <v>0.49791666666666667</v>
      </c>
      <c r="N203" t="s">
        <v>33</v>
      </c>
      <c r="O203">
        <v>229.96</v>
      </c>
      <c r="P203">
        <v>4.7619047620000003</v>
      </c>
      <c r="Q203">
        <v>114.98</v>
      </c>
      <c r="R203">
        <v>7.92</v>
      </c>
      <c r="S203">
        <v>96.089100000000002</v>
      </c>
      <c r="T203">
        <v>21.9588</v>
      </c>
    </row>
    <row r="204" spans="1:20" x14ac:dyDescent="0.3">
      <c r="A204" t="s">
        <v>410</v>
      </c>
      <c r="B204" t="s">
        <v>29</v>
      </c>
      <c r="C204" t="s">
        <v>411</v>
      </c>
      <c r="D204" t="s">
        <v>31</v>
      </c>
      <c r="F204" t="s">
        <v>36</v>
      </c>
      <c r="G204" t="s">
        <v>26</v>
      </c>
      <c r="H204">
        <v>61.41</v>
      </c>
      <c r="I204">
        <v>8</v>
      </c>
      <c r="J204">
        <v>24.564</v>
      </c>
      <c r="K204">
        <v>491.28</v>
      </c>
      <c r="L204" s="1">
        <v>43511</v>
      </c>
      <c r="M204" s="2">
        <v>0.41805555555555557</v>
      </c>
      <c r="N204" t="s">
        <v>33</v>
      </c>
      <c r="O204">
        <v>429.87</v>
      </c>
      <c r="P204">
        <v>4.7619047620000003</v>
      </c>
      <c r="Q204">
        <v>61.41</v>
      </c>
      <c r="R204">
        <v>10</v>
      </c>
      <c r="S204">
        <v>96.078500000000005</v>
      </c>
      <c r="T204">
        <v>19.763300000000001</v>
      </c>
    </row>
    <row r="205" spans="1:20" x14ac:dyDescent="0.3">
      <c r="A205" t="s">
        <v>412</v>
      </c>
      <c r="B205" t="s">
        <v>51</v>
      </c>
      <c r="C205" t="s">
        <v>333</v>
      </c>
      <c r="D205" t="s">
        <v>53</v>
      </c>
      <c r="E205" t="s">
        <v>24</v>
      </c>
      <c r="F205" t="s">
        <v>36</v>
      </c>
      <c r="G205" t="s">
        <v>26</v>
      </c>
      <c r="H205">
        <v>25.9</v>
      </c>
      <c r="I205">
        <v>20</v>
      </c>
      <c r="J205">
        <v>25.9</v>
      </c>
      <c r="K205">
        <v>518</v>
      </c>
      <c r="L205" s="1">
        <v>43620</v>
      </c>
      <c r="M205" s="2">
        <v>0.61875000000000002</v>
      </c>
      <c r="N205" t="s">
        <v>27</v>
      </c>
      <c r="O205">
        <v>259</v>
      </c>
      <c r="P205">
        <v>4.7619047620000003</v>
      </c>
      <c r="Q205">
        <v>259</v>
      </c>
      <c r="R205">
        <v>10</v>
      </c>
      <c r="S205">
        <v>96.089100000000002</v>
      </c>
      <c r="T205">
        <v>21.9588</v>
      </c>
    </row>
    <row r="206" spans="1:20" x14ac:dyDescent="0.3">
      <c r="A206" t="s">
        <v>413</v>
      </c>
      <c r="B206" t="s">
        <v>51</v>
      </c>
      <c r="C206" t="s">
        <v>104</v>
      </c>
      <c r="D206" t="s">
        <v>53</v>
      </c>
      <c r="E206" t="s">
        <v>24</v>
      </c>
      <c r="F206" t="s">
        <v>36</v>
      </c>
      <c r="G206" t="s">
        <v>26</v>
      </c>
      <c r="H206">
        <v>17.77</v>
      </c>
      <c r="I206">
        <v>10</v>
      </c>
      <c r="J206">
        <v>8.8849999999999998</v>
      </c>
      <c r="K206">
        <v>177.7</v>
      </c>
      <c r="L206" s="1">
        <v>43713</v>
      </c>
      <c r="M206" s="2">
        <v>0.52916666666666667</v>
      </c>
      <c r="N206" t="s">
        <v>37</v>
      </c>
      <c r="O206">
        <v>88.85</v>
      </c>
      <c r="P206">
        <v>4.7619047620000003</v>
      </c>
      <c r="Q206">
        <v>88.85</v>
      </c>
      <c r="R206">
        <v>6.48</v>
      </c>
      <c r="S206">
        <v>96.089100000000002</v>
      </c>
      <c r="T206">
        <v>21.9588</v>
      </c>
    </row>
    <row r="207" spans="1:20" x14ac:dyDescent="0.3">
      <c r="A207" t="s">
        <v>414</v>
      </c>
      <c r="B207" t="s">
        <v>21</v>
      </c>
      <c r="C207" t="s">
        <v>415</v>
      </c>
      <c r="D207" t="s">
        <v>23</v>
      </c>
      <c r="E207" t="s">
        <v>32</v>
      </c>
      <c r="F207" t="s">
        <v>25</v>
      </c>
      <c r="G207" t="s">
        <v>26</v>
      </c>
      <c r="H207">
        <v>23.03</v>
      </c>
      <c r="I207">
        <v>9</v>
      </c>
      <c r="J207">
        <v>10.3635</v>
      </c>
      <c r="K207">
        <v>207.27</v>
      </c>
      <c r="L207" s="1">
        <v>43679</v>
      </c>
      <c r="M207" s="2">
        <v>0.50138888888888888</v>
      </c>
      <c r="N207" t="s">
        <v>27</v>
      </c>
      <c r="O207">
        <v>207.27</v>
      </c>
      <c r="P207">
        <v>4.7619047620000003</v>
      </c>
      <c r="Q207">
        <v>0</v>
      </c>
      <c r="R207">
        <v>7.9</v>
      </c>
      <c r="S207">
        <v>96.173500000000004</v>
      </c>
      <c r="T207">
        <v>16.840900000000001</v>
      </c>
    </row>
    <row r="208" spans="1:20" x14ac:dyDescent="0.3">
      <c r="A208" t="s">
        <v>416</v>
      </c>
      <c r="B208" t="s">
        <v>29</v>
      </c>
      <c r="C208" t="s">
        <v>417</v>
      </c>
      <c r="D208" t="s">
        <v>31</v>
      </c>
      <c r="E208" t="s">
        <v>24</v>
      </c>
      <c r="F208" t="s">
        <v>25</v>
      </c>
      <c r="G208" t="s">
        <v>26</v>
      </c>
      <c r="H208">
        <v>66.650000000000006</v>
      </c>
      <c r="I208">
        <v>15</v>
      </c>
      <c r="K208">
        <v>999.75</v>
      </c>
      <c r="L208" s="1">
        <v>43516</v>
      </c>
      <c r="M208" s="2">
        <v>0.7631944444444444</v>
      </c>
      <c r="N208" t="s">
        <v>37</v>
      </c>
      <c r="O208">
        <v>599.85</v>
      </c>
      <c r="P208">
        <v>4.7619047620000003</v>
      </c>
      <c r="Q208">
        <v>399.9</v>
      </c>
      <c r="R208">
        <v>10</v>
      </c>
      <c r="S208">
        <v>96.078500000000005</v>
      </c>
      <c r="T208">
        <v>19.763300000000001</v>
      </c>
    </row>
    <row r="209" spans="1:20" x14ac:dyDescent="0.3">
      <c r="A209" t="s">
        <v>418</v>
      </c>
      <c r="B209" t="s">
        <v>29</v>
      </c>
      <c r="C209" t="s">
        <v>419</v>
      </c>
      <c r="D209" t="s">
        <v>31</v>
      </c>
      <c r="E209" t="s">
        <v>24</v>
      </c>
      <c r="F209" t="s">
        <v>25</v>
      </c>
      <c r="G209" t="s">
        <v>26</v>
      </c>
      <c r="H209">
        <v>28.53</v>
      </c>
      <c r="I209">
        <v>17</v>
      </c>
      <c r="K209">
        <v>485.01</v>
      </c>
      <c r="L209" s="1">
        <v>43474</v>
      </c>
      <c r="M209" s="2">
        <v>0.73472222222222228</v>
      </c>
      <c r="N209" t="s">
        <v>27</v>
      </c>
      <c r="O209">
        <v>285.3</v>
      </c>
      <c r="P209">
        <v>4.7619047620000003</v>
      </c>
      <c r="Q209">
        <v>199.71</v>
      </c>
      <c r="R209">
        <v>8.19</v>
      </c>
      <c r="S209">
        <v>96.078500000000005</v>
      </c>
      <c r="T209">
        <v>19.763300000000001</v>
      </c>
    </row>
    <row r="210" spans="1:20" x14ac:dyDescent="0.3">
      <c r="A210" t="s">
        <v>420</v>
      </c>
      <c r="B210" t="s">
        <v>51</v>
      </c>
      <c r="C210" t="s">
        <v>132</v>
      </c>
      <c r="D210" t="s">
        <v>53</v>
      </c>
      <c r="E210" t="s">
        <v>32</v>
      </c>
      <c r="F210" t="s">
        <v>25</v>
      </c>
      <c r="G210" t="s">
        <v>26</v>
      </c>
      <c r="H210">
        <v>30.37</v>
      </c>
      <c r="I210">
        <v>4</v>
      </c>
      <c r="K210">
        <v>121.48</v>
      </c>
      <c r="L210" s="1">
        <v>43531</v>
      </c>
      <c r="M210" s="2">
        <v>0.57013888888888886</v>
      </c>
      <c r="N210" t="s">
        <v>27</v>
      </c>
      <c r="O210">
        <v>91.11</v>
      </c>
      <c r="P210">
        <v>4.7619047620000003</v>
      </c>
      <c r="Q210">
        <v>30.37</v>
      </c>
      <c r="R210">
        <v>6.12</v>
      </c>
      <c r="S210">
        <v>96.089100000000002</v>
      </c>
      <c r="T210">
        <v>21.9588</v>
      </c>
    </row>
    <row r="211" spans="1:20" x14ac:dyDescent="0.3">
      <c r="A211" t="s">
        <v>421</v>
      </c>
      <c r="B211" t="s">
        <v>51</v>
      </c>
      <c r="C211" t="s">
        <v>67</v>
      </c>
      <c r="D211" t="s">
        <v>53</v>
      </c>
      <c r="E211" t="s">
        <v>32</v>
      </c>
      <c r="F211" t="s">
        <v>25</v>
      </c>
      <c r="G211" t="s">
        <v>26</v>
      </c>
      <c r="H211">
        <v>99.73</v>
      </c>
      <c r="I211">
        <v>13</v>
      </c>
      <c r="K211">
        <v>1296.49</v>
      </c>
      <c r="L211" s="1">
        <v>43552</v>
      </c>
      <c r="M211" s="2">
        <v>0.8208333333333333</v>
      </c>
      <c r="N211" t="s">
        <v>37</v>
      </c>
      <c r="O211">
        <v>897.57</v>
      </c>
      <c r="P211">
        <v>4.7619047620000003</v>
      </c>
      <c r="Q211">
        <v>398.92</v>
      </c>
      <c r="R211">
        <v>7.8</v>
      </c>
      <c r="S211">
        <v>96.089100000000002</v>
      </c>
      <c r="T211">
        <v>21.9588</v>
      </c>
    </row>
    <row r="212" spans="1:20" x14ac:dyDescent="0.3">
      <c r="A212" t="s">
        <v>422</v>
      </c>
      <c r="B212" t="s">
        <v>21</v>
      </c>
      <c r="C212" t="s">
        <v>326</v>
      </c>
      <c r="D212" t="s">
        <v>23</v>
      </c>
      <c r="E212" t="s">
        <v>32</v>
      </c>
      <c r="F212" t="s">
        <v>36</v>
      </c>
      <c r="G212" t="s">
        <v>26</v>
      </c>
      <c r="H212">
        <v>26.23</v>
      </c>
      <c r="I212">
        <v>9</v>
      </c>
      <c r="K212">
        <v>236.07</v>
      </c>
      <c r="L212" s="1">
        <v>43554</v>
      </c>
      <c r="M212" s="2">
        <v>0.85</v>
      </c>
      <c r="N212" t="s">
        <v>27</v>
      </c>
      <c r="O212">
        <v>236.07</v>
      </c>
      <c r="P212">
        <v>4.7619047620000003</v>
      </c>
      <c r="Q212">
        <v>0</v>
      </c>
      <c r="R212">
        <v>5.9</v>
      </c>
      <c r="S212">
        <v>96.173500000000004</v>
      </c>
      <c r="T212">
        <v>16.840900000000001</v>
      </c>
    </row>
    <row r="213" spans="1:20" x14ac:dyDescent="0.3">
      <c r="A213" t="s">
        <v>423</v>
      </c>
      <c r="B213" t="s">
        <v>29</v>
      </c>
      <c r="C213" t="s">
        <v>424</v>
      </c>
      <c r="D213" t="s">
        <v>31</v>
      </c>
      <c r="E213" t="s">
        <v>32</v>
      </c>
      <c r="F213" t="s">
        <v>25</v>
      </c>
      <c r="G213" t="s">
        <v>26</v>
      </c>
      <c r="H213">
        <v>93.26</v>
      </c>
      <c r="I213">
        <v>11</v>
      </c>
      <c r="J213">
        <v>51.292999999999999</v>
      </c>
      <c r="K213">
        <v>1025.8599999999999</v>
      </c>
      <c r="L213" s="1">
        <v>43711</v>
      </c>
      <c r="M213" s="2">
        <v>0.75555555555555554</v>
      </c>
      <c r="N213" t="s">
        <v>33</v>
      </c>
      <c r="O213">
        <v>839.34</v>
      </c>
      <c r="P213">
        <v>4.7619047620000003</v>
      </c>
      <c r="Q213">
        <v>186.52</v>
      </c>
      <c r="R213">
        <v>9.24</v>
      </c>
      <c r="S213">
        <v>96.078500000000005</v>
      </c>
      <c r="T213">
        <v>19.763300000000001</v>
      </c>
    </row>
    <row r="214" spans="1:20" x14ac:dyDescent="0.3">
      <c r="A214" t="s">
        <v>425</v>
      </c>
      <c r="B214" t="s">
        <v>51</v>
      </c>
      <c r="C214" t="s">
        <v>426</v>
      </c>
      <c r="D214" t="s">
        <v>53</v>
      </c>
      <c r="E214" t="s">
        <v>32</v>
      </c>
      <c r="F214" t="s">
        <v>36</v>
      </c>
      <c r="G214" t="s">
        <v>26</v>
      </c>
      <c r="H214">
        <v>92.36</v>
      </c>
      <c r="I214">
        <v>7</v>
      </c>
      <c r="J214">
        <v>32.326000000000001</v>
      </c>
      <c r="K214">
        <v>646.52</v>
      </c>
      <c r="L214" s="1">
        <v>43680</v>
      </c>
      <c r="M214" s="2">
        <v>0.80347222222222225</v>
      </c>
      <c r="N214" t="s">
        <v>27</v>
      </c>
      <c r="O214">
        <v>461.8</v>
      </c>
      <c r="P214">
        <v>4.7619047620000003</v>
      </c>
      <c r="Q214">
        <v>184.72</v>
      </c>
      <c r="R214">
        <v>5.88</v>
      </c>
      <c r="S214">
        <v>96.089100000000002</v>
      </c>
      <c r="T214">
        <v>21.9588</v>
      </c>
    </row>
    <row r="215" spans="1:20" x14ac:dyDescent="0.3">
      <c r="A215" t="s">
        <v>427</v>
      </c>
      <c r="B215" t="s">
        <v>51</v>
      </c>
      <c r="C215" t="s">
        <v>428</v>
      </c>
      <c r="D215" t="s">
        <v>53</v>
      </c>
      <c r="E215" t="s">
        <v>32</v>
      </c>
      <c r="F215" t="s">
        <v>36</v>
      </c>
      <c r="G215" t="s">
        <v>26</v>
      </c>
      <c r="H215">
        <v>46.42</v>
      </c>
      <c r="I215">
        <v>4</v>
      </c>
      <c r="J215">
        <v>9.2840000000000007</v>
      </c>
      <c r="K215">
        <v>185.68</v>
      </c>
      <c r="L215" s="1">
        <v>43713</v>
      </c>
      <c r="M215" s="2">
        <v>0.55833333333333335</v>
      </c>
      <c r="N215" t="s">
        <v>37</v>
      </c>
      <c r="O215">
        <v>139.26</v>
      </c>
      <c r="P215">
        <v>4.7619047620000003</v>
      </c>
      <c r="Q215">
        <v>46.42</v>
      </c>
      <c r="R215">
        <v>5.28</v>
      </c>
      <c r="S215">
        <v>96.089100000000002</v>
      </c>
      <c r="T215">
        <v>21.9588</v>
      </c>
    </row>
    <row r="216" spans="1:20" x14ac:dyDescent="0.3">
      <c r="A216" t="s">
        <v>429</v>
      </c>
      <c r="B216" t="s">
        <v>51</v>
      </c>
      <c r="C216" t="s">
        <v>430</v>
      </c>
      <c r="D216" t="s">
        <v>53</v>
      </c>
      <c r="E216" t="s">
        <v>24</v>
      </c>
      <c r="F216" t="s">
        <v>25</v>
      </c>
      <c r="G216" t="s">
        <v>26</v>
      </c>
      <c r="H216">
        <v>29.61</v>
      </c>
      <c r="I216">
        <v>14</v>
      </c>
      <c r="J216">
        <v>20.727</v>
      </c>
      <c r="K216">
        <v>414.54</v>
      </c>
      <c r="L216" s="1">
        <v>43508</v>
      </c>
      <c r="M216" s="2">
        <v>0.66180555555555554</v>
      </c>
      <c r="N216" t="s">
        <v>33</v>
      </c>
      <c r="O216">
        <v>207.27</v>
      </c>
      <c r="P216">
        <v>4.7619047620000003</v>
      </c>
      <c r="Q216">
        <v>207.27</v>
      </c>
      <c r="R216">
        <v>7.8</v>
      </c>
      <c r="S216">
        <v>96.089100000000002</v>
      </c>
      <c r="T216">
        <v>21.9588</v>
      </c>
    </row>
    <row r="217" spans="1:20" x14ac:dyDescent="0.3">
      <c r="A217" t="s">
        <v>431</v>
      </c>
      <c r="B217" t="s">
        <v>21</v>
      </c>
      <c r="C217" t="s">
        <v>432</v>
      </c>
      <c r="D217" t="s">
        <v>23</v>
      </c>
      <c r="E217" t="s">
        <v>32</v>
      </c>
      <c r="F217" t="s">
        <v>36</v>
      </c>
      <c r="G217" t="s">
        <v>26</v>
      </c>
      <c r="H217">
        <v>18.28</v>
      </c>
      <c r="I217">
        <v>1</v>
      </c>
      <c r="J217">
        <v>0.91400000000000003</v>
      </c>
      <c r="K217">
        <v>18.28</v>
      </c>
      <c r="L217" s="1">
        <v>43771</v>
      </c>
      <c r="M217" s="2">
        <v>0.62847222222222221</v>
      </c>
      <c r="N217" t="s">
        <v>37</v>
      </c>
      <c r="O217">
        <v>18.28</v>
      </c>
      <c r="P217">
        <v>4.7619047620000003</v>
      </c>
      <c r="Q217">
        <v>0</v>
      </c>
      <c r="R217">
        <v>8.3000000000000007</v>
      </c>
      <c r="S217">
        <v>96.173500000000004</v>
      </c>
      <c r="T217">
        <v>16.840900000000001</v>
      </c>
    </row>
    <row r="218" spans="1:20" x14ac:dyDescent="0.3">
      <c r="A218" t="s">
        <v>433</v>
      </c>
      <c r="B218" t="s">
        <v>51</v>
      </c>
      <c r="C218" t="s">
        <v>361</v>
      </c>
      <c r="D218" t="s">
        <v>53</v>
      </c>
      <c r="E218" t="s">
        <v>32</v>
      </c>
      <c r="F218" t="s">
        <v>25</v>
      </c>
      <c r="G218" t="s">
        <v>26</v>
      </c>
      <c r="H218">
        <v>24.77</v>
      </c>
      <c r="I218">
        <v>7</v>
      </c>
      <c r="J218">
        <v>8.6694999999999993</v>
      </c>
      <c r="K218">
        <v>173.39</v>
      </c>
      <c r="L218" s="1">
        <v>43676</v>
      </c>
      <c r="M218" s="2">
        <v>0.76875000000000004</v>
      </c>
      <c r="N218" t="s">
        <v>33</v>
      </c>
      <c r="O218">
        <v>123.85</v>
      </c>
      <c r="P218">
        <v>4.7619047620000003</v>
      </c>
      <c r="Q218">
        <v>49.54</v>
      </c>
      <c r="R218">
        <v>10</v>
      </c>
      <c r="S218">
        <v>96.089100000000002</v>
      </c>
      <c r="T218">
        <v>21.9588</v>
      </c>
    </row>
    <row r="219" spans="1:20" x14ac:dyDescent="0.3">
      <c r="A219" t="s">
        <v>434</v>
      </c>
      <c r="B219" t="s">
        <v>21</v>
      </c>
      <c r="C219" t="s">
        <v>435</v>
      </c>
      <c r="D219" t="s">
        <v>23</v>
      </c>
      <c r="E219" t="s">
        <v>24</v>
      </c>
      <c r="F219" t="s">
        <v>25</v>
      </c>
      <c r="G219" t="s">
        <v>26</v>
      </c>
      <c r="H219">
        <v>94.64</v>
      </c>
      <c r="I219">
        <v>4</v>
      </c>
      <c r="J219">
        <v>18.928000000000001</v>
      </c>
      <c r="K219">
        <v>378.56</v>
      </c>
      <c r="L219" s="1">
        <v>43762</v>
      </c>
      <c r="M219" s="2">
        <v>0.70486111111111116</v>
      </c>
      <c r="N219" t="s">
        <v>33</v>
      </c>
      <c r="O219">
        <v>283.92</v>
      </c>
      <c r="P219">
        <v>4.7619047620000003</v>
      </c>
      <c r="Q219">
        <v>94.64</v>
      </c>
      <c r="R219">
        <v>5.5</v>
      </c>
      <c r="S219">
        <v>96.173500000000004</v>
      </c>
      <c r="T219">
        <v>16.840900000000001</v>
      </c>
    </row>
    <row r="220" spans="1:20" x14ac:dyDescent="0.3">
      <c r="A220" t="s">
        <v>436</v>
      </c>
      <c r="B220" t="s">
        <v>51</v>
      </c>
      <c r="C220" t="s">
        <v>437</v>
      </c>
      <c r="D220" t="s">
        <v>53</v>
      </c>
      <c r="E220" t="s">
        <v>32</v>
      </c>
      <c r="F220" t="s">
        <v>36</v>
      </c>
      <c r="G220" t="s">
        <v>26</v>
      </c>
      <c r="H220">
        <v>94.87</v>
      </c>
      <c r="I220">
        <v>11</v>
      </c>
      <c r="J220">
        <v>52.1785</v>
      </c>
      <c r="K220">
        <v>1043.57</v>
      </c>
      <c r="L220" s="1">
        <v>43523</v>
      </c>
      <c r="M220" s="2">
        <v>0.54027777777777775</v>
      </c>
      <c r="N220" t="s">
        <v>27</v>
      </c>
      <c r="O220">
        <v>758.96</v>
      </c>
      <c r="P220">
        <v>4.7619047620000003</v>
      </c>
      <c r="Q220">
        <v>284.61</v>
      </c>
      <c r="R220">
        <v>10</v>
      </c>
      <c r="S220">
        <v>96.089100000000002</v>
      </c>
      <c r="T220">
        <v>21.9588</v>
      </c>
    </row>
    <row r="221" spans="1:20" x14ac:dyDescent="0.3">
      <c r="A221" t="s">
        <v>438</v>
      </c>
      <c r="B221" t="s">
        <v>51</v>
      </c>
      <c r="C221" t="s">
        <v>258</v>
      </c>
      <c r="D221" t="s">
        <v>53</v>
      </c>
      <c r="E221" t="s">
        <v>32</v>
      </c>
      <c r="F221" t="s">
        <v>25</v>
      </c>
      <c r="G221" t="s">
        <v>26</v>
      </c>
      <c r="H221">
        <v>57.34</v>
      </c>
      <c r="I221">
        <v>4</v>
      </c>
      <c r="J221">
        <v>11.468</v>
      </c>
      <c r="K221">
        <v>229.36</v>
      </c>
      <c r="L221" s="1">
        <v>43474</v>
      </c>
      <c r="M221" s="2">
        <v>0.79097222222222219</v>
      </c>
      <c r="N221" t="s">
        <v>37</v>
      </c>
      <c r="O221">
        <v>172.02</v>
      </c>
      <c r="P221">
        <v>4.7619047620000003</v>
      </c>
      <c r="Q221">
        <v>57.34</v>
      </c>
      <c r="R221">
        <v>9.48</v>
      </c>
      <c r="S221">
        <v>96.089100000000002</v>
      </c>
      <c r="T221">
        <v>21.9588</v>
      </c>
    </row>
    <row r="222" spans="1:20" x14ac:dyDescent="0.3">
      <c r="A222" t="s">
        <v>439</v>
      </c>
      <c r="B222" t="s">
        <v>51</v>
      </c>
      <c r="C222" t="s">
        <v>440</v>
      </c>
      <c r="D222" t="s">
        <v>53</v>
      </c>
      <c r="E222" t="s">
        <v>32</v>
      </c>
      <c r="F222" t="s">
        <v>36</v>
      </c>
      <c r="G222" t="s">
        <v>26</v>
      </c>
      <c r="H222">
        <v>45.35</v>
      </c>
      <c r="I222">
        <v>8</v>
      </c>
      <c r="J222">
        <v>18.14</v>
      </c>
      <c r="K222">
        <v>362.8</v>
      </c>
      <c r="L222" s="1">
        <v>43680</v>
      </c>
      <c r="M222" s="2">
        <v>0.57222222222222219</v>
      </c>
      <c r="N222" t="s">
        <v>27</v>
      </c>
      <c r="O222">
        <v>272.10000000000002</v>
      </c>
      <c r="P222">
        <v>4.7619047620000003</v>
      </c>
      <c r="Q222">
        <v>90.7</v>
      </c>
      <c r="R222">
        <v>7.32</v>
      </c>
      <c r="S222">
        <v>96.089100000000002</v>
      </c>
      <c r="T222">
        <v>21.9588</v>
      </c>
    </row>
    <row r="223" spans="1:20" x14ac:dyDescent="0.3">
      <c r="A223" t="s">
        <v>441</v>
      </c>
      <c r="B223" t="s">
        <v>51</v>
      </c>
      <c r="C223" t="s">
        <v>129</v>
      </c>
      <c r="D223" t="s">
        <v>53</v>
      </c>
      <c r="E223" t="s">
        <v>32</v>
      </c>
      <c r="F223" t="s">
        <v>36</v>
      </c>
      <c r="G223" t="s">
        <v>26</v>
      </c>
      <c r="H223">
        <v>62.08</v>
      </c>
      <c r="I223">
        <v>10</v>
      </c>
      <c r="J223">
        <v>31.04</v>
      </c>
      <c r="K223">
        <v>620.79999999999995</v>
      </c>
      <c r="L223" s="1">
        <v>43722</v>
      </c>
      <c r="M223" s="2">
        <v>0.57361111111111107</v>
      </c>
      <c r="N223" t="s">
        <v>27</v>
      </c>
      <c r="O223">
        <v>434.56</v>
      </c>
      <c r="P223">
        <v>4.7619047620000003</v>
      </c>
      <c r="Q223">
        <v>186.24</v>
      </c>
      <c r="R223">
        <v>6.48</v>
      </c>
      <c r="S223">
        <v>96.089100000000002</v>
      </c>
      <c r="T223">
        <v>21.9588</v>
      </c>
    </row>
    <row r="224" spans="1:20" x14ac:dyDescent="0.3">
      <c r="A224" t="s">
        <v>442</v>
      </c>
      <c r="B224" t="s">
        <v>29</v>
      </c>
      <c r="C224" t="s">
        <v>443</v>
      </c>
      <c r="D224" t="s">
        <v>31</v>
      </c>
      <c r="E224" t="s">
        <v>32</v>
      </c>
      <c r="F224" t="s">
        <v>36</v>
      </c>
      <c r="G224" t="s">
        <v>26</v>
      </c>
      <c r="H224">
        <v>11.81</v>
      </c>
      <c r="I224">
        <v>6</v>
      </c>
      <c r="J224">
        <v>3.5430000000000001</v>
      </c>
      <c r="K224">
        <v>70.86</v>
      </c>
      <c r="L224" s="1">
        <v>43734</v>
      </c>
      <c r="M224" s="2">
        <v>0.75416666666666665</v>
      </c>
      <c r="N224" t="s">
        <v>33</v>
      </c>
      <c r="O224">
        <v>59.05</v>
      </c>
      <c r="P224">
        <v>4.7619047620000003</v>
      </c>
      <c r="Q224">
        <v>11.81</v>
      </c>
      <c r="R224">
        <v>9.8699999999999992</v>
      </c>
      <c r="S224">
        <v>96.078500000000005</v>
      </c>
      <c r="T224">
        <v>19.763300000000001</v>
      </c>
    </row>
    <row r="225" spans="1:20" x14ac:dyDescent="0.3">
      <c r="A225" t="s">
        <v>444</v>
      </c>
      <c r="B225" t="s">
        <v>29</v>
      </c>
      <c r="C225" t="s">
        <v>445</v>
      </c>
      <c r="D225" t="s">
        <v>31</v>
      </c>
      <c r="E225" t="s">
        <v>24</v>
      </c>
      <c r="F225" t="s">
        <v>25</v>
      </c>
      <c r="G225" t="s">
        <v>26</v>
      </c>
      <c r="H225">
        <v>12.54</v>
      </c>
      <c r="I225">
        <v>1</v>
      </c>
      <c r="J225">
        <v>0.627</v>
      </c>
      <c r="K225">
        <v>12.54</v>
      </c>
      <c r="L225" s="1">
        <v>43787</v>
      </c>
      <c r="M225" s="2">
        <v>0.52638888888888891</v>
      </c>
      <c r="N225" t="s">
        <v>33</v>
      </c>
      <c r="O225">
        <v>12.54</v>
      </c>
      <c r="P225">
        <v>4.7619047620000003</v>
      </c>
      <c r="Q225">
        <v>0</v>
      </c>
      <c r="R225">
        <v>8.61</v>
      </c>
      <c r="S225">
        <v>96.078500000000005</v>
      </c>
      <c r="T225">
        <v>19.763300000000001</v>
      </c>
    </row>
    <row r="226" spans="1:20" x14ac:dyDescent="0.3">
      <c r="A226" t="s">
        <v>446</v>
      </c>
      <c r="B226" t="s">
        <v>21</v>
      </c>
      <c r="C226" t="s">
        <v>447</v>
      </c>
      <c r="D226" t="s">
        <v>23</v>
      </c>
      <c r="E226" t="s">
        <v>32</v>
      </c>
      <c r="F226" t="s">
        <v>36</v>
      </c>
      <c r="G226" t="s">
        <v>26</v>
      </c>
      <c r="H226">
        <v>43.25</v>
      </c>
      <c r="I226">
        <v>2</v>
      </c>
      <c r="J226">
        <v>4.3250000000000002</v>
      </c>
      <c r="K226">
        <v>86.5</v>
      </c>
      <c r="L226" s="1">
        <v>43660</v>
      </c>
      <c r="M226" s="2">
        <v>0.66388888888888886</v>
      </c>
      <c r="N226" t="s">
        <v>33</v>
      </c>
      <c r="O226">
        <v>86.5</v>
      </c>
      <c r="P226">
        <v>4.7619047620000003</v>
      </c>
      <c r="Q226">
        <v>0</v>
      </c>
      <c r="R226">
        <v>6.2</v>
      </c>
      <c r="S226">
        <v>96.173500000000004</v>
      </c>
      <c r="T226">
        <v>16.840900000000001</v>
      </c>
    </row>
    <row r="227" spans="1:20" x14ac:dyDescent="0.3">
      <c r="A227" t="s">
        <v>448</v>
      </c>
      <c r="B227" t="s">
        <v>29</v>
      </c>
      <c r="C227" t="s">
        <v>449</v>
      </c>
      <c r="D227" t="s">
        <v>31</v>
      </c>
      <c r="E227" t="s">
        <v>24</v>
      </c>
      <c r="F227" t="s">
        <v>25</v>
      </c>
      <c r="G227" t="s">
        <v>26</v>
      </c>
      <c r="H227">
        <v>87.16</v>
      </c>
      <c r="I227">
        <v>3</v>
      </c>
      <c r="J227">
        <v>13.074</v>
      </c>
      <c r="K227">
        <v>261.48</v>
      </c>
      <c r="L227" s="1">
        <v>43785</v>
      </c>
      <c r="M227" s="2">
        <v>0.60347222222222219</v>
      </c>
      <c r="N227" t="s">
        <v>37</v>
      </c>
      <c r="O227">
        <v>174.32</v>
      </c>
      <c r="P227">
        <v>4.7619047620000003</v>
      </c>
      <c r="Q227">
        <v>87.16</v>
      </c>
      <c r="R227">
        <v>10</v>
      </c>
      <c r="S227">
        <v>96.078500000000005</v>
      </c>
      <c r="T227">
        <v>19.763300000000001</v>
      </c>
    </row>
    <row r="228" spans="1:20" x14ac:dyDescent="0.3">
      <c r="A228" t="s">
        <v>450</v>
      </c>
      <c r="B228" t="s">
        <v>51</v>
      </c>
      <c r="C228" t="s">
        <v>361</v>
      </c>
      <c r="D228" t="s">
        <v>53</v>
      </c>
      <c r="E228" t="s">
        <v>24</v>
      </c>
      <c r="F228" t="s">
        <v>36</v>
      </c>
      <c r="G228" t="s">
        <v>26</v>
      </c>
      <c r="H228">
        <v>69.37</v>
      </c>
      <c r="I228">
        <v>18</v>
      </c>
      <c r="J228">
        <v>62.433</v>
      </c>
      <c r="K228">
        <v>1248.6600000000001</v>
      </c>
      <c r="L228" s="1">
        <v>43689</v>
      </c>
      <c r="M228" s="2">
        <v>0.80138888888888893</v>
      </c>
      <c r="N228" t="s">
        <v>27</v>
      </c>
      <c r="O228">
        <v>624.33000000000004</v>
      </c>
      <c r="P228">
        <v>4.7619047620000003</v>
      </c>
      <c r="Q228">
        <v>624.33000000000004</v>
      </c>
      <c r="R228">
        <v>4.8</v>
      </c>
      <c r="S228">
        <v>96.089100000000002</v>
      </c>
      <c r="T228">
        <v>21.9588</v>
      </c>
    </row>
    <row r="229" spans="1:20" x14ac:dyDescent="0.3">
      <c r="A229" t="s">
        <v>451</v>
      </c>
      <c r="B229" t="s">
        <v>29</v>
      </c>
      <c r="C229" t="s">
        <v>452</v>
      </c>
      <c r="D229" t="s">
        <v>31</v>
      </c>
      <c r="E229" t="s">
        <v>24</v>
      </c>
      <c r="F229" t="s">
        <v>36</v>
      </c>
      <c r="G229" t="s">
        <v>26</v>
      </c>
      <c r="H229">
        <v>37.06</v>
      </c>
      <c r="I229">
        <v>7</v>
      </c>
      <c r="J229">
        <v>12.971</v>
      </c>
      <c r="K229">
        <v>259.42</v>
      </c>
      <c r="L229" s="1">
        <v>43754</v>
      </c>
      <c r="M229" s="2">
        <v>0.68333333333333335</v>
      </c>
      <c r="N229" t="s">
        <v>27</v>
      </c>
      <c r="O229">
        <v>148.24</v>
      </c>
      <c r="P229">
        <v>4.7619047620000003</v>
      </c>
      <c r="Q229">
        <v>111.18</v>
      </c>
      <c r="S229">
        <v>96.078500000000005</v>
      </c>
      <c r="T229">
        <v>19.763300000000001</v>
      </c>
    </row>
    <row r="230" spans="1:20" x14ac:dyDescent="0.3">
      <c r="A230" t="s">
        <v>453</v>
      </c>
      <c r="B230" t="s">
        <v>51</v>
      </c>
      <c r="C230" t="s">
        <v>454</v>
      </c>
      <c r="D230" t="s">
        <v>53</v>
      </c>
      <c r="E230" t="s">
        <v>24</v>
      </c>
      <c r="F230" t="s">
        <v>25</v>
      </c>
      <c r="G230" t="s">
        <v>26</v>
      </c>
      <c r="H230">
        <v>90.7</v>
      </c>
      <c r="I230">
        <v>11</v>
      </c>
      <c r="J230">
        <v>49.884999999999998</v>
      </c>
      <c r="K230">
        <v>997.7</v>
      </c>
      <c r="L230" s="1">
        <v>43633</v>
      </c>
      <c r="M230" s="2">
        <v>0.45277777777777778</v>
      </c>
      <c r="N230" t="s">
        <v>33</v>
      </c>
      <c r="O230">
        <v>544.20000000000005</v>
      </c>
      <c r="P230">
        <v>4.7619047620000003</v>
      </c>
      <c r="Q230">
        <v>453.5</v>
      </c>
      <c r="S230">
        <v>96.089100000000002</v>
      </c>
      <c r="T230">
        <v>21.9588</v>
      </c>
    </row>
    <row r="231" spans="1:20" x14ac:dyDescent="0.3">
      <c r="A231" t="s">
        <v>455</v>
      </c>
      <c r="B231" t="s">
        <v>21</v>
      </c>
      <c r="C231" t="s">
        <v>113</v>
      </c>
      <c r="D231" t="s">
        <v>23</v>
      </c>
      <c r="E231" t="s">
        <v>32</v>
      </c>
      <c r="F231" t="s">
        <v>25</v>
      </c>
      <c r="G231" t="s">
        <v>26</v>
      </c>
      <c r="H231">
        <v>63.42</v>
      </c>
      <c r="I231">
        <v>8</v>
      </c>
      <c r="J231">
        <v>25.367999999999999</v>
      </c>
      <c r="K231">
        <v>507.36</v>
      </c>
      <c r="L231" s="1">
        <v>43661</v>
      </c>
      <c r="M231" s="2">
        <v>0.53819444444444442</v>
      </c>
      <c r="N231" t="s">
        <v>27</v>
      </c>
      <c r="O231">
        <v>507.36</v>
      </c>
      <c r="P231">
        <v>4.7619047620000003</v>
      </c>
      <c r="Q231">
        <v>0</v>
      </c>
      <c r="S231">
        <v>96.173500000000004</v>
      </c>
      <c r="T231">
        <v>16.840900000000001</v>
      </c>
    </row>
    <row r="232" spans="1:20" x14ac:dyDescent="0.3">
      <c r="A232" t="s">
        <v>456</v>
      </c>
      <c r="B232" t="s">
        <v>51</v>
      </c>
      <c r="C232" t="s">
        <v>104</v>
      </c>
      <c r="D232" t="s">
        <v>53</v>
      </c>
      <c r="E232" t="s">
        <v>32</v>
      </c>
      <c r="F232" t="s">
        <v>25</v>
      </c>
      <c r="G232" t="s">
        <v>26</v>
      </c>
      <c r="H232">
        <v>81.37</v>
      </c>
      <c r="I232">
        <v>3</v>
      </c>
      <c r="J232">
        <v>12.205500000000001</v>
      </c>
      <c r="K232">
        <v>244.11</v>
      </c>
      <c r="L232" s="1">
        <v>43514</v>
      </c>
      <c r="M232" s="2">
        <v>0.81111111111111112</v>
      </c>
      <c r="N232" t="s">
        <v>33</v>
      </c>
      <c r="O232">
        <v>162.74</v>
      </c>
      <c r="P232">
        <v>4.7619047620000003</v>
      </c>
      <c r="Q232">
        <v>81.37</v>
      </c>
      <c r="S232">
        <v>96.089100000000002</v>
      </c>
      <c r="T232">
        <v>21.9588</v>
      </c>
    </row>
    <row r="233" spans="1:20" x14ac:dyDescent="0.3">
      <c r="A233" t="s">
        <v>457</v>
      </c>
      <c r="B233" t="s">
        <v>51</v>
      </c>
      <c r="C233" t="s">
        <v>458</v>
      </c>
      <c r="D233" t="s">
        <v>53</v>
      </c>
      <c r="E233" t="s">
        <v>24</v>
      </c>
      <c r="F233" t="s">
        <v>25</v>
      </c>
      <c r="G233" t="s">
        <v>26</v>
      </c>
      <c r="H233">
        <v>10.59</v>
      </c>
      <c r="I233">
        <v>6</v>
      </c>
      <c r="J233">
        <v>3.177</v>
      </c>
      <c r="K233">
        <v>63.54</v>
      </c>
      <c r="L233" s="1">
        <v>43788</v>
      </c>
      <c r="M233" s="2">
        <v>0.57777777777777772</v>
      </c>
      <c r="N233" t="s">
        <v>37</v>
      </c>
      <c r="O233">
        <v>31.77</v>
      </c>
      <c r="P233">
        <v>4.7619047620000003</v>
      </c>
      <c r="Q233">
        <v>31.77</v>
      </c>
      <c r="S233">
        <v>96.089100000000002</v>
      </c>
      <c r="T233">
        <v>21.9588</v>
      </c>
    </row>
    <row r="234" spans="1:20" x14ac:dyDescent="0.3">
      <c r="A234" t="s">
        <v>459</v>
      </c>
      <c r="B234" t="s">
        <v>51</v>
      </c>
      <c r="C234" t="s">
        <v>52</v>
      </c>
      <c r="D234" t="s">
        <v>53</v>
      </c>
      <c r="E234" t="s">
        <v>32</v>
      </c>
      <c r="F234" t="s">
        <v>25</v>
      </c>
      <c r="G234" t="s">
        <v>26</v>
      </c>
      <c r="H234">
        <v>84.09</v>
      </c>
      <c r="I234">
        <v>13</v>
      </c>
      <c r="J234">
        <v>54.658499999999997</v>
      </c>
      <c r="K234">
        <v>1093.17</v>
      </c>
      <c r="L234" s="1">
        <v>43792</v>
      </c>
      <c r="M234" s="2">
        <v>0.45416666666666666</v>
      </c>
      <c r="N234" t="s">
        <v>33</v>
      </c>
      <c r="O234">
        <v>756.81</v>
      </c>
      <c r="P234">
        <v>4.7619047620000003</v>
      </c>
      <c r="Q234">
        <v>336.36</v>
      </c>
      <c r="S234">
        <v>96.089100000000002</v>
      </c>
      <c r="T234">
        <v>21.9588</v>
      </c>
    </row>
    <row r="235" spans="1:20" x14ac:dyDescent="0.3">
      <c r="A235" t="s">
        <v>460</v>
      </c>
      <c r="B235" t="s">
        <v>51</v>
      </c>
      <c r="C235" t="s">
        <v>215</v>
      </c>
      <c r="D235" t="s">
        <v>53</v>
      </c>
      <c r="E235" t="s">
        <v>24</v>
      </c>
      <c r="F235" t="s">
        <v>36</v>
      </c>
      <c r="G235" t="s">
        <v>26</v>
      </c>
      <c r="H235">
        <v>73.819999999999993</v>
      </c>
      <c r="I235">
        <v>8</v>
      </c>
      <c r="J235">
        <v>29.527999999999999</v>
      </c>
      <c r="K235">
        <v>590.55999999999995</v>
      </c>
      <c r="L235" s="1">
        <v>43813</v>
      </c>
      <c r="M235" s="2">
        <v>0.77152777777777781</v>
      </c>
      <c r="N235" t="s">
        <v>33</v>
      </c>
      <c r="O235">
        <v>295.27999999999997</v>
      </c>
      <c r="P235">
        <v>4.7619047620000003</v>
      </c>
      <c r="Q235">
        <v>295.27999999999997</v>
      </c>
      <c r="S235">
        <v>96.089100000000002</v>
      </c>
      <c r="T235">
        <v>21.9588</v>
      </c>
    </row>
    <row r="236" spans="1:20" x14ac:dyDescent="0.3">
      <c r="A236" t="s">
        <v>461</v>
      </c>
      <c r="B236" t="s">
        <v>21</v>
      </c>
      <c r="C236" t="s">
        <v>462</v>
      </c>
      <c r="D236" t="s">
        <v>23</v>
      </c>
      <c r="E236" t="s">
        <v>32</v>
      </c>
      <c r="F236" t="s">
        <v>36</v>
      </c>
      <c r="G236" t="s">
        <v>26</v>
      </c>
      <c r="H236">
        <v>51.94</v>
      </c>
      <c r="I236">
        <v>10</v>
      </c>
      <c r="K236">
        <v>519.4</v>
      </c>
      <c r="L236" s="1">
        <v>43484</v>
      </c>
      <c r="M236" s="2">
        <v>0.76666666666666672</v>
      </c>
      <c r="N236" t="s">
        <v>27</v>
      </c>
      <c r="O236">
        <v>519.4</v>
      </c>
      <c r="P236">
        <v>4.7619047620000003</v>
      </c>
      <c r="Q236">
        <v>0</v>
      </c>
      <c r="S236">
        <v>96.173500000000004</v>
      </c>
      <c r="T236">
        <v>16.840900000000001</v>
      </c>
    </row>
    <row r="237" spans="1:20" x14ac:dyDescent="0.3">
      <c r="A237" t="s">
        <v>463</v>
      </c>
      <c r="B237" t="s">
        <v>21</v>
      </c>
      <c r="C237" t="s">
        <v>464</v>
      </c>
      <c r="D237" t="s">
        <v>23</v>
      </c>
      <c r="E237" t="s">
        <v>32</v>
      </c>
      <c r="F237" t="s">
        <v>25</v>
      </c>
      <c r="G237" t="s">
        <v>26</v>
      </c>
      <c r="H237">
        <v>93.14</v>
      </c>
      <c r="I237">
        <v>2</v>
      </c>
      <c r="K237">
        <v>186.28</v>
      </c>
      <c r="L237" s="1">
        <v>43511</v>
      </c>
      <c r="M237" s="2">
        <v>0.75624999999999998</v>
      </c>
      <c r="N237" t="s">
        <v>27</v>
      </c>
      <c r="O237">
        <v>186.28</v>
      </c>
      <c r="P237">
        <v>4.7619047620000003</v>
      </c>
      <c r="Q237">
        <v>0</v>
      </c>
      <c r="S237">
        <v>96.173500000000004</v>
      </c>
      <c r="T237">
        <v>16.840900000000001</v>
      </c>
    </row>
    <row r="238" spans="1:20" x14ac:dyDescent="0.3">
      <c r="A238" t="s">
        <v>465</v>
      </c>
      <c r="B238" t="s">
        <v>29</v>
      </c>
      <c r="C238" t="s">
        <v>466</v>
      </c>
      <c r="D238" t="s">
        <v>31</v>
      </c>
      <c r="E238" t="s">
        <v>32</v>
      </c>
      <c r="F238" t="s">
        <v>36</v>
      </c>
      <c r="G238" t="s">
        <v>26</v>
      </c>
      <c r="H238">
        <v>17.41</v>
      </c>
      <c r="I238">
        <v>6</v>
      </c>
      <c r="K238">
        <v>104.46</v>
      </c>
      <c r="L238" s="1">
        <v>43570</v>
      </c>
      <c r="M238" s="2">
        <v>0.63611111111111107</v>
      </c>
      <c r="N238" t="s">
        <v>37</v>
      </c>
      <c r="O238">
        <v>87.05</v>
      </c>
      <c r="P238">
        <v>4.7619047620000003</v>
      </c>
      <c r="Q238">
        <v>17.41</v>
      </c>
      <c r="S238">
        <v>96.078500000000005</v>
      </c>
      <c r="T238">
        <v>19.763300000000001</v>
      </c>
    </row>
    <row r="239" spans="1:20" x14ac:dyDescent="0.3">
      <c r="A239" t="s">
        <v>467</v>
      </c>
      <c r="B239" t="s">
        <v>29</v>
      </c>
      <c r="C239" t="s">
        <v>199</v>
      </c>
      <c r="D239" t="s">
        <v>31</v>
      </c>
      <c r="E239" t="s">
        <v>32</v>
      </c>
      <c r="F239" t="s">
        <v>25</v>
      </c>
      <c r="G239" t="s">
        <v>26</v>
      </c>
      <c r="H239">
        <v>44.22</v>
      </c>
      <c r="I239">
        <v>6</v>
      </c>
      <c r="J239">
        <v>13.266</v>
      </c>
      <c r="K239">
        <v>265.32</v>
      </c>
      <c r="L239" s="1">
        <v>43569</v>
      </c>
      <c r="M239" s="2">
        <v>0.71319444444444446</v>
      </c>
      <c r="N239" t="s">
        <v>37</v>
      </c>
      <c r="O239">
        <v>221.1</v>
      </c>
      <c r="P239">
        <v>4.7619047620000003</v>
      </c>
      <c r="Q239">
        <v>44.22</v>
      </c>
      <c r="S239">
        <v>96.078500000000005</v>
      </c>
      <c r="T239">
        <v>19.763300000000001</v>
      </c>
    </row>
    <row r="240" spans="1:20" x14ac:dyDescent="0.3">
      <c r="A240" t="s">
        <v>468</v>
      </c>
      <c r="B240" t="s">
        <v>51</v>
      </c>
      <c r="C240" t="s">
        <v>469</v>
      </c>
      <c r="D240" t="s">
        <v>53</v>
      </c>
      <c r="E240" t="s">
        <v>32</v>
      </c>
      <c r="F240" t="s">
        <v>25</v>
      </c>
      <c r="G240" t="s">
        <v>26</v>
      </c>
      <c r="H240">
        <v>13.22</v>
      </c>
      <c r="I240">
        <v>7</v>
      </c>
      <c r="J240">
        <v>4.6269999999999998</v>
      </c>
      <c r="K240">
        <v>92.54</v>
      </c>
      <c r="L240" s="1">
        <v>43539</v>
      </c>
      <c r="M240" s="2">
        <v>0.80972222222222223</v>
      </c>
      <c r="N240" t="s">
        <v>33</v>
      </c>
      <c r="O240">
        <v>66.099999999999994</v>
      </c>
      <c r="P240">
        <v>4.7619047620000003</v>
      </c>
      <c r="Q240">
        <v>26.44</v>
      </c>
      <c r="R240">
        <v>5.16</v>
      </c>
      <c r="S240">
        <v>96.089100000000002</v>
      </c>
      <c r="T240">
        <v>21.9588</v>
      </c>
    </row>
    <row r="241" spans="1:20" x14ac:dyDescent="0.3">
      <c r="A241" t="s">
        <v>470</v>
      </c>
      <c r="B241" t="s">
        <v>21</v>
      </c>
      <c r="C241" t="s">
        <v>89</v>
      </c>
      <c r="D241" t="s">
        <v>23</v>
      </c>
      <c r="E241" t="s">
        <v>32</v>
      </c>
      <c r="F241" t="s">
        <v>36</v>
      </c>
      <c r="G241" t="s">
        <v>26</v>
      </c>
      <c r="H241">
        <v>89.69</v>
      </c>
      <c r="I241">
        <v>1</v>
      </c>
      <c r="J241">
        <v>4.4844999999999997</v>
      </c>
      <c r="K241">
        <v>89.69</v>
      </c>
      <c r="L241" s="1">
        <v>43550</v>
      </c>
      <c r="M241" s="2">
        <v>0.47222222222222221</v>
      </c>
      <c r="N241" t="s">
        <v>27</v>
      </c>
      <c r="O241">
        <v>89.69</v>
      </c>
      <c r="P241">
        <v>4.7619047620000003</v>
      </c>
      <c r="Q241">
        <v>0</v>
      </c>
      <c r="R241">
        <v>4.9000000000000004</v>
      </c>
      <c r="S241">
        <v>96.173500000000004</v>
      </c>
      <c r="T241">
        <v>16.840900000000001</v>
      </c>
    </row>
    <row r="242" spans="1:20" x14ac:dyDescent="0.3">
      <c r="A242" t="s">
        <v>471</v>
      </c>
      <c r="B242" t="s">
        <v>21</v>
      </c>
      <c r="C242" t="s">
        <v>472</v>
      </c>
      <c r="D242" t="s">
        <v>23</v>
      </c>
      <c r="E242" t="s">
        <v>32</v>
      </c>
      <c r="F242" t="s">
        <v>36</v>
      </c>
      <c r="G242" t="s">
        <v>26</v>
      </c>
      <c r="H242">
        <v>24.94</v>
      </c>
      <c r="I242">
        <v>9</v>
      </c>
      <c r="J242">
        <v>11.223000000000001</v>
      </c>
      <c r="K242">
        <v>224.46</v>
      </c>
      <c r="L242" s="1">
        <v>43630</v>
      </c>
      <c r="M242" s="2">
        <v>0.7006944444444444</v>
      </c>
      <c r="N242" t="s">
        <v>37</v>
      </c>
      <c r="O242">
        <v>224.46</v>
      </c>
      <c r="P242">
        <v>4.7619047620000003</v>
      </c>
      <c r="Q242">
        <v>0</v>
      </c>
      <c r="R242">
        <v>5.6</v>
      </c>
      <c r="S242">
        <v>96.173500000000004</v>
      </c>
      <c r="T242">
        <v>16.840900000000001</v>
      </c>
    </row>
    <row r="243" spans="1:20" x14ac:dyDescent="0.3">
      <c r="A243" t="s">
        <v>473</v>
      </c>
      <c r="B243" t="s">
        <v>21</v>
      </c>
      <c r="C243" t="s">
        <v>59</v>
      </c>
      <c r="D243" t="s">
        <v>23</v>
      </c>
      <c r="E243" t="s">
        <v>32</v>
      </c>
      <c r="F243" t="s">
        <v>36</v>
      </c>
      <c r="G243" t="s">
        <v>26</v>
      </c>
      <c r="H243">
        <v>59.77</v>
      </c>
      <c r="I243">
        <v>2</v>
      </c>
      <c r="J243">
        <v>5.9770000000000003</v>
      </c>
      <c r="K243">
        <v>119.54</v>
      </c>
      <c r="L243" s="1">
        <v>43654</v>
      </c>
      <c r="M243" s="2">
        <v>0.50069444444444444</v>
      </c>
      <c r="N243" t="s">
        <v>37</v>
      </c>
      <c r="O243">
        <v>119.54</v>
      </c>
      <c r="P243">
        <v>4.7619047620000003</v>
      </c>
      <c r="Q243">
        <v>0</v>
      </c>
      <c r="R243">
        <v>5.8</v>
      </c>
      <c r="S243">
        <v>96.173500000000004</v>
      </c>
      <c r="T243">
        <v>16.840900000000001</v>
      </c>
    </row>
    <row r="244" spans="1:20" x14ac:dyDescent="0.3">
      <c r="A244" t="s">
        <v>474</v>
      </c>
      <c r="B244" t="s">
        <v>29</v>
      </c>
      <c r="C244" t="s">
        <v>475</v>
      </c>
      <c r="D244" t="s">
        <v>31</v>
      </c>
      <c r="E244" t="s">
        <v>32</v>
      </c>
      <c r="F244" t="s">
        <v>36</v>
      </c>
      <c r="G244" t="s">
        <v>26</v>
      </c>
      <c r="H244">
        <v>93.2</v>
      </c>
      <c r="I244">
        <v>2</v>
      </c>
      <c r="J244">
        <v>9.32</v>
      </c>
      <c r="K244">
        <v>186.4</v>
      </c>
      <c r="L244" s="1">
        <v>43732</v>
      </c>
      <c r="M244" s="2">
        <v>0.77569444444444446</v>
      </c>
      <c r="N244" t="s">
        <v>37</v>
      </c>
      <c r="O244">
        <v>186.4</v>
      </c>
      <c r="P244">
        <v>4.7619047620000003</v>
      </c>
      <c r="Q244">
        <v>0</v>
      </c>
      <c r="R244">
        <v>6.3</v>
      </c>
      <c r="S244">
        <v>96.078500000000005</v>
      </c>
      <c r="T244">
        <v>19.763300000000001</v>
      </c>
    </row>
    <row r="245" spans="1:20" x14ac:dyDescent="0.3">
      <c r="A245" t="s">
        <v>476</v>
      </c>
      <c r="B245" t="s">
        <v>21</v>
      </c>
      <c r="C245" t="s">
        <v>477</v>
      </c>
      <c r="D245" t="s">
        <v>23</v>
      </c>
      <c r="E245" t="s">
        <v>32</v>
      </c>
      <c r="F245" t="s">
        <v>36</v>
      </c>
      <c r="G245" t="s">
        <v>26</v>
      </c>
      <c r="H245">
        <v>62.65</v>
      </c>
      <c r="I245">
        <v>4</v>
      </c>
      <c r="J245">
        <v>12.53</v>
      </c>
      <c r="K245">
        <v>250.6</v>
      </c>
      <c r="L245" s="1">
        <v>43684</v>
      </c>
      <c r="M245" s="2">
        <v>0.47569444444444442</v>
      </c>
      <c r="N245" t="s">
        <v>33</v>
      </c>
      <c r="O245">
        <v>250.6</v>
      </c>
      <c r="P245">
        <v>4.7619047620000003</v>
      </c>
      <c r="Q245">
        <v>0</v>
      </c>
      <c r="R245">
        <v>4.2</v>
      </c>
      <c r="S245">
        <v>96.173500000000004</v>
      </c>
      <c r="T245">
        <v>16.840900000000001</v>
      </c>
    </row>
    <row r="246" spans="1:20" x14ac:dyDescent="0.3">
      <c r="A246" t="s">
        <v>478</v>
      </c>
      <c r="B246" t="s">
        <v>51</v>
      </c>
      <c r="C246" t="s">
        <v>479</v>
      </c>
      <c r="D246" t="s">
        <v>53</v>
      </c>
      <c r="E246" t="s">
        <v>32</v>
      </c>
      <c r="F246" t="s">
        <v>36</v>
      </c>
      <c r="G246" t="s">
        <v>26</v>
      </c>
      <c r="H246">
        <v>93.87</v>
      </c>
      <c r="I246">
        <v>11</v>
      </c>
      <c r="J246">
        <v>51.628500000000003</v>
      </c>
      <c r="K246">
        <v>1032.57</v>
      </c>
      <c r="L246" s="1">
        <v>43471</v>
      </c>
      <c r="M246" s="2">
        <v>0.77916666666666667</v>
      </c>
      <c r="N246" t="s">
        <v>37</v>
      </c>
      <c r="O246">
        <v>750.96</v>
      </c>
      <c r="P246">
        <v>4.7619047620000003</v>
      </c>
      <c r="Q246">
        <v>281.61</v>
      </c>
      <c r="R246">
        <v>9.9600000000000009</v>
      </c>
      <c r="S246">
        <v>96.089100000000002</v>
      </c>
      <c r="T246">
        <v>21.9588</v>
      </c>
    </row>
    <row r="247" spans="1:20" x14ac:dyDescent="0.3">
      <c r="A247" t="s">
        <v>480</v>
      </c>
      <c r="B247" t="s">
        <v>21</v>
      </c>
      <c r="C247" t="s">
        <v>481</v>
      </c>
      <c r="D247" t="s">
        <v>23</v>
      </c>
      <c r="E247" t="s">
        <v>32</v>
      </c>
      <c r="F247" t="s">
        <v>36</v>
      </c>
      <c r="G247" t="s">
        <v>26</v>
      </c>
      <c r="H247">
        <v>47.59</v>
      </c>
      <c r="I247">
        <v>8</v>
      </c>
      <c r="J247">
        <v>19.036000000000001</v>
      </c>
      <c r="K247">
        <v>380.72</v>
      </c>
      <c r="L247" s="1">
        <v>43693</v>
      </c>
      <c r="M247" s="2">
        <v>0.61597222222222225</v>
      </c>
      <c r="N247" t="s">
        <v>33</v>
      </c>
      <c r="O247">
        <v>380.72</v>
      </c>
      <c r="P247">
        <v>4.7619047620000003</v>
      </c>
      <c r="Q247">
        <v>0</v>
      </c>
      <c r="R247">
        <v>5.7</v>
      </c>
      <c r="S247">
        <v>96.173500000000004</v>
      </c>
      <c r="T247">
        <v>16.840900000000001</v>
      </c>
    </row>
    <row r="248" spans="1:20" x14ac:dyDescent="0.3">
      <c r="A248" t="s">
        <v>482</v>
      </c>
      <c r="B248" t="s">
        <v>51</v>
      </c>
      <c r="C248" t="s">
        <v>331</v>
      </c>
      <c r="D248" t="s">
        <v>53</v>
      </c>
      <c r="E248" t="s">
        <v>32</v>
      </c>
      <c r="F248" t="s">
        <v>25</v>
      </c>
      <c r="G248" t="s">
        <v>26</v>
      </c>
      <c r="H248">
        <v>81.400000000000006</v>
      </c>
      <c r="I248">
        <v>4</v>
      </c>
      <c r="J248">
        <v>16.28</v>
      </c>
      <c r="K248">
        <v>325.60000000000002</v>
      </c>
      <c r="L248" s="1">
        <v>43785</v>
      </c>
      <c r="M248" s="2">
        <v>0.82152777777777775</v>
      </c>
      <c r="N248" t="s">
        <v>33</v>
      </c>
      <c r="O248">
        <v>244.2</v>
      </c>
      <c r="P248">
        <v>4.7619047620000003</v>
      </c>
      <c r="Q248">
        <v>81.400000000000006</v>
      </c>
      <c r="R248">
        <v>5.76</v>
      </c>
      <c r="S248">
        <v>96.089100000000002</v>
      </c>
      <c r="T248">
        <v>21.9588</v>
      </c>
    </row>
    <row r="249" spans="1:20" x14ac:dyDescent="0.3">
      <c r="A249" t="s">
        <v>483</v>
      </c>
      <c r="B249" t="s">
        <v>21</v>
      </c>
      <c r="C249" t="s">
        <v>484</v>
      </c>
      <c r="D249" t="s">
        <v>23</v>
      </c>
      <c r="E249" t="s">
        <v>32</v>
      </c>
      <c r="F249" t="s">
        <v>36</v>
      </c>
      <c r="G249" t="s">
        <v>26</v>
      </c>
      <c r="H249">
        <v>17.940000000000001</v>
      </c>
      <c r="I249">
        <v>5</v>
      </c>
      <c r="J249">
        <v>4.4850000000000003</v>
      </c>
      <c r="K249">
        <v>89.7</v>
      </c>
      <c r="L249" s="1">
        <v>43582</v>
      </c>
      <c r="M249" s="2">
        <v>0.58611111111111114</v>
      </c>
      <c r="N249" t="s">
        <v>27</v>
      </c>
      <c r="O249">
        <v>89.7</v>
      </c>
      <c r="P249">
        <v>4.7619047620000003</v>
      </c>
      <c r="Q249">
        <v>0</v>
      </c>
      <c r="R249">
        <v>6.8</v>
      </c>
      <c r="S249">
        <v>96.173500000000004</v>
      </c>
      <c r="T249">
        <v>16.840900000000001</v>
      </c>
    </row>
    <row r="250" spans="1:20" x14ac:dyDescent="0.3">
      <c r="A250" t="s">
        <v>485</v>
      </c>
      <c r="B250" t="s">
        <v>21</v>
      </c>
      <c r="C250" t="s">
        <v>486</v>
      </c>
      <c r="D250" t="s">
        <v>23</v>
      </c>
      <c r="E250" t="s">
        <v>32</v>
      </c>
      <c r="G250" t="s">
        <v>26</v>
      </c>
      <c r="H250">
        <v>77.72</v>
      </c>
      <c r="I250">
        <v>4</v>
      </c>
      <c r="J250">
        <v>15.544</v>
      </c>
      <c r="K250">
        <v>310.88</v>
      </c>
      <c r="L250" s="1">
        <v>43783</v>
      </c>
      <c r="M250" s="2">
        <v>0.6743055555555556</v>
      </c>
      <c r="N250" t="s">
        <v>37</v>
      </c>
      <c r="O250">
        <v>310.88</v>
      </c>
      <c r="P250">
        <v>4.7619047620000003</v>
      </c>
      <c r="Q250">
        <v>0</v>
      </c>
      <c r="R250">
        <v>8.8000000000000007</v>
      </c>
      <c r="S250">
        <v>96.173500000000004</v>
      </c>
      <c r="T250">
        <v>16.840900000000001</v>
      </c>
    </row>
    <row r="251" spans="1:20" x14ac:dyDescent="0.3">
      <c r="A251" t="s">
        <v>487</v>
      </c>
      <c r="B251" t="s">
        <v>51</v>
      </c>
      <c r="C251" t="s">
        <v>83</v>
      </c>
      <c r="D251" t="s">
        <v>53</v>
      </c>
      <c r="E251" t="s">
        <v>32</v>
      </c>
      <c r="G251" t="s">
        <v>26</v>
      </c>
      <c r="H251">
        <v>73.06</v>
      </c>
      <c r="I251">
        <v>10</v>
      </c>
      <c r="J251">
        <v>36.53</v>
      </c>
      <c r="K251">
        <v>730.6</v>
      </c>
      <c r="L251" s="1">
        <v>43824</v>
      </c>
      <c r="M251" s="2">
        <v>0.79583333333333328</v>
      </c>
      <c r="N251" t="s">
        <v>37</v>
      </c>
      <c r="O251">
        <v>511.42</v>
      </c>
      <c r="P251">
        <v>4.7619047620000003</v>
      </c>
      <c r="Q251">
        <v>219.18</v>
      </c>
      <c r="R251">
        <v>5.04</v>
      </c>
      <c r="S251">
        <v>96.089100000000002</v>
      </c>
      <c r="T251">
        <v>21.9588</v>
      </c>
    </row>
    <row r="252" spans="1:20" x14ac:dyDescent="0.3">
      <c r="A252" t="s">
        <v>488</v>
      </c>
      <c r="C252" t="s">
        <v>489</v>
      </c>
      <c r="D252" t="s">
        <v>53</v>
      </c>
      <c r="E252" t="s">
        <v>32</v>
      </c>
      <c r="G252" t="s">
        <v>26</v>
      </c>
      <c r="H252">
        <v>46.55</v>
      </c>
      <c r="I252">
        <v>13</v>
      </c>
      <c r="J252">
        <v>30.2575</v>
      </c>
      <c r="K252">
        <v>605.15</v>
      </c>
      <c r="L252" s="1">
        <v>43713</v>
      </c>
      <c r="M252" s="2">
        <v>0.64861111111111114</v>
      </c>
      <c r="N252" t="s">
        <v>27</v>
      </c>
      <c r="O252">
        <v>418.95</v>
      </c>
      <c r="P252">
        <v>4.7619047620000003</v>
      </c>
      <c r="Q252">
        <v>186.2</v>
      </c>
      <c r="R252">
        <v>7.68</v>
      </c>
      <c r="S252">
        <v>96.089100000000002</v>
      </c>
      <c r="T252">
        <v>21.9588</v>
      </c>
    </row>
    <row r="253" spans="1:20" x14ac:dyDescent="0.3">
      <c r="A253" t="s">
        <v>490</v>
      </c>
      <c r="C253" t="s">
        <v>491</v>
      </c>
      <c r="D253" t="s">
        <v>31</v>
      </c>
      <c r="E253" t="s">
        <v>32</v>
      </c>
      <c r="F253" t="s">
        <v>36</v>
      </c>
      <c r="G253" t="s">
        <v>26</v>
      </c>
      <c r="H253">
        <v>35.19</v>
      </c>
      <c r="I253">
        <v>12</v>
      </c>
      <c r="J253">
        <v>21.114000000000001</v>
      </c>
      <c r="K253">
        <v>422.28</v>
      </c>
      <c r="L253" s="1">
        <v>43761</v>
      </c>
      <c r="M253" s="2">
        <v>0.79583333333333328</v>
      </c>
      <c r="N253" t="s">
        <v>37</v>
      </c>
      <c r="O253">
        <v>351.9</v>
      </c>
      <c r="P253">
        <v>4.7619047620000003</v>
      </c>
      <c r="Q253">
        <v>70.38</v>
      </c>
      <c r="R253">
        <v>8.82</v>
      </c>
      <c r="S253">
        <v>96.078500000000005</v>
      </c>
      <c r="T253">
        <v>19.763300000000001</v>
      </c>
    </row>
    <row r="254" spans="1:20" x14ac:dyDescent="0.3">
      <c r="A254" t="s">
        <v>492</v>
      </c>
      <c r="C254" t="s">
        <v>493</v>
      </c>
      <c r="D254" t="s">
        <v>31</v>
      </c>
      <c r="F254" t="s">
        <v>25</v>
      </c>
      <c r="G254" t="s">
        <v>26</v>
      </c>
      <c r="H254">
        <v>14.39</v>
      </c>
      <c r="I254">
        <v>2</v>
      </c>
      <c r="J254">
        <v>1.4390000000000001</v>
      </c>
      <c r="K254">
        <v>28.78</v>
      </c>
      <c r="L254" s="1">
        <v>43606</v>
      </c>
      <c r="M254" s="2">
        <v>0.82222222222222219</v>
      </c>
      <c r="N254" t="s">
        <v>37</v>
      </c>
      <c r="O254">
        <v>28.78</v>
      </c>
      <c r="P254">
        <v>4.7619047620000003</v>
      </c>
      <c r="Q254">
        <v>0</v>
      </c>
      <c r="R254">
        <v>7.56</v>
      </c>
      <c r="S254">
        <v>96.078500000000005</v>
      </c>
      <c r="T254">
        <v>19.763300000000001</v>
      </c>
    </row>
    <row r="255" spans="1:20" x14ac:dyDescent="0.3">
      <c r="A255" t="s">
        <v>494</v>
      </c>
      <c r="C255" t="s">
        <v>495</v>
      </c>
      <c r="D255" t="s">
        <v>23</v>
      </c>
      <c r="F255" t="s">
        <v>36</v>
      </c>
      <c r="G255" t="s">
        <v>26</v>
      </c>
      <c r="H255">
        <v>23.75</v>
      </c>
      <c r="I255">
        <v>4</v>
      </c>
      <c r="J255">
        <v>4.75</v>
      </c>
      <c r="K255">
        <v>95</v>
      </c>
      <c r="L255" s="1">
        <v>43515</v>
      </c>
      <c r="M255" s="2">
        <v>0.47361111111111109</v>
      </c>
      <c r="N255" t="s">
        <v>33</v>
      </c>
      <c r="O255">
        <v>95</v>
      </c>
      <c r="P255">
        <v>4.7619047620000003</v>
      </c>
      <c r="Q255">
        <v>0</v>
      </c>
      <c r="R255">
        <v>5.2</v>
      </c>
      <c r="S255">
        <v>96.173500000000004</v>
      </c>
      <c r="T255">
        <v>16.840900000000001</v>
      </c>
    </row>
    <row r="256" spans="1:20" x14ac:dyDescent="0.3">
      <c r="A256" t="s">
        <v>496</v>
      </c>
      <c r="C256" t="s">
        <v>311</v>
      </c>
      <c r="D256" t="s">
        <v>23</v>
      </c>
      <c r="F256" t="s">
        <v>36</v>
      </c>
      <c r="G256" t="s">
        <v>26</v>
      </c>
      <c r="H256">
        <v>58.9</v>
      </c>
      <c r="I256">
        <v>8</v>
      </c>
      <c r="J256">
        <v>23.56</v>
      </c>
      <c r="K256">
        <v>471.2</v>
      </c>
      <c r="L256" s="1">
        <v>43720</v>
      </c>
      <c r="M256" s="2">
        <v>0.47430555555555554</v>
      </c>
      <c r="N256" t="s">
        <v>33</v>
      </c>
      <c r="O256">
        <v>471.2</v>
      </c>
      <c r="P256">
        <v>4.7619047620000003</v>
      </c>
      <c r="Q256">
        <v>0</v>
      </c>
      <c r="R256">
        <v>8.9</v>
      </c>
      <c r="S256">
        <v>96.173500000000004</v>
      </c>
      <c r="T256">
        <v>16.840900000000001</v>
      </c>
    </row>
    <row r="257" spans="1:20" x14ac:dyDescent="0.3">
      <c r="A257" t="s">
        <v>497</v>
      </c>
      <c r="C257" t="s">
        <v>498</v>
      </c>
      <c r="D257" t="s">
        <v>53</v>
      </c>
      <c r="F257" t="s">
        <v>36</v>
      </c>
      <c r="G257" t="s">
        <v>26</v>
      </c>
      <c r="H257">
        <v>32.619999999999997</v>
      </c>
      <c r="I257">
        <v>6</v>
      </c>
      <c r="J257">
        <v>9.7859999999999996</v>
      </c>
      <c r="K257">
        <v>195.72</v>
      </c>
      <c r="L257" s="1">
        <v>43637</v>
      </c>
      <c r="M257" s="2">
        <v>0.59166666666666667</v>
      </c>
      <c r="N257" t="s">
        <v>33</v>
      </c>
      <c r="O257">
        <v>130.47999999999999</v>
      </c>
      <c r="P257">
        <v>4.7619047620000003</v>
      </c>
      <c r="Q257">
        <v>65.239999999999995</v>
      </c>
      <c r="R257">
        <v>10</v>
      </c>
      <c r="S257">
        <v>96.089100000000002</v>
      </c>
      <c r="T257">
        <v>21.9588</v>
      </c>
    </row>
    <row r="258" spans="1:20" x14ac:dyDescent="0.3">
      <c r="A258" t="s">
        <v>499</v>
      </c>
      <c r="C258" t="s">
        <v>500</v>
      </c>
      <c r="D258" t="s">
        <v>23</v>
      </c>
      <c r="F258" t="s">
        <v>36</v>
      </c>
      <c r="G258" t="s">
        <v>26</v>
      </c>
      <c r="H258">
        <v>66.349999999999994</v>
      </c>
      <c r="I258">
        <v>1</v>
      </c>
      <c r="J258">
        <v>3.3174999999999999</v>
      </c>
      <c r="K258">
        <v>66.349999999999994</v>
      </c>
      <c r="L258" s="1">
        <v>43496</v>
      </c>
      <c r="M258" s="2">
        <v>0.44861111111111113</v>
      </c>
      <c r="N258" t="s">
        <v>37</v>
      </c>
      <c r="O258">
        <v>66.349999999999994</v>
      </c>
      <c r="P258">
        <v>4.7619047620000003</v>
      </c>
      <c r="Q258">
        <v>0</v>
      </c>
      <c r="R258">
        <v>9.6999999999999993</v>
      </c>
      <c r="S258">
        <v>96.173500000000004</v>
      </c>
      <c r="T258">
        <v>16.840900000000001</v>
      </c>
    </row>
    <row r="259" spans="1:20" x14ac:dyDescent="0.3">
      <c r="A259" t="s">
        <v>501</v>
      </c>
      <c r="C259" t="s">
        <v>502</v>
      </c>
      <c r="D259" t="s">
        <v>23</v>
      </c>
      <c r="E259" t="s">
        <v>32</v>
      </c>
      <c r="F259" t="s">
        <v>36</v>
      </c>
      <c r="G259" t="s">
        <v>26</v>
      </c>
      <c r="H259">
        <v>25.91</v>
      </c>
      <c r="I259">
        <v>6</v>
      </c>
      <c r="J259">
        <v>7.7729999999999997</v>
      </c>
      <c r="K259">
        <v>155.46</v>
      </c>
      <c r="L259" s="1">
        <v>43548</v>
      </c>
      <c r="M259" s="2">
        <v>0.42777777777777776</v>
      </c>
      <c r="N259" t="s">
        <v>27</v>
      </c>
      <c r="O259">
        <v>155.46</v>
      </c>
      <c r="P259">
        <v>4.7619047620000003</v>
      </c>
      <c r="Q259">
        <v>0</v>
      </c>
      <c r="R259">
        <v>8.6999999999999993</v>
      </c>
      <c r="S259">
        <v>96.173500000000004</v>
      </c>
      <c r="T259">
        <v>16.840900000000001</v>
      </c>
    </row>
    <row r="260" spans="1:20" x14ac:dyDescent="0.3">
      <c r="A260" t="s">
        <v>503</v>
      </c>
      <c r="B260" t="s">
        <v>21</v>
      </c>
      <c r="C260" t="s">
        <v>504</v>
      </c>
      <c r="D260" t="s">
        <v>23</v>
      </c>
      <c r="E260" t="s">
        <v>32</v>
      </c>
      <c r="F260" t="s">
        <v>36</v>
      </c>
      <c r="G260" t="s">
        <v>26</v>
      </c>
      <c r="H260">
        <v>32.25</v>
      </c>
      <c r="I260">
        <v>4</v>
      </c>
      <c r="J260">
        <v>6.45</v>
      </c>
      <c r="K260">
        <v>129</v>
      </c>
      <c r="L260" s="1">
        <v>43744</v>
      </c>
      <c r="M260" s="2">
        <v>0.52638888888888891</v>
      </c>
      <c r="N260" t="s">
        <v>27</v>
      </c>
      <c r="O260">
        <v>129</v>
      </c>
      <c r="P260">
        <v>4.7619047620000003</v>
      </c>
      <c r="Q260">
        <v>0</v>
      </c>
      <c r="R260">
        <v>6.5</v>
      </c>
      <c r="S260">
        <v>96.173500000000004</v>
      </c>
      <c r="T260">
        <v>16.840900000000001</v>
      </c>
    </row>
    <row r="261" spans="1:20" x14ac:dyDescent="0.3">
      <c r="A261" t="s">
        <v>505</v>
      </c>
      <c r="B261" t="s">
        <v>29</v>
      </c>
      <c r="C261" t="s">
        <v>506</v>
      </c>
      <c r="D261" t="s">
        <v>31</v>
      </c>
      <c r="E261" t="s">
        <v>32</v>
      </c>
      <c r="F261" t="s">
        <v>36</v>
      </c>
      <c r="G261" t="s">
        <v>26</v>
      </c>
      <c r="H261">
        <v>65.94</v>
      </c>
      <c r="I261">
        <v>5</v>
      </c>
      <c r="K261">
        <v>329.7</v>
      </c>
      <c r="L261" s="1">
        <v>43581</v>
      </c>
      <c r="M261" s="2">
        <v>0.54513888888888884</v>
      </c>
      <c r="N261" t="s">
        <v>37</v>
      </c>
      <c r="O261">
        <v>263.76</v>
      </c>
      <c r="P261">
        <v>4.7619047620000003</v>
      </c>
      <c r="Q261">
        <v>65.94</v>
      </c>
      <c r="R261">
        <v>7.2450000000000001</v>
      </c>
      <c r="S261">
        <v>96.078500000000005</v>
      </c>
      <c r="T261">
        <v>19.763300000000001</v>
      </c>
    </row>
    <row r="262" spans="1:20" x14ac:dyDescent="0.3">
      <c r="A262" t="s">
        <v>507</v>
      </c>
      <c r="B262" t="s">
        <v>21</v>
      </c>
      <c r="C262" t="s">
        <v>161</v>
      </c>
      <c r="D262" t="s">
        <v>23</v>
      </c>
      <c r="E262" t="s">
        <v>32</v>
      </c>
      <c r="F262" t="s">
        <v>25</v>
      </c>
      <c r="G262" t="s">
        <v>26</v>
      </c>
      <c r="H262">
        <v>75.06</v>
      </c>
      <c r="I262">
        <v>9</v>
      </c>
      <c r="K262">
        <v>675.54</v>
      </c>
      <c r="L262" s="1">
        <v>43622</v>
      </c>
      <c r="M262" s="2">
        <v>0.55902777777777779</v>
      </c>
      <c r="N262" t="s">
        <v>27</v>
      </c>
      <c r="O262">
        <v>675.54</v>
      </c>
      <c r="P262">
        <v>4.7619047620000003</v>
      </c>
      <c r="Q262">
        <v>0</v>
      </c>
      <c r="R262">
        <v>6.2</v>
      </c>
      <c r="S262">
        <v>96.173500000000004</v>
      </c>
      <c r="T262">
        <v>16.840900000000001</v>
      </c>
    </row>
    <row r="263" spans="1:20" x14ac:dyDescent="0.3">
      <c r="A263" t="s">
        <v>508</v>
      </c>
      <c r="B263" t="s">
        <v>29</v>
      </c>
      <c r="C263" t="s">
        <v>509</v>
      </c>
      <c r="D263" t="s">
        <v>31</v>
      </c>
      <c r="E263" t="s">
        <v>32</v>
      </c>
      <c r="F263" t="s">
        <v>25</v>
      </c>
      <c r="G263" t="s">
        <v>26</v>
      </c>
      <c r="H263">
        <v>16.45</v>
      </c>
      <c r="I263">
        <v>5</v>
      </c>
      <c r="J263">
        <v>4.1124999999999998</v>
      </c>
      <c r="K263">
        <v>82.25</v>
      </c>
      <c r="L263" s="1">
        <v>43496</v>
      </c>
      <c r="M263" s="2">
        <v>0.62013888888888891</v>
      </c>
      <c r="N263" t="s">
        <v>27</v>
      </c>
      <c r="O263">
        <v>65.8</v>
      </c>
      <c r="P263">
        <v>4.7619047620000003</v>
      </c>
      <c r="Q263">
        <v>16.45</v>
      </c>
      <c r="R263">
        <v>5.88</v>
      </c>
      <c r="S263">
        <v>96.078500000000005</v>
      </c>
      <c r="T263">
        <v>19.763300000000001</v>
      </c>
    </row>
    <row r="264" spans="1:20" x14ac:dyDescent="0.3">
      <c r="A264" t="s">
        <v>510</v>
      </c>
      <c r="B264" t="s">
        <v>51</v>
      </c>
      <c r="C264" t="s">
        <v>55</v>
      </c>
      <c r="D264" t="s">
        <v>53</v>
      </c>
      <c r="E264" t="s">
        <v>32</v>
      </c>
      <c r="F264" t="s">
        <v>25</v>
      </c>
      <c r="G264" t="s">
        <v>26</v>
      </c>
      <c r="H264">
        <v>38.299999999999997</v>
      </c>
      <c r="I264">
        <v>6</v>
      </c>
      <c r="J264">
        <v>11.49</v>
      </c>
      <c r="K264">
        <v>229.8</v>
      </c>
      <c r="L264" s="1">
        <v>43499</v>
      </c>
      <c r="M264" s="2">
        <v>0.80694444444444446</v>
      </c>
      <c r="N264" t="s">
        <v>33</v>
      </c>
      <c r="O264">
        <v>153.19999999999999</v>
      </c>
      <c r="P264">
        <v>4.7619047620000003</v>
      </c>
      <c r="Q264">
        <v>76.599999999999994</v>
      </c>
      <c r="R264">
        <v>6.84</v>
      </c>
      <c r="S264">
        <v>96.089100000000002</v>
      </c>
      <c r="T264">
        <v>21.9588</v>
      </c>
    </row>
    <row r="265" spans="1:20" x14ac:dyDescent="0.3">
      <c r="A265" t="s">
        <v>511</v>
      </c>
      <c r="B265" t="s">
        <v>21</v>
      </c>
      <c r="C265" t="s">
        <v>512</v>
      </c>
      <c r="D265" t="s">
        <v>23</v>
      </c>
      <c r="E265" t="s">
        <v>24</v>
      </c>
      <c r="F265" t="s">
        <v>25</v>
      </c>
      <c r="G265" t="s">
        <v>26</v>
      </c>
      <c r="H265">
        <v>22.24</v>
      </c>
      <c r="I265">
        <v>14</v>
      </c>
      <c r="J265">
        <v>15.568</v>
      </c>
      <c r="K265">
        <v>311.36</v>
      </c>
      <c r="L265" s="1">
        <v>43745</v>
      </c>
      <c r="M265" s="2">
        <v>0.45833333333333331</v>
      </c>
      <c r="N265" t="s">
        <v>33</v>
      </c>
      <c r="O265">
        <v>222.4</v>
      </c>
      <c r="P265">
        <v>4.7619047620000003</v>
      </c>
      <c r="Q265">
        <v>88.96</v>
      </c>
      <c r="R265">
        <v>4.2</v>
      </c>
      <c r="S265">
        <v>96.173500000000004</v>
      </c>
      <c r="T265">
        <v>16.840900000000001</v>
      </c>
    </row>
    <row r="266" spans="1:20" x14ac:dyDescent="0.3">
      <c r="A266" t="s">
        <v>513</v>
      </c>
      <c r="B266" t="s">
        <v>51</v>
      </c>
      <c r="C266" t="s">
        <v>514</v>
      </c>
      <c r="D266" t="s">
        <v>53</v>
      </c>
      <c r="E266" t="s">
        <v>32</v>
      </c>
      <c r="F266" t="s">
        <v>36</v>
      </c>
      <c r="G266" t="s">
        <v>26</v>
      </c>
      <c r="H266">
        <v>54.45</v>
      </c>
      <c r="I266">
        <v>1</v>
      </c>
      <c r="J266">
        <v>2.7225000000000001</v>
      </c>
      <c r="K266">
        <v>54.45</v>
      </c>
      <c r="L266" s="1">
        <v>43590</v>
      </c>
      <c r="M266" s="2">
        <v>0.80833333333333335</v>
      </c>
      <c r="N266" t="s">
        <v>27</v>
      </c>
      <c r="O266">
        <v>54.45</v>
      </c>
      <c r="P266">
        <v>4.7619047620000003</v>
      </c>
      <c r="Q266">
        <v>0</v>
      </c>
      <c r="R266">
        <v>9.48</v>
      </c>
      <c r="S266">
        <v>96.089100000000002</v>
      </c>
      <c r="T266">
        <v>21.9588</v>
      </c>
    </row>
    <row r="267" spans="1:20" x14ac:dyDescent="0.3">
      <c r="A267" t="s">
        <v>515</v>
      </c>
      <c r="B267" t="s">
        <v>21</v>
      </c>
      <c r="C267" t="s">
        <v>516</v>
      </c>
      <c r="D267" t="s">
        <v>23</v>
      </c>
      <c r="E267" t="s">
        <v>24</v>
      </c>
      <c r="F267" t="s">
        <v>25</v>
      </c>
      <c r="G267" t="s">
        <v>68</v>
      </c>
      <c r="H267">
        <v>98.4</v>
      </c>
      <c r="I267">
        <v>10</v>
      </c>
      <c r="J267">
        <v>49.2</v>
      </c>
      <c r="K267">
        <v>984</v>
      </c>
      <c r="L267" s="1">
        <v>43810</v>
      </c>
      <c r="M267" s="2">
        <v>0.52986111111111112</v>
      </c>
      <c r="N267" t="s">
        <v>37</v>
      </c>
      <c r="O267">
        <v>688.8</v>
      </c>
      <c r="P267">
        <v>4.7619047620000003</v>
      </c>
      <c r="Q267">
        <v>295.2</v>
      </c>
      <c r="R267">
        <v>8.6999999999999993</v>
      </c>
      <c r="S267">
        <v>96.173500000000004</v>
      </c>
      <c r="T267">
        <v>16.840900000000001</v>
      </c>
    </row>
    <row r="268" spans="1:20" x14ac:dyDescent="0.3">
      <c r="A268" t="s">
        <v>517</v>
      </c>
      <c r="B268" t="s">
        <v>29</v>
      </c>
      <c r="C268" t="s">
        <v>509</v>
      </c>
      <c r="D268" t="s">
        <v>31</v>
      </c>
      <c r="E268" t="s">
        <v>32</v>
      </c>
      <c r="F268" t="s">
        <v>36</v>
      </c>
      <c r="G268" t="s">
        <v>77</v>
      </c>
      <c r="H268">
        <v>35.47</v>
      </c>
      <c r="I268">
        <v>5</v>
      </c>
      <c r="J268">
        <v>8.8674999999999997</v>
      </c>
      <c r="K268">
        <v>177.35</v>
      </c>
      <c r="L268" s="1">
        <v>43529</v>
      </c>
      <c r="M268" s="2">
        <v>0.72361111111111109</v>
      </c>
      <c r="N268" t="s">
        <v>37</v>
      </c>
      <c r="O268">
        <v>141.88</v>
      </c>
      <c r="P268">
        <v>4.7619047620000003</v>
      </c>
      <c r="Q268">
        <v>35.47</v>
      </c>
      <c r="R268">
        <v>7.2450000000000001</v>
      </c>
      <c r="S268">
        <v>96.078500000000005</v>
      </c>
      <c r="T268">
        <v>19.763300000000001</v>
      </c>
    </row>
    <row r="269" spans="1:20" x14ac:dyDescent="0.3">
      <c r="A269" t="s">
        <v>518</v>
      </c>
      <c r="B269" t="s">
        <v>51</v>
      </c>
      <c r="C269" t="s">
        <v>328</v>
      </c>
      <c r="D269" t="s">
        <v>53</v>
      </c>
      <c r="E269" t="s">
        <v>24</v>
      </c>
      <c r="F269" t="s">
        <v>25</v>
      </c>
      <c r="G269" t="s">
        <v>63</v>
      </c>
      <c r="H269">
        <v>74.599999999999994</v>
      </c>
      <c r="I269">
        <v>20</v>
      </c>
      <c r="J269">
        <v>74.599999999999994</v>
      </c>
      <c r="K269">
        <v>1492</v>
      </c>
      <c r="L269" s="1">
        <v>43483</v>
      </c>
      <c r="M269" s="2">
        <v>0.87152777777777779</v>
      </c>
      <c r="N269" t="s">
        <v>33</v>
      </c>
      <c r="O269">
        <v>746</v>
      </c>
      <c r="P269">
        <v>4.7619047620000003</v>
      </c>
      <c r="Q269">
        <v>746</v>
      </c>
      <c r="R269">
        <v>10</v>
      </c>
      <c r="S269">
        <v>96.089100000000002</v>
      </c>
      <c r="T269">
        <v>21.9588</v>
      </c>
    </row>
    <row r="270" spans="1:20" x14ac:dyDescent="0.3">
      <c r="A270" t="s">
        <v>519</v>
      </c>
      <c r="B270" t="s">
        <v>21</v>
      </c>
      <c r="C270" t="s">
        <v>520</v>
      </c>
      <c r="D270" t="s">
        <v>23</v>
      </c>
      <c r="E270" t="s">
        <v>24</v>
      </c>
      <c r="F270" t="s">
        <v>36</v>
      </c>
      <c r="G270" t="s">
        <v>77</v>
      </c>
      <c r="H270">
        <v>70.739999999999995</v>
      </c>
      <c r="I270">
        <v>6</v>
      </c>
      <c r="J270">
        <v>21.222000000000001</v>
      </c>
      <c r="K270">
        <v>424.44</v>
      </c>
      <c r="L270" s="1">
        <v>43509</v>
      </c>
      <c r="M270" s="2">
        <v>0.67013888888888884</v>
      </c>
      <c r="N270" t="s">
        <v>37</v>
      </c>
      <c r="O270">
        <v>282.95999999999998</v>
      </c>
      <c r="P270">
        <v>4.7619047620000003</v>
      </c>
      <c r="Q270">
        <v>141.47999999999999</v>
      </c>
      <c r="R270">
        <v>4.4000000000000004</v>
      </c>
      <c r="S270">
        <v>96.173500000000004</v>
      </c>
      <c r="T270">
        <v>16.840900000000001</v>
      </c>
    </row>
    <row r="271" spans="1:20" x14ac:dyDescent="0.3">
      <c r="A271" t="s">
        <v>521</v>
      </c>
      <c r="B271" t="s">
        <v>21</v>
      </c>
      <c r="C271" t="s">
        <v>252</v>
      </c>
      <c r="D271" t="s">
        <v>23</v>
      </c>
      <c r="E271" t="s">
        <v>24</v>
      </c>
      <c r="F271" t="s">
        <v>25</v>
      </c>
      <c r="G271" t="s">
        <v>77</v>
      </c>
      <c r="H271">
        <v>35.54</v>
      </c>
      <c r="I271">
        <v>14</v>
      </c>
      <c r="J271">
        <v>24.878</v>
      </c>
      <c r="K271">
        <v>497.56</v>
      </c>
      <c r="L271" s="1">
        <v>43587</v>
      </c>
      <c r="M271" s="2">
        <v>0.56527777777777777</v>
      </c>
      <c r="N271" t="s">
        <v>27</v>
      </c>
      <c r="O271">
        <v>355.4</v>
      </c>
      <c r="P271">
        <v>4.7619047620000003</v>
      </c>
      <c r="Q271">
        <v>142.16</v>
      </c>
      <c r="R271">
        <v>7</v>
      </c>
      <c r="S271">
        <v>96.173500000000004</v>
      </c>
      <c r="T271">
        <v>16.840900000000001</v>
      </c>
    </row>
    <row r="272" spans="1:20" x14ac:dyDescent="0.3">
      <c r="A272" t="s">
        <v>522</v>
      </c>
      <c r="B272" t="s">
        <v>51</v>
      </c>
      <c r="C272" t="s">
        <v>134</v>
      </c>
      <c r="D272" t="s">
        <v>53</v>
      </c>
      <c r="E272" t="s">
        <v>32</v>
      </c>
      <c r="F272" t="s">
        <v>25</v>
      </c>
      <c r="G272" t="s">
        <v>68</v>
      </c>
      <c r="H272">
        <v>67.430000000000007</v>
      </c>
      <c r="I272">
        <v>7</v>
      </c>
      <c r="J272">
        <v>23.6005</v>
      </c>
      <c r="K272">
        <v>472.01</v>
      </c>
      <c r="L272" s="1">
        <v>43765</v>
      </c>
      <c r="M272" s="2">
        <v>0.75902777777777775</v>
      </c>
      <c r="N272" t="s">
        <v>27</v>
      </c>
      <c r="O272">
        <v>337.15</v>
      </c>
      <c r="P272">
        <v>4.7619047620000003</v>
      </c>
      <c r="Q272">
        <v>134.86000000000001</v>
      </c>
      <c r="R272">
        <v>7.56</v>
      </c>
      <c r="S272">
        <v>96.089100000000002</v>
      </c>
      <c r="T272">
        <v>21.9588</v>
      </c>
    </row>
    <row r="273" spans="1:20" x14ac:dyDescent="0.3">
      <c r="A273" t="s">
        <v>523</v>
      </c>
      <c r="B273" t="s">
        <v>29</v>
      </c>
      <c r="C273" t="s">
        <v>524</v>
      </c>
      <c r="D273" t="s">
        <v>31</v>
      </c>
      <c r="E273" t="s">
        <v>24</v>
      </c>
      <c r="F273" t="s">
        <v>25</v>
      </c>
      <c r="G273" t="s">
        <v>26</v>
      </c>
      <c r="H273">
        <v>21.12</v>
      </c>
      <c r="I273">
        <v>3</v>
      </c>
      <c r="J273">
        <v>3.1680000000000001</v>
      </c>
      <c r="K273">
        <v>63.36</v>
      </c>
      <c r="L273" s="1">
        <v>43537</v>
      </c>
      <c r="M273" s="2">
        <v>0.80347222222222225</v>
      </c>
      <c r="N273" t="s">
        <v>33</v>
      </c>
      <c r="O273">
        <v>42.24</v>
      </c>
      <c r="P273">
        <v>4.7619047620000003</v>
      </c>
      <c r="Q273">
        <v>21.12</v>
      </c>
      <c r="R273">
        <v>10</v>
      </c>
      <c r="S273">
        <v>96.078500000000005</v>
      </c>
      <c r="T273">
        <v>19.763300000000001</v>
      </c>
    </row>
    <row r="274" spans="1:20" x14ac:dyDescent="0.3">
      <c r="A274" t="s">
        <v>525</v>
      </c>
      <c r="B274" t="s">
        <v>21</v>
      </c>
      <c r="C274" t="s">
        <v>526</v>
      </c>
      <c r="D274" t="s">
        <v>23</v>
      </c>
      <c r="E274" t="s">
        <v>24</v>
      </c>
      <c r="F274" t="s">
        <v>25</v>
      </c>
      <c r="G274" t="s">
        <v>77</v>
      </c>
      <c r="H274">
        <v>21.54</v>
      </c>
      <c r="I274">
        <v>13</v>
      </c>
      <c r="J274">
        <v>14.000999999999999</v>
      </c>
      <c r="K274">
        <v>280.02</v>
      </c>
      <c r="L274" s="1">
        <v>43526</v>
      </c>
      <c r="M274" s="2">
        <v>0.48888888888888887</v>
      </c>
      <c r="N274" t="s">
        <v>37</v>
      </c>
      <c r="O274">
        <v>193.86</v>
      </c>
      <c r="P274">
        <v>4.7619047620000003</v>
      </c>
      <c r="Q274">
        <v>86.16</v>
      </c>
      <c r="R274">
        <v>8.8000000000000007</v>
      </c>
      <c r="S274">
        <v>96.173500000000004</v>
      </c>
      <c r="T274">
        <v>16.840900000000001</v>
      </c>
    </row>
    <row r="275" spans="1:20" x14ac:dyDescent="0.3">
      <c r="A275" t="s">
        <v>527</v>
      </c>
      <c r="B275" t="s">
        <v>21</v>
      </c>
      <c r="C275" t="s">
        <v>435</v>
      </c>
      <c r="D275" t="s">
        <v>23</v>
      </c>
      <c r="E275" t="s">
        <v>32</v>
      </c>
      <c r="F275" t="s">
        <v>25</v>
      </c>
      <c r="G275" t="s">
        <v>77</v>
      </c>
      <c r="H275">
        <v>12.03</v>
      </c>
      <c r="I275">
        <v>2</v>
      </c>
      <c r="J275">
        <v>1.2030000000000001</v>
      </c>
      <c r="K275">
        <v>24.06</v>
      </c>
      <c r="L275" s="1">
        <v>43671</v>
      </c>
      <c r="M275" s="2">
        <v>0.66041666666666665</v>
      </c>
      <c r="N275" t="s">
        <v>33</v>
      </c>
      <c r="O275">
        <v>24.06</v>
      </c>
      <c r="P275">
        <v>4.7619047620000003</v>
      </c>
      <c r="Q275">
        <v>0</v>
      </c>
      <c r="R275">
        <v>5.0999999999999996</v>
      </c>
      <c r="S275">
        <v>96.173500000000004</v>
      </c>
      <c r="T275">
        <v>16.840900000000001</v>
      </c>
    </row>
    <row r="276" spans="1:20" x14ac:dyDescent="0.3">
      <c r="A276" t="s">
        <v>528</v>
      </c>
      <c r="B276" t="s">
        <v>51</v>
      </c>
      <c r="C276" t="s">
        <v>529</v>
      </c>
      <c r="D276" t="s">
        <v>53</v>
      </c>
      <c r="E276" t="s">
        <v>32</v>
      </c>
      <c r="F276" t="s">
        <v>25</v>
      </c>
      <c r="G276" t="s">
        <v>26</v>
      </c>
      <c r="H276">
        <v>99.71</v>
      </c>
      <c r="I276">
        <v>8</v>
      </c>
      <c r="J276">
        <v>39.884</v>
      </c>
      <c r="K276">
        <v>797.68</v>
      </c>
      <c r="L276" s="1">
        <v>43557</v>
      </c>
      <c r="M276" s="2">
        <v>0.70277777777777772</v>
      </c>
      <c r="N276" t="s">
        <v>27</v>
      </c>
      <c r="O276">
        <v>598.26</v>
      </c>
      <c r="P276">
        <v>4.7619047620000003</v>
      </c>
      <c r="Q276">
        <v>199.42</v>
      </c>
      <c r="R276">
        <v>9.48</v>
      </c>
      <c r="S276">
        <v>96.089100000000002</v>
      </c>
      <c r="T276">
        <v>21.9588</v>
      </c>
    </row>
    <row r="277" spans="1:20" x14ac:dyDescent="0.3">
      <c r="A277" t="s">
        <v>530</v>
      </c>
      <c r="B277" t="s">
        <v>51</v>
      </c>
      <c r="C277" t="s">
        <v>531</v>
      </c>
      <c r="D277" t="s">
        <v>53</v>
      </c>
      <c r="E277" t="s">
        <v>32</v>
      </c>
      <c r="F277" t="s">
        <v>36</v>
      </c>
      <c r="G277" t="s">
        <v>100</v>
      </c>
      <c r="H277">
        <v>47.97</v>
      </c>
      <c r="I277">
        <v>10</v>
      </c>
      <c r="J277">
        <v>23.984999999999999</v>
      </c>
      <c r="K277">
        <v>479.7</v>
      </c>
      <c r="L277" s="1">
        <v>43706</v>
      </c>
      <c r="M277" s="2">
        <v>0.86944444444444446</v>
      </c>
      <c r="N277" t="s">
        <v>33</v>
      </c>
      <c r="O277">
        <v>335.79</v>
      </c>
      <c r="P277">
        <v>4.7619047620000003</v>
      </c>
      <c r="Q277">
        <v>143.91</v>
      </c>
      <c r="R277">
        <v>7.44</v>
      </c>
      <c r="S277">
        <v>96.089100000000002</v>
      </c>
      <c r="T277">
        <v>21.9588</v>
      </c>
    </row>
    <row r="278" spans="1:20" x14ac:dyDescent="0.3">
      <c r="A278" t="s">
        <v>532</v>
      </c>
      <c r="B278" t="s">
        <v>29</v>
      </c>
      <c r="C278" t="s">
        <v>190</v>
      </c>
      <c r="D278" t="s">
        <v>31</v>
      </c>
      <c r="E278" t="s">
        <v>24</v>
      </c>
      <c r="F278" t="s">
        <v>25</v>
      </c>
      <c r="G278" t="s">
        <v>77</v>
      </c>
      <c r="H278">
        <v>21.82</v>
      </c>
      <c r="I278">
        <v>17</v>
      </c>
      <c r="J278">
        <v>18.547000000000001</v>
      </c>
      <c r="K278">
        <v>370.94</v>
      </c>
      <c r="L278" s="1">
        <v>43722</v>
      </c>
      <c r="M278" s="2">
        <v>0.73333333333333328</v>
      </c>
      <c r="N278" t="s">
        <v>33</v>
      </c>
      <c r="O278">
        <v>218.2</v>
      </c>
      <c r="P278">
        <v>4.7619047620000003</v>
      </c>
      <c r="Q278">
        <v>152.74</v>
      </c>
      <c r="R278">
        <v>7.4550000000000001</v>
      </c>
      <c r="S278">
        <v>96.078500000000005</v>
      </c>
      <c r="T278">
        <v>19.763300000000001</v>
      </c>
    </row>
    <row r="279" spans="1:20" x14ac:dyDescent="0.3">
      <c r="A279" t="s">
        <v>533</v>
      </c>
      <c r="B279" t="s">
        <v>29</v>
      </c>
      <c r="C279" t="s">
        <v>534</v>
      </c>
      <c r="D279" t="s">
        <v>31</v>
      </c>
      <c r="E279" t="s">
        <v>32</v>
      </c>
      <c r="F279" t="s">
        <v>25</v>
      </c>
      <c r="G279" t="s">
        <v>100</v>
      </c>
      <c r="H279">
        <v>95.42</v>
      </c>
      <c r="I279">
        <v>5</v>
      </c>
      <c r="J279">
        <v>23.855</v>
      </c>
      <c r="K279">
        <v>477.1</v>
      </c>
      <c r="L279" s="1">
        <v>43708</v>
      </c>
      <c r="M279" s="2">
        <v>0.55763888888888891</v>
      </c>
      <c r="N279" t="s">
        <v>27</v>
      </c>
      <c r="O279">
        <v>381.68</v>
      </c>
      <c r="P279">
        <v>4.7619047620000003</v>
      </c>
      <c r="Q279">
        <v>95.42</v>
      </c>
      <c r="R279">
        <v>6.72</v>
      </c>
      <c r="S279">
        <v>96.078500000000005</v>
      </c>
      <c r="T279">
        <v>19.763300000000001</v>
      </c>
    </row>
    <row r="280" spans="1:20" x14ac:dyDescent="0.3">
      <c r="A280" t="s">
        <v>535</v>
      </c>
      <c r="B280" t="s">
        <v>29</v>
      </c>
      <c r="C280" t="s">
        <v>536</v>
      </c>
      <c r="D280" t="s">
        <v>31</v>
      </c>
      <c r="E280" t="s">
        <v>24</v>
      </c>
      <c r="F280" t="s">
        <v>36</v>
      </c>
      <c r="G280" t="s">
        <v>100</v>
      </c>
      <c r="H280">
        <v>70.989999999999995</v>
      </c>
      <c r="I280">
        <v>17</v>
      </c>
      <c r="K280">
        <v>1206.83</v>
      </c>
      <c r="L280" s="1">
        <v>43658</v>
      </c>
      <c r="M280" s="2">
        <v>0.68611111111111112</v>
      </c>
      <c r="N280" t="s">
        <v>33</v>
      </c>
      <c r="O280">
        <v>709.9</v>
      </c>
      <c r="P280">
        <v>4.7619047620000003</v>
      </c>
      <c r="Q280">
        <v>496.93</v>
      </c>
      <c r="R280">
        <v>5.9850000000000003</v>
      </c>
      <c r="S280">
        <v>96.078500000000005</v>
      </c>
      <c r="T280">
        <v>19.763300000000001</v>
      </c>
    </row>
    <row r="281" spans="1:20" x14ac:dyDescent="0.3">
      <c r="A281" t="s">
        <v>537</v>
      </c>
      <c r="B281" t="s">
        <v>21</v>
      </c>
      <c r="C281" t="s">
        <v>538</v>
      </c>
      <c r="D281" t="s">
        <v>23</v>
      </c>
      <c r="E281" t="s">
        <v>24</v>
      </c>
      <c r="F281" t="s">
        <v>36</v>
      </c>
      <c r="G281" t="s">
        <v>68</v>
      </c>
      <c r="H281">
        <v>44.02</v>
      </c>
      <c r="I281">
        <v>14</v>
      </c>
      <c r="J281">
        <v>30.814</v>
      </c>
      <c r="K281">
        <v>616.28</v>
      </c>
      <c r="L281" s="1">
        <v>43572</v>
      </c>
      <c r="M281" s="2">
        <v>0.83125000000000004</v>
      </c>
      <c r="N281" t="s">
        <v>37</v>
      </c>
      <c r="O281">
        <v>440.2</v>
      </c>
      <c r="P281">
        <v>4.7619047620000003</v>
      </c>
      <c r="Q281">
        <v>176.08</v>
      </c>
      <c r="R281">
        <v>9.6</v>
      </c>
      <c r="S281">
        <v>96.173500000000004</v>
      </c>
      <c r="T281">
        <v>16.840900000000001</v>
      </c>
    </row>
    <row r="282" spans="1:20" x14ac:dyDescent="0.3">
      <c r="A282" t="s">
        <v>539</v>
      </c>
      <c r="B282" t="s">
        <v>21</v>
      </c>
      <c r="C282" t="s">
        <v>540</v>
      </c>
      <c r="D282" t="s">
        <v>23</v>
      </c>
      <c r="E282" t="s">
        <v>32</v>
      </c>
      <c r="F282" t="s">
        <v>25</v>
      </c>
      <c r="G282" t="s">
        <v>77</v>
      </c>
      <c r="H282">
        <v>69.959999999999994</v>
      </c>
      <c r="I282">
        <v>8</v>
      </c>
      <c r="J282">
        <v>27.984000000000002</v>
      </c>
      <c r="K282">
        <v>559.67999999999995</v>
      </c>
      <c r="L282" s="1">
        <v>43482</v>
      </c>
      <c r="M282" s="2">
        <v>0.70902777777777781</v>
      </c>
      <c r="N282" t="s">
        <v>37</v>
      </c>
      <c r="O282">
        <v>559.67999999999995</v>
      </c>
      <c r="P282">
        <v>4.7619047620000003</v>
      </c>
      <c r="Q282">
        <v>0</v>
      </c>
      <c r="R282">
        <v>6.4</v>
      </c>
      <c r="S282">
        <v>96.173500000000004</v>
      </c>
      <c r="T282">
        <v>16.840900000000001</v>
      </c>
    </row>
    <row r="283" spans="1:20" x14ac:dyDescent="0.3">
      <c r="A283" t="s">
        <v>541</v>
      </c>
      <c r="B283" t="s">
        <v>29</v>
      </c>
      <c r="C283" t="s">
        <v>278</v>
      </c>
      <c r="D283" t="s">
        <v>31</v>
      </c>
      <c r="E283" t="s">
        <v>32</v>
      </c>
      <c r="F283" t="s">
        <v>36</v>
      </c>
      <c r="G283" t="s">
        <v>77</v>
      </c>
      <c r="H283">
        <v>37</v>
      </c>
      <c r="I283">
        <v>1</v>
      </c>
      <c r="J283">
        <v>1.85</v>
      </c>
      <c r="K283">
        <v>37</v>
      </c>
      <c r="L283" s="1">
        <v>43660</v>
      </c>
      <c r="M283" s="2">
        <v>0.56180555555555556</v>
      </c>
      <c r="N283" t="s">
        <v>37</v>
      </c>
      <c r="O283">
        <v>37</v>
      </c>
      <c r="P283">
        <v>4.7619047620000003</v>
      </c>
      <c r="Q283">
        <v>0</v>
      </c>
      <c r="R283">
        <v>8.2949999999999999</v>
      </c>
      <c r="S283">
        <v>96.078500000000005</v>
      </c>
      <c r="T283">
        <v>19.763300000000001</v>
      </c>
    </row>
    <row r="284" spans="1:20" x14ac:dyDescent="0.3">
      <c r="A284" t="s">
        <v>542</v>
      </c>
      <c r="B284" t="s">
        <v>21</v>
      </c>
      <c r="C284" t="s">
        <v>543</v>
      </c>
      <c r="D284" t="s">
        <v>23</v>
      </c>
      <c r="E284" t="s">
        <v>32</v>
      </c>
      <c r="F284" t="s">
        <v>25</v>
      </c>
      <c r="H284">
        <v>15.34</v>
      </c>
      <c r="I284">
        <v>1</v>
      </c>
      <c r="J284">
        <v>0.76700000000000002</v>
      </c>
      <c r="K284">
        <v>15.34</v>
      </c>
      <c r="L284" s="1">
        <v>43809</v>
      </c>
      <c r="M284" s="2">
        <v>0.46458333333333335</v>
      </c>
      <c r="N284" t="s">
        <v>33</v>
      </c>
      <c r="O284">
        <v>15.34</v>
      </c>
      <c r="P284">
        <v>4.7619047620000003</v>
      </c>
      <c r="Q284">
        <v>0</v>
      </c>
      <c r="R284">
        <v>6.5</v>
      </c>
      <c r="S284">
        <v>96.173500000000004</v>
      </c>
      <c r="T284">
        <v>16.840900000000001</v>
      </c>
    </row>
    <row r="285" spans="1:20" x14ac:dyDescent="0.3">
      <c r="A285" t="s">
        <v>544</v>
      </c>
      <c r="B285" t="s">
        <v>21</v>
      </c>
      <c r="C285" t="s">
        <v>380</v>
      </c>
      <c r="D285" t="s">
        <v>23</v>
      </c>
      <c r="E285" t="s">
        <v>24</v>
      </c>
      <c r="F285" t="s">
        <v>36</v>
      </c>
      <c r="H285">
        <v>99.83</v>
      </c>
      <c r="I285">
        <v>8</v>
      </c>
      <c r="J285">
        <v>39.932000000000002</v>
      </c>
      <c r="K285">
        <v>798.64</v>
      </c>
      <c r="L285" s="1">
        <v>43481</v>
      </c>
      <c r="M285" s="2">
        <v>0.62638888888888888</v>
      </c>
      <c r="N285" t="s">
        <v>27</v>
      </c>
      <c r="O285">
        <v>598.98</v>
      </c>
      <c r="P285">
        <v>4.7619047620000003</v>
      </c>
      <c r="Q285">
        <v>199.66</v>
      </c>
      <c r="R285">
        <v>8.5</v>
      </c>
      <c r="S285">
        <v>96.173500000000004</v>
      </c>
      <c r="T285">
        <v>16.840900000000001</v>
      </c>
    </row>
    <row r="286" spans="1:20" x14ac:dyDescent="0.3">
      <c r="A286" t="s">
        <v>545</v>
      </c>
      <c r="B286" t="s">
        <v>21</v>
      </c>
      <c r="C286" t="s">
        <v>546</v>
      </c>
      <c r="D286" t="s">
        <v>23</v>
      </c>
      <c r="E286" t="s">
        <v>24</v>
      </c>
      <c r="F286" t="s">
        <v>25</v>
      </c>
      <c r="H286">
        <v>47.67</v>
      </c>
      <c r="I286">
        <v>6</v>
      </c>
      <c r="J286">
        <v>14.301</v>
      </c>
      <c r="K286">
        <v>286.02</v>
      </c>
      <c r="L286" s="1">
        <v>43686</v>
      </c>
      <c r="M286" s="2">
        <v>0.59791666666666665</v>
      </c>
      <c r="N286" t="s">
        <v>33</v>
      </c>
      <c r="O286">
        <v>190.68</v>
      </c>
      <c r="P286">
        <v>4.7619047620000003</v>
      </c>
      <c r="Q286">
        <v>95.34</v>
      </c>
      <c r="R286">
        <v>9.1</v>
      </c>
      <c r="S286">
        <v>96.173500000000004</v>
      </c>
      <c r="T286">
        <v>16.840900000000001</v>
      </c>
    </row>
    <row r="287" spans="1:20" x14ac:dyDescent="0.3">
      <c r="A287" t="s">
        <v>547</v>
      </c>
      <c r="B287" t="s">
        <v>51</v>
      </c>
      <c r="C287" t="s">
        <v>145</v>
      </c>
      <c r="D287" t="s">
        <v>53</v>
      </c>
      <c r="E287" t="s">
        <v>32</v>
      </c>
      <c r="F287" t="s">
        <v>36</v>
      </c>
      <c r="H287">
        <v>66.680000000000007</v>
      </c>
      <c r="I287">
        <v>7</v>
      </c>
      <c r="J287">
        <v>23.338000000000001</v>
      </c>
      <c r="K287">
        <v>466.76</v>
      </c>
      <c r="L287" s="1">
        <v>43670</v>
      </c>
      <c r="M287" s="2">
        <v>0.75069444444444444</v>
      </c>
      <c r="N287" t="s">
        <v>33</v>
      </c>
      <c r="O287">
        <v>333.4</v>
      </c>
      <c r="P287">
        <v>4.7619047620000003</v>
      </c>
      <c r="Q287">
        <v>133.36000000000001</v>
      </c>
      <c r="R287">
        <v>9.1199999999999992</v>
      </c>
      <c r="S287">
        <v>96.089100000000002</v>
      </c>
      <c r="T287">
        <v>21.9588</v>
      </c>
    </row>
    <row r="288" spans="1:20" x14ac:dyDescent="0.3">
      <c r="A288" t="s">
        <v>548</v>
      </c>
      <c r="B288" t="s">
        <v>29</v>
      </c>
      <c r="C288" t="s">
        <v>549</v>
      </c>
      <c r="D288" t="s">
        <v>31</v>
      </c>
      <c r="E288" t="s">
        <v>24</v>
      </c>
      <c r="F288" t="s">
        <v>36</v>
      </c>
      <c r="H288">
        <v>74.86</v>
      </c>
      <c r="I288">
        <v>1</v>
      </c>
      <c r="J288">
        <v>3.7429999999999999</v>
      </c>
      <c r="K288">
        <v>74.86</v>
      </c>
      <c r="L288" s="1">
        <v>43770</v>
      </c>
      <c r="M288" s="2">
        <v>0.61736111111111114</v>
      </c>
      <c r="N288" t="s">
        <v>33</v>
      </c>
      <c r="O288">
        <v>74.86</v>
      </c>
      <c r="P288">
        <v>4.7619047620000003</v>
      </c>
      <c r="Q288">
        <v>0</v>
      </c>
      <c r="R288">
        <v>7.2450000000000001</v>
      </c>
      <c r="S288">
        <v>96.078500000000005</v>
      </c>
      <c r="T288">
        <v>19.763300000000001</v>
      </c>
    </row>
    <row r="289" spans="1:20" x14ac:dyDescent="0.3">
      <c r="A289" t="s">
        <v>550</v>
      </c>
      <c r="B289" t="s">
        <v>29</v>
      </c>
      <c r="C289" t="s">
        <v>199</v>
      </c>
      <c r="D289" t="s">
        <v>31</v>
      </c>
      <c r="E289" t="s">
        <v>32</v>
      </c>
      <c r="F289" t="s">
        <v>25</v>
      </c>
      <c r="H289">
        <v>23.75</v>
      </c>
      <c r="I289">
        <v>11</v>
      </c>
      <c r="J289">
        <v>13.0625</v>
      </c>
      <c r="K289">
        <v>261.25</v>
      </c>
      <c r="L289" s="1">
        <v>43652</v>
      </c>
      <c r="M289" s="2">
        <v>0.50138888888888888</v>
      </c>
      <c r="N289" t="s">
        <v>33</v>
      </c>
      <c r="O289">
        <v>213.75</v>
      </c>
      <c r="P289">
        <v>4.7619047620000003</v>
      </c>
      <c r="Q289">
        <v>47.5</v>
      </c>
      <c r="R289">
        <v>9.9749999999999996</v>
      </c>
      <c r="S289">
        <v>96.078500000000005</v>
      </c>
      <c r="T289">
        <v>19.763300000000001</v>
      </c>
    </row>
    <row r="290" spans="1:20" x14ac:dyDescent="0.3">
      <c r="A290" t="s">
        <v>551</v>
      </c>
      <c r="B290" t="s">
        <v>51</v>
      </c>
      <c r="C290" t="s">
        <v>175</v>
      </c>
      <c r="D290" t="s">
        <v>53</v>
      </c>
      <c r="E290" t="s">
        <v>32</v>
      </c>
      <c r="F290" t="s">
        <v>25</v>
      </c>
      <c r="H290">
        <v>48.51</v>
      </c>
      <c r="I290">
        <v>10</v>
      </c>
      <c r="J290">
        <v>24.254999999999999</v>
      </c>
      <c r="K290">
        <v>485.1</v>
      </c>
      <c r="L290" s="1">
        <v>43770</v>
      </c>
      <c r="M290" s="2">
        <v>0.5625</v>
      </c>
      <c r="N290" t="s">
        <v>37</v>
      </c>
      <c r="O290">
        <v>339.57</v>
      </c>
      <c r="P290">
        <v>4.7619047620000003</v>
      </c>
      <c r="Q290">
        <v>145.53</v>
      </c>
      <c r="R290">
        <v>6.24</v>
      </c>
      <c r="S290">
        <v>96.089100000000002</v>
      </c>
      <c r="T290">
        <v>21.9588</v>
      </c>
    </row>
    <row r="291" spans="1:20" x14ac:dyDescent="0.3">
      <c r="A291" t="s">
        <v>552</v>
      </c>
      <c r="B291" t="s">
        <v>21</v>
      </c>
      <c r="C291" t="s">
        <v>35</v>
      </c>
      <c r="D291" t="s">
        <v>23</v>
      </c>
      <c r="E291" t="s">
        <v>24</v>
      </c>
      <c r="F291" t="s">
        <v>25</v>
      </c>
      <c r="H291">
        <v>94.88</v>
      </c>
      <c r="I291">
        <v>10</v>
      </c>
      <c r="J291">
        <v>47.44</v>
      </c>
      <c r="K291">
        <v>948.8</v>
      </c>
      <c r="L291" s="1">
        <v>43794</v>
      </c>
      <c r="M291" s="2">
        <v>0.60972222222222228</v>
      </c>
      <c r="N291" t="s">
        <v>33</v>
      </c>
      <c r="O291">
        <v>664.16</v>
      </c>
      <c r="P291">
        <v>4.7619047620000003</v>
      </c>
      <c r="Q291">
        <v>284.64</v>
      </c>
      <c r="R291">
        <v>4.2</v>
      </c>
      <c r="S291">
        <v>96.173500000000004</v>
      </c>
      <c r="T291">
        <v>16.840900000000001</v>
      </c>
    </row>
    <row r="292" spans="1:20" x14ac:dyDescent="0.3">
      <c r="A292" t="s">
        <v>553</v>
      </c>
      <c r="B292" t="s">
        <v>51</v>
      </c>
      <c r="C292" t="s">
        <v>141</v>
      </c>
      <c r="D292" t="s">
        <v>53</v>
      </c>
      <c r="E292" t="s">
        <v>24</v>
      </c>
      <c r="F292" t="s">
        <v>36</v>
      </c>
      <c r="H292">
        <v>40.299999999999997</v>
      </c>
      <c r="I292">
        <v>20</v>
      </c>
      <c r="J292">
        <v>40.299999999999997</v>
      </c>
      <c r="K292">
        <v>806</v>
      </c>
      <c r="L292" s="1">
        <v>43504</v>
      </c>
      <c r="M292" s="2">
        <v>0.73402777777777772</v>
      </c>
      <c r="N292" t="s">
        <v>37</v>
      </c>
      <c r="O292">
        <v>403</v>
      </c>
      <c r="P292">
        <v>4.7619047620000003</v>
      </c>
      <c r="Q292">
        <v>403</v>
      </c>
      <c r="R292">
        <v>8.4</v>
      </c>
      <c r="S292">
        <v>96.089100000000002</v>
      </c>
      <c r="T292">
        <v>21.9588</v>
      </c>
    </row>
    <row r="293" spans="1:20" x14ac:dyDescent="0.3">
      <c r="A293" t="s">
        <v>554</v>
      </c>
      <c r="B293" t="s">
        <v>29</v>
      </c>
      <c r="C293" t="s">
        <v>555</v>
      </c>
      <c r="D293" t="s">
        <v>31</v>
      </c>
      <c r="E293" t="s">
        <v>32</v>
      </c>
      <c r="F293" t="s">
        <v>36</v>
      </c>
      <c r="H293">
        <v>27.85</v>
      </c>
      <c r="I293">
        <v>8</v>
      </c>
      <c r="J293">
        <v>11.14</v>
      </c>
      <c r="K293">
        <v>222.8</v>
      </c>
      <c r="L293" s="1">
        <v>43542</v>
      </c>
      <c r="M293" s="2">
        <v>0.72222222222222221</v>
      </c>
      <c r="N293" t="s">
        <v>27</v>
      </c>
      <c r="O293">
        <v>194.95</v>
      </c>
      <c r="P293">
        <v>4.7619047620000003</v>
      </c>
      <c r="Q293">
        <v>27.85</v>
      </c>
      <c r="R293">
        <v>6.3</v>
      </c>
      <c r="S293">
        <v>96.078500000000005</v>
      </c>
      <c r="T293">
        <v>19.763300000000001</v>
      </c>
    </row>
    <row r="294" spans="1:20" x14ac:dyDescent="0.3">
      <c r="A294" t="s">
        <v>556</v>
      </c>
      <c r="B294" t="s">
        <v>21</v>
      </c>
      <c r="C294" t="s">
        <v>557</v>
      </c>
      <c r="D294" t="s">
        <v>23</v>
      </c>
      <c r="E294" t="s">
        <v>24</v>
      </c>
      <c r="F294" t="s">
        <v>25</v>
      </c>
      <c r="H294">
        <v>62.48</v>
      </c>
      <c r="I294">
        <v>1</v>
      </c>
      <c r="J294">
        <v>3.1240000000000001</v>
      </c>
      <c r="K294">
        <v>62.48</v>
      </c>
      <c r="L294" s="1">
        <v>43495</v>
      </c>
      <c r="M294" s="2">
        <v>0.85347222222222219</v>
      </c>
      <c r="N294" t="s">
        <v>33</v>
      </c>
      <c r="O294">
        <v>62.48</v>
      </c>
      <c r="P294">
        <v>4.7619047620000003</v>
      </c>
      <c r="Q294">
        <v>0</v>
      </c>
      <c r="R294">
        <v>4.7</v>
      </c>
      <c r="S294">
        <v>96.173500000000004</v>
      </c>
      <c r="T294">
        <v>16.840900000000001</v>
      </c>
    </row>
    <row r="295" spans="1:20" x14ac:dyDescent="0.3">
      <c r="A295" t="s">
        <v>558</v>
      </c>
      <c r="B295" t="s">
        <v>21</v>
      </c>
      <c r="C295" t="s">
        <v>559</v>
      </c>
      <c r="D295" t="s">
        <v>23</v>
      </c>
      <c r="E295" t="s">
        <v>24</v>
      </c>
      <c r="F295" t="s">
        <v>25</v>
      </c>
      <c r="H295">
        <v>36.36</v>
      </c>
      <c r="I295">
        <v>3</v>
      </c>
      <c r="J295">
        <v>5.4539999999999997</v>
      </c>
      <c r="K295">
        <v>109.08</v>
      </c>
      <c r="L295" s="1">
        <v>43648</v>
      </c>
      <c r="M295" s="2">
        <v>0.41666666666666669</v>
      </c>
      <c r="N295" t="s">
        <v>33</v>
      </c>
      <c r="O295">
        <v>72.72</v>
      </c>
      <c r="P295">
        <v>4.7619047620000003</v>
      </c>
      <c r="Q295">
        <v>36.36</v>
      </c>
      <c r="R295">
        <v>7.1</v>
      </c>
      <c r="S295">
        <v>96.173500000000004</v>
      </c>
      <c r="T295">
        <v>16.840900000000001</v>
      </c>
    </row>
    <row r="296" spans="1:20" x14ac:dyDescent="0.3">
      <c r="A296" t="s">
        <v>560</v>
      </c>
      <c r="B296" t="s">
        <v>51</v>
      </c>
      <c r="C296" t="s">
        <v>328</v>
      </c>
      <c r="D296" t="s">
        <v>53</v>
      </c>
      <c r="E296" t="s">
        <v>32</v>
      </c>
      <c r="F296" t="s">
        <v>36</v>
      </c>
      <c r="H296">
        <v>18.11</v>
      </c>
      <c r="I296">
        <v>14</v>
      </c>
      <c r="J296">
        <v>12.677</v>
      </c>
      <c r="K296">
        <v>253.54</v>
      </c>
      <c r="L296" s="1">
        <v>43644</v>
      </c>
      <c r="M296" s="2">
        <v>0.49027777777777776</v>
      </c>
      <c r="N296" t="s">
        <v>27</v>
      </c>
      <c r="O296">
        <v>181.1</v>
      </c>
      <c r="P296">
        <v>4.7619047620000003</v>
      </c>
      <c r="Q296">
        <v>72.44</v>
      </c>
      <c r="R296">
        <v>7.08</v>
      </c>
      <c r="S296">
        <v>96.089100000000002</v>
      </c>
      <c r="T296">
        <v>21.9588</v>
      </c>
    </row>
    <row r="297" spans="1:20" x14ac:dyDescent="0.3">
      <c r="A297" t="s">
        <v>561</v>
      </c>
      <c r="B297" t="s">
        <v>29</v>
      </c>
      <c r="C297" t="s">
        <v>303</v>
      </c>
      <c r="D297" t="s">
        <v>31</v>
      </c>
      <c r="E297" t="s">
        <v>24</v>
      </c>
      <c r="F297" t="s">
        <v>25</v>
      </c>
      <c r="G297" t="s">
        <v>60</v>
      </c>
      <c r="H297">
        <v>51.92</v>
      </c>
      <c r="I297">
        <v>8</v>
      </c>
      <c r="J297">
        <v>20.768000000000001</v>
      </c>
      <c r="K297">
        <v>415.36</v>
      </c>
      <c r="L297" s="1">
        <v>43571</v>
      </c>
      <c r="M297" s="2">
        <v>0.5708333333333333</v>
      </c>
      <c r="N297" t="s">
        <v>33</v>
      </c>
      <c r="O297">
        <v>259.60000000000002</v>
      </c>
      <c r="P297">
        <v>4.7619047620000003</v>
      </c>
      <c r="Q297">
        <v>155.76</v>
      </c>
      <c r="R297">
        <v>7.875</v>
      </c>
      <c r="S297">
        <v>96.078500000000005</v>
      </c>
      <c r="T297">
        <v>19.763300000000001</v>
      </c>
    </row>
    <row r="298" spans="1:20" x14ac:dyDescent="0.3">
      <c r="A298" t="s">
        <v>562</v>
      </c>
      <c r="B298" t="s">
        <v>29</v>
      </c>
      <c r="C298" t="s">
        <v>563</v>
      </c>
      <c r="D298" t="s">
        <v>31</v>
      </c>
      <c r="E298" t="s">
        <v>32</v>
      </c>
      <c r="F298" t="s">
        <v>36</v>
      </c>
      <c r="G298" t="s">
        <v>60</v>
      </c>
      <c r="H298">
        <v>28.84</v>
      </c>
      <c r="I298">
        <v>5</v>
      </c>
      <c r="J298">
        <v>7.21</v>
      </c>
      <c r="K298">
        <v>144.19999999999999</v>
      </c>
      <c r="L298" s="1">
        <v>43495</v>
      </c>
      <c r="M298" s="2">
        <v>0.61388888888888893</v>
      </c>
      <c r="N298" t="s">
        <v>33</v>
      </c>
      <c r="O298">
        <v>115.36</v>
      </c>
      <c r="P298">
        <v>4.7619047620000003</v>
      </c>
      <c r="Q298">
        <v>28.84</v>
      </c>
      <c r="R298">
        <v>6.72</v>
      </c>
      <c r="S298">
        <v>96.078500000000005</v>
      </c>
      <c r="T298">
        <v>19.763300000000001</v>
      </c>
    </row>
    <row r="299" spans="1:20" x14ac:dyDescent="0.3">
      <c r="A299" t="s">
        <v>564</v>
      </c>
      <c r="B299" t="s">
        <v>21</v>
      </c>
      <c r="C299" t="s">
        <v>354</v>
      </c>
      <c r="D299" t="s">
        <v>23</v>
      </c>
      <c r="E299" t="s">
        <v>24</v>
      </c>
      <c r="F299" t="s">
        <v>36</v>
      </c>
      <c r="G299" t="s">
        <v>77</v>
      </c>
      <c r="H299">
        <v>78.38</v>
      </c>
      <c r="I299">
        <v>8</v>
      </c>
      <c r="J299">
        <v>31.352</v>
      </c>
      <c r="K299">
        <v>627.04</v>
      </c>
      <c r="L299" s="1">
        <v>43611</v>
      </c>
      <c r="M299" s="2">
        <v>0.59444444444444444</v>
      </c>
      <c r="N299" t="s">
        <v>27</v>
      </c>
      <c r="O299">
        <v>470.28</v>
      </c>
      <c r="P299">
        <v>4.7619047620000003</v>
      </c>
      <c r="Q299">
        <v>156.76</v>
      </c>
      <c r="R299">
        <v>5.8</v>
      </c>
      <c r="S299">
        <v>96.173500000000004</v>
      </c>
      <c r="T299">
        <v>16.840900000000001</v>
      </c>
    </row>
    <row r="300" spans="1:20" x14ac:dyDescent="0.3">
      <c r="A300" t="s">
        <v>565</v>
      </c>
      <c r="B300" t="s">
        <v>21</v>
      </c>
      <c r="C300" t="s">
        <v>566</v>
      </c>
      <c r="D300" t="s">
        <v>23</v>
      </c>
      <c r="E300" t="s">
        <v>24</v>
      </c>
      <c r="F300" t="s">
        <v>36</v>
      </c>
      <c r="G300" t="s">
        <v>77</v>
      </c>
      <c r="H300">
        <v>60.01</v>
      </c>
      <c r="I300">
        <v>6</v>
      </c>
      <c r="J300">
        <v>18.003</v>
      </c>
      <c r="K300">
        <v>360.06</v>
      </c>
      <c r="L300" s="1">
        <v>43599</v>
      </c>
      <c r="M300" s="2">
        <v>0.66249999999999998</v>
      </c>
      <c r="N300" t="s">
        <v>33</v>
      </c>
      <c r="O300">
        <v>240.04</v>
      </c>
      <c r="P300">
        <v>4.7619047620000003</v>
      </c>
      <c r="Q300">
        <v>120.02</v>
      </c>
      <c r="R300">
        <v>4.5</v>
      </c>
      <c r="S300">
        <v>96.173500000000004</v>
      </c>
      <c r="T300">
        <v>16.840900000000001</v>
      </c>
    </row>
    <row r="301" spans="1:20" x14ac:dyDescent="0.3">
      <c r="A301" t="s">
        <v>567</v>
      </c>
      <c r="C301" t="s">
        <v>154</v>
      </c>
      <c r="D301" t="s">
        <v>31</v>
      </c>
      <c r="E301" t="s">
        <v>24</v>
      </c>
      <c r="F301" t="s">
        <v>25</v>
      </c>
      <c r="G301" t="s">
        <v>77</v>
      </c>
      <c r="H301">
        <v>88.61</v>
      </c>
      <c r="I301">
        <v>1</v>
      </c>
      <c r="J301">
        <v>4.4305000000000003</v>
      </c>
      <c r="K301">
        <v>88.61</v>
      </c>
      <c r="L301" s="1">
        <v>43551</v>
      </c>
      <c r="M301" s="2">
        <v>0.43125000000000002</v>
      </c>
      <c r="N301" t="s">
        <v>33</v>
      </c>
      <c r="O301">
        <v>88.61</v>
      </c>
      <c r="P301">
        <v>4.7619047620000003</v>
      </c>
      <c r="Q301">
        <v>0</v>
      </c>
      <c r="R301">
        <v>8.0850000000000009</v>
      </c>
      <c r="S301">
        <v>96.078500000000005</v>
      </c>
      <c r="T301">
        <v>19.763300000000001</v>
      </c>
    </row>
    <row r="302" spans="1:20" x14ac:dyDescent="0.3">
      <c r="A302" t="s">
        <v>568</v>
      </c>
      <c r="C302" t="s">
        <v>569</v>
      </c>
      <c r="D302" t="s">
        <v>31</v>
      </c>
      <c r="E302" t="s">
        <v>32</v>
      </c>
      <c r="F302" t="s">
        <v>36</v>
      </c>
      <c r="G302" t="s">
        <v>100</v>
      </c>
      <c r="H302">
        <v>99.82</v>
      </c>
      <c r="I302">
        <v>2</v>
      </c>
      <c r="J302">
        <v>9.9819999999999993</v>
      </c>
      <c r="K302">
        <v>199.64</v>
      </c>
      <c r="L302" s="1">
        <v>43640</v>
      </c>
      <c r="M302" s="2">
        <v>0.75624999999999998</v>
      </c>
      <c r="N302" t="s">
        <v>37</v>
      </c>
      <c r="O302">
        <v>199.64</v>
      </c>
      <c r="P302">
        <v>4.7619047620000003</v>
      </c>
      <c r="Q302">
        <v>0</v>
      </c>
      <c r="R302">
        <v>7.0350000000000001</v>
      </c>
      <c r="S302">
        <v>96.078500000000005</v>
      </c>
      <c r="T302">
        <v>19.763300000000001</v>
      </c>
    </row>
    <row r="303" spans="1:20" x14ac:dyDescent="0.3">
      <c r="A303" t="s">
        <v>570</v>
      </c>
      <c r="C303" t="s">
        <v>440</v>
      </c>
      <c r="D303" t="s">
        <v>53</v>
      </c>
      <c r="E303" t="s">
        <v>24</v>
      </c>
      <c r="F303" t="s">
        <v>36</v>
      </c>
      <c r="G303" t="s">
        <v>26</v>
      </c>
      <c r="H303">
        <v>39.01</v>
      </c>
      <c r="I303">
        <v>1</v>
      </c>
      <c r="K303">
        <v>39.01</v>
      </c>
      <c r="L303" s="1">
        <v>43647</v>
      </c>
      <c r="M303" s="2">
        <v>0.69861111111111107</v>
      </c>
      <c r="N303" t="s">
        <v>37</v>
      </c>
      <c r="O303">
        <v>39.01</v>
      </c>
      <c r="P303">
        <v>4.7619047620000003</v>
      </c>
      <c r="Q303">
        <v>0</v>
      </c>
      <c r="R303">
        <v>5.64</v>
      </c>
      <c r="S303">
        <v>96.089100000000002</v>
      </c>
      <c r="T303">
        <v>21.9588</v>
      </c>
    </row>
    <row r="304" spans="1:20" x14ac:dyDescent="0.3">
      <c r="A304" t="s">
        <v>571</v>
      </c>
      <c r="C304" t="s">
        <v>374</v>
      </c>
      <c r="D304" t="s">
        <v>31</v>
      </c>
      <c r="E304" t="s">
        <v>32</v>
      </c>
      <c r="F304" t="s">
        <v>36</v>
      </c>
      <c r="G304" t="s">
        <v>63</v>
      </c>
      <c r="H304">
        <v>48.61</v>
      </c>
      <c r="I304">
        <v>1</v>
      </c>
      <c r="K304">
        <v>48.61</v>
      </c>
      <c r="L304" s="1">
        <v>43583</v>
      </c>
      <c r="M304" s="2">
        <v>0.64652777777777781</v>
      </c>
      <c r="N304" t="s">
        <v>33</v>
      </c>
      <c r="O304">
        <v>48.61</v>
      </c>
      <c r="P304">
        <v>4.7619047620000003</v>
      </c>
      <c r="Q304">
        <v>0</v>
      </c>
      <c r="R304">
        <v>4.62</v>
      </c>
      <c r="S304">
        <v>96.078500000000005</v>
      </c>
      <c r="T304">
        <v>19.763300000000001</v>
      </c>
    </row>
    <row r="305" spans="1:20" x14ac:dyDescent="0.3">
      <c r="A305" t="s">
        <v>572</v>
      </c>
      <c r="C305" t="s">
        <v>573</v>
      </c>
      <c r="D305" t="s">
        <v>23</v>
      </c>
      <c r="F305" t="s">
        <v>25</v>
      </c>
      <c r="G305" t="s">
        <v>60</v>
      </c>
      <c r="H305">
        <v>51.19</v>
      </c>
      <c r="I305">
        <v>4</v>
      </c>
      <c r="K305">
        <v>204.76</v>
      </c>
      <c r="L305" s="1">
        <v>43632</v>
      </c>
      <c r="M305" s="2">
        <v>0.71875</v>
      </c>
      <c r="N305" t="s">
        <v>37</v>
      </c>
      <c r="O305">
        <v>204.76</v>
      </c>
      <c r="P305">
        <v>4.7619047620000003</v>
      </c>
      <c r="Q305">
        <v>0</v>
      </c>
      <c r="S305">
        <v>96.173500000000004</v>
      </c>
      <c r="T305">
        <v>16.840900000000001</v>
      </c>
    </row>
    <row r="306" spans="1:20" x14ac:dyDescent="0.3">
      <c r="A306" t="s">
        <v>574</v>
      </c>
      <c r="B306" t="s">
        <v>51</v>
      </c>
      <c r="C306" t="s">
        <v>575</v>
      </c>
      <c r="D306" t="s">
        <v>53</v>
      </c>
      <c r="F306" t="s">
        <v>25</v>
      </c>
      <c r="G306" t="s">
        <v>60</v>
      </c>
      <c r="H306">
        <v>14.96</v>
      </c>
      <c r="I306">
        <v>11</v>
      </c>
      <c r="K306">
        <v>164.56</v>
      </c>
      <c r="L306" s="1">
        <v>43492</v>
      </c>
      <c r="M306" s="2">
        <v>0.52013888888888893</v>
      </c>
      <c r="N306" t="s">
        <v>33</v>
      </c>
      <c r="O306">
        <v>119.68</v>
      </c>
      <c r="P306">
        <v>4.7619047620000003</v>
      </c>
      <c r="Q306">
        <v>44.88</v>
      </c>
      <c r="S306">
        <v>96.089100000000002</v>
      </c>
      <c r="T306">
        <v>21.9588</v>
      </c>
    </row>
    <row r="307" spans="1:20" x14ac:dyDescent="0.3">
      <c r="A307" t="s">
        <v>576</v>
      </c>
      <c r="B307" t="s">
        <v>21</v>
      </c>
      <c r="C307" t="s">
        <v>577</v>
      </c>
      <c r="D307" t="s">
        <v>23</v>
      </c>
      <c r="F307" t="s">
        <v>36</v>
      </c>
      <c r="G307" t="s">
        <v>60</v>
      </c>
      <c r="H307">
        <v>72.2</v>
      </c>
      <c r="I307">
        <v>7</v>
      </c>
      <c r="K307">
        <v>505.4</v>
      </c>
      <c r="L307" s="1">
        <v>43557</v>
      </c>
      <c r="M307" s="2">
        <v>0.84305555555555556</v>
      </c>
      <c r="N307" t="s">
        <v>27</v>
      </c>
      <c r="O307">
        <v>505.4</v>
      </c>
      <c r="P307">
        <v>4.7619047620000003</v>
      </c>
      <c r="Q307">
        <v>0</v>
      </c>
      <c r="S307">
        <v>96.173500000000004</v>
      </c>
      <c r="T307">
        <v>16.840900000000001</v>
      </c>
    </row>
    <row r="308" spans="1:20" x14ac:dyDescent="0.3">
      <c r="A308" t="s">
        <v>578</v>
      </c>
      <c r="B308" t="s">
        <v>21</v>
      </c>
      <c r="C308" t="s">
        <v>213</v>
      </c>
      <c r="D308" t="s">
        <v>23</v>
      </c>
      <c r="E308" t="s">
        <v>32</v>
      </c>
      <c r="F308" t="s">
        <v>25</v>
      </c>
      <c r="G308" t="s">
        <v>68</v>
      </c>
      <c r="H308">
        <v>40.229999999999997</v>
      </c>
      <c r="I308">
        <v>7</v>
      </c>
      <c r="K308">
        <v>281.61</v>
      </c>
      <c r="L308" s="1">
        <v>43631</v>
      </c>
      <c r="M308" s="2">
        <v>0.55694444444444446</v>
      </c>
      <c r="N308" t="s">
        <v>33</v>
      </c>
      <c r="O308">
        <v>281.61</v>
      </c>
      <c r="P308">
        <v>4.7619047620000003</v>
      </c>
      <c r="Q308">
        <v>0</v>
      </c>
      <c r="S308">
        <v>96.173500000000004</v>
      </c>
      <c r="T308">
        <v>16.840900000000001</v>
      </c>
    </row>
    <row r="309" spans="1:20" x14ac:dyDescent="0.3">
      <c r="A309" t="s">
        <v>579</v>
      </c>
      <c r="B309" t="s">
        <v>21</v>
      </c>
      <c r="C309" t="s">
        <v>580</v>
      </c>
      <c r="D309" t="s">
        <v>23</v>
      </c>
      <c r="E309" t="s">
        <v>24</v>
      </c>
      <c r="F309" t="s">
        <v>25</v>
      </c>
      <c r="G309" t="s">
        <v>77</v>
      </c>
      <c r="H309">
        <v>88.79</v>
      </c>
      <c r="I309">
        <v>11</v>
      </c>
      <c r="K309">
        <v>976.69</v>
      </c>
      <c r="L309" s="1">
        <v>43688</v>
      </c>
      <c r="M309" s="2">
        <v>0.71458333333333335</v>
      </c>
      <c r="N309" t="s">
        <v>33</v>
      </c>
      <c r="O309">
        <v>710.32</v>
      </c>
      <c r="P309">
        <v>4.7619047620000003</v>
      </c>
      <c r="Q309">
        <v>266.37</v>
      </c>
      <c r="S309">
        <v>96.173500000000004</v>
      </c>
      <c r="T309">
        <v>16.840900000000001</v>
      </c>
    </row>
    <row r="310" spans="1:20" x14ac:dyDescent="0.3">
      <c r="A310" t="s">
        <v>581</v>
      </c>
      <c r="B310" t="s">
        <v>21</v>
      </c>
      <c r="C310" t="s">
        <v>294</v>
      </c>
      <c r="D310" t="s">
        <v>23</v>
      </c>
      <c r="E310" t="s">
        <v>24</v>
      </c>
      <c r="F310" t="s">
        <v>25</v>
      </c>
      <c r="G310" t="s">
        <v>60</v>
      </c>
      <c r="H310">
        <v>26.48</v>
      </c>
      <c r="I310">
        <v>4</v>
      </c>
      <c r="K310">
        <v>105.92</v>
      </c>
      <c r="L310" s="1">
        <v>43645</v>
      </c>
      <c r="M310" s="2">
        <v>0.44444444444444442</v>
      </c>
      <c r="N310" t="s">
        <v>27</v>
      </c>
      <c r="O310">
        <v>79.44</v>
      </c>
      <c r="P310">
        <v>4.7619047620000003</v>
      </c>
      <c r="Q310">
        <v>26.48</v>
      </c>
      <c r="S310">
        <v>96.173500000000004</v>
      </c>
      <c r="T310">
        <v>16.840900000000001</v>
      </c>
    </row>
    <row r="311" spans="1:20" x14ac:dyDescent="0.3">
      <c r="A311" t="s">
        <v>582</v>
      </c>
      <c r="B311" t="s">
        <v>21</v>
      </c>
      <c r="C311" t="s">
        <v>583</v>
      </c>
      <c r="D311" t="s">
        <v>23</v>
      </c>
      <c r="E311" t="s">
        <v>32</v>
      </c>
      <c r="F311" t="s">
        <v>25</v>
      </c>
      <c r="G311" t="s">
        <v>100</v>
      </c>
      <c r="H311">
        <v>81.91</v>
      </c>
      <c r="I311">
        <v>2</v>
      </c>
      <c r="J311">
        <v>8.1910000000000007</v>
      </c>
      <c r="K311">
        <v>163.82</v>
      </c>
      <c r="L311" s="1">
        <v>43717</v>
      </c>
      <c r="M311" s="2">
        <v>0.73819444444444449</v>
      </c>
      <c r="N311" t="s">
        <v>33</v>
      </c>
      <c r="O311">
        <v>163.82</v>
      </c>
      <c r="P311">
        <v>4.7619047620000003</v>
      </c>
      <c r="Q311">
        <v>0</v>
      </c>
      <c r="S311">
        <v>96.173500000000004</v>
      </c>
      <c r="T311">
        <v>16.840900000000001</v>
      </c>
    </row>
    <row r="312" spans="1:20" x14ac:dyDescent="0.3">
      <c r="A312" t="s">
        <v>584</v>
      </c>
      <c r="B312" t="s">
        <v>51</v>
      </c>
      <c r="C312" t="s">
        <v>260</v>
      </c>
      <c r="D312" t="s">
        <v>53</v>
      </c>
      <c r="E312" t="s">
        <v>24</v>
      </c>
      <c r="F312" t="s">
        <v>36</v>
      </c>
      <c r="G312" t="s">
        <v>68</v>
      </c>
      <c r="H312">
        <v>79.930000000000007</v>
      </c>
      <c r="I312">
        <v>11</v>
      </c>
      <c r="J312">
        <v>43.961500000000001</v>
      </c>
      <c r="K312">
        <v>879.23</v>
      </c>
      <c r="L312" s="1">
        <v>43802</v>
      </c>
      <c r="M312" s="2">
        <v>0.58611111111111114</v>
      </c>
      <c r="N312" t="s">
        <v>33</v>
      </c>
      <c r="O312">
        <v>479.58</v>
      </c>
      <c r="P312">
        <v>4.7619047620000003</v>
      </c>
      <c r="Q312">
        <v>399.65</v>
      </c>
      <c r="S312">
        <v>96.089100000000002</v>
      </c>
      <c r="T312">
        <v>21.9588</v>
      </c>
    </row>
    <row r="313" spans="1:20" x14ac:dyDescent="0.3">
      <c r="A313" t="s">
        <v>585</v>
      </c>
      <c r="B313" t="s">
        <v>29</v>
      </c>
      <c r="C313" t="s">
        <v>127</v>
      </c>
      <c r="D313" t="s">
        <v>31</v>
      </c>
      <c r="E313" t="s">
        <v>24</v>
      </c>
      <c r="F313" t="s">
        <v>36</v>
      </c>
      <c r="G313" t="s">
        <v>100</v>
      </c>
      <c r="H313">
        <v>69.33</v>
      </c>
      <c r="I313">
        <v>3</v>
      </c>
      <c r="J313">
        <v>10.3995</v>
      </c>
      <c r="K313">
        <v>207.99</v>
      </c>
      <c r="L313" s="1">
        <v>43521</v>
      </c>
      <c r="M313" s="2">
        <v>0.79513888888888884</v>
      </c>
      <c r="N313" t="s">
        <v>27</v>
      </c>
      <c r="O313">
        <v>138.66</v>
      </c>
      <c r="P313">
        <v>4.7619047620000003</v>
      </c>
      <c r="Q313">
        <v>69.33</v>
      </c>
      <c r="R313">
        <v>10</v>
      </c>
      <c r="S313">
        <v>96.078500000000005</v>
      </c>
      <c r="T313">
        <v>19.763300000000001</v>
      </c>
    </row>
    <row r="314" spans="1:20" x14ac:dyDescent="0.3">
      <c r="A314" t="s">
        <v>586</v>
      </c>
      <c r="B314" t="s">
        <v>21</v>
      </c>
      <c r="C314" t="s">
        <v>587</v>
      </c>
      <c r="D314" t="s">
        <v>23</v>
      </c>
      <c r="E314" t="s">
        <v>24</v>
      </c>
      <c r="F314" t="s">
        <v>25</v>
      </c>
      <c r="G314" t="s">
        <v>63</v>
      </c>
      <c r="H314">
        <v>14.23</v>
      </c>
      <c r="I314">
        <v>7</v>
      </c>
      <c r="J314">
        <v>4.9805000000000001</v>
      </c>
      <c r="K314">
        <v>99.61</v>
      </c>
      <c r="L314" s="1">
        <v>43756</v>
      </c>
      <c r="M314" s="2">
        <v>0.42222222222222222</v>
      </c>
      <c r="N314" t="s">
        <v>37</v>
      </c>
      <c r="O314">
        <v>71.150000000000006</v>
      </c>
      <c r="P314">
        <v>4.7619047620000003</v>
      </c>
      <c r="Q314">
        <v>28.46</v>
      </c>
      <c r="R314">
        <v>4.4000000000000004</v>
      </c>
      <c r="S314">
        <v>96.173500000000004</v>
      </c>
      <c r="T314">
        <v>16.840900000000001</v>
      </c>
    </row>
    <row r="315" spans="1:20" x14ac:dyDescent="0.3">
      <c r="A315" t="s">
        <v>588</v>
      </c>
      <c r="B315" t="s">
        <v>21</v>
      </c>
      <c r="C315" t="s">
        <v>589</v>
      </c>
      <c r="D315" t="s">
        <v>23</v>
      </c>
      <c r="E315" t="s">
        <v>24</v>
      </c>
      <c r="F315" t="s">
        <v>25</v>
      </c>
      <c r="G315" t="s">
        <v>26</v>
      </c>
      <c r="H315">
        <v>15.55</v>
      </c>
      <c r="I315">
        <v>13</v>
      </c>
      <c r="J315">
        <v>10.1075</v>
      </c>
      <c r="K315">
        <v>202.15</v>
      </c>
      <c r="L315" s="1">
        <v>43718</v>
      </c>
      <c r="M315" s="2">
        <v>0.55000000000000004</v>
      </c>
      <c r="N315" t="s">
        <v>33</v>
      </c>
      <c r="O315">
        <v>139.94999999999999</v>
      </c>
      <c r="P315">
        <v>4.7619047620000003</v>
      </c>
      <c r="Q315">
        <v>62.2</v>
      </c>
      <c r="R315">
        <v>5</v>
      </c>
      <c r="S315">
        <v>96.173500000000004</v>
      </c>
      <c r="T315">
        <v>16.840900000000001</v>
      </c>
    </row>
    <row r="316" spans="1:20" x14ac:dyDescent="0.3">
      <c r="A316" t="s">
        <v>590</v>
      </c>
      <c r="B316" t="s">
        <v>29</v>
      </c>
      <c r="C316" t="s">
        <v>256</v>
      </c>
      <c r="D316" t="s">
        <v>31</v>
      </c>
      <c r="E316" t="s">
        <v>24</v>
      </c>
      <c r="F316" t="s">
        <v>25</v>
      </c>
      <c r="G316" t="s">
        <v>26</v>
      </c>
      <c r="H316">
        <v>78.13</v>
      </c>
      <c r="I316">
        <v>17</v>
      </c>
      <c r="J316">
        <v>66.410499999999999</v>
      </c>
      <c r="K316">
        <v>1328.21</v>
      </c>
      <c r="L316" s="1">
        <v>43518</v>
      </c>
      <c r="M316" s="2">
        <v>0.86875000000000002</v>
      </c>
      <c r="N316" t="s">
        <v>33</v>
      </c>
      <c r="O316">
        <v>781.3</v>
      </c>
      <c r="P316">
        <v>4.7619047620000003</v>
      </c>
      <c r="Q316">
        <v>546.91</v>
      </c>
      <c r="R316">
        <v>4.62</v>
      </c>
      <c r="S316">
        <v>96.078500000000005</v>
      </c>
      <c r="T316">
        <v>19.763300000000001</v>
      </c>
    </row>
    <row r="317" spans="1:20" x14ac:dyDescent="0.3">
      <c r="A317" t="s">
        <v>591</v>
      </c>
      <c r="B317" t="s">
        <v>29</v>
      </c>
      <c r="C317" t="s">
        <v>592</v>
      </c>
      <c r="D317" t="s">
        <v>31</v>
      </c>
      <c r="E317" t="s">
        <v>24</v>
      </c>
      <c r="F317" t="s">
        <v>36</v>
      </c>
      <c r="G317" t="s">
        <v>26</v>
      </c>
      <c r="H317">
        <v>99.37</v>
      </c>
      <c r="I317">
        <v>3</v>
      </c>
      <c r="J317">
        <v>14.9055</v>
      </c>
      <c r="K317">
        <v>298.11</v>
      </c>
      <c r="L317" s="1">
        <v>43649</v>
      </c>
      <c r="M317" s="2">
        <v>0.72847222222222219</v>
      </c>
      <c r="N317" t="s">
        <v>33</v>
      </c>
      <c r="O317">
        <v>198.74</v>
      </c>
      <c r="P317">
        <v>4.7619047620000003</v>
      </c>
      <c r="Q317">
        <v>99.37</v>
      </c>
      <c r="R317">
        <v>5.46</v>
      </c>
      <c r="S317">
        <v>96.078500000000005</v>
      </c>
      <c r="T317">
        <v>19.763300000000001</v>
      </c>
    </row>
    <row r="318" spans="1:20" x14ac:dyDescent="0.3">
      <c r="A318" t="s">
        <v>593</v>
      </c>
      <c r="B318" t="s">
        <v>29</v>
      </c>
      <c r="C318" t="s">
        <v>594</v>
      </c>
      <c r="D318" t="s">
        <v>31</v>
      </c>
      <c r="E318" t="s">
        <v>24</v>
      </c>
      <c r="F318" t="s">
        <v>25</v>
      </c>
      <c r="G318" t="s">
        <v>26</v>
      </c>
      <c r="H318">
        <v>21.08</v>
      </c>
      <c r="I318">
        <v>6</v>
      </c>
      <c r="J318">
        <v>6.3239999999999998</v>
      </c>
      <c r="K318">
        <v>126.48</v>
      </c>
      <c r="L318" s="1">
        <v>43468</v>
      </c>
      <c r="M318" s="2">
        <v>0.43402777777777779</v>
      </c>
      <c r="N318" t="s">
        <v>33</v>
      </c>
      <c r="O318">
        <v>63.24</v>
      </c>
      <c r="P318">
        <v>4.7619047620000003</v>
      </c>
      <c r="Q318">
        <v>63.24</v>
      </c>
      <c r="R318">
        <v>7.665</v>
      </c>
      <c r="S318">
        <v>96.078500000000005</v>
      </c>
      <c r="T318">
        <v>19.763300000000001</v>
      </c>
    </row>
    <row r="319" spans="1:20" x14ac:dyDescent="0.3">
      <c r="A319" t="s">
        <v>595</v>
      </c>
      <c r="B319" t="s">
        <v>29</v>
      </c>
      <c r="C319" t="s">
        <v>596</v>
      </c>
      <c r="D319" t="s">
        <v>31</v>
      </c>
      <c r="E319" t="s">
        <v>24</v>
      </c>
      <c r="F319" t="s">
        <v>36</v>
      </c>
      <c r="G319" t="s">
        <v>26</v>
      </c>
      <c r="H319">
        <v>74.790000000000006</v>
      </c>
      <c r="I319">
        <v>8</v>
      </c>
      <c r="J319">
        <v>29.916</v>
      </c>
      <c r="K319">
        <v>598.32000000000005</v>
      </c>
      <c r="L319" s="1">
        <v>43602</v>
      </c>
      <c r="M319" s="2">
        <v>0.48194444444444445</v>
      </c>
      <c r="N319" t="s">
        <v>33</v>
      </c>
      <c r="O319">
        <v>373.95</v>
      </c>
      <c r="P319">
        <v>4.7619047620000003</v>
      </c>
      <c r="Q319">
        <v>224.37</v>
      </c>
      <c r="R319">
        <v>5.1449999999999996</v>
      </c>
      <c r="S319">
        <v>96.078500000000005</v>
      </c>
      <c r="T319">
        <v>19.763300000000001</v>
      </c>
    </row>
    <row r="320" spans="1:20" x14ac:dyDescent="0.3">
      <c r="A320" t="s">
        <v>597</v>
      </c>
      <c r="B320" t="s">
        <v>29</v>
      </c>
      <c r="C320" t="s">
        <v>598</v>
      </c>
      <c r="D320" t="s">
        <v>31</v>
      </c>
      <c r="E320" t="s">
        <v>32</v>
      </c>
      <c r="F320" t="s">
        <v>25</v>
      </c>
      <c r="G320" t="s">
        <v>26</v>
      </c>
      <c r="H320">
        <v>29.67</v>
      </c>
      <c r="I320">
        <v>8</v>
      </c>
      <c r="J320">
        <v>11.868</v>
      </c>
      <c r="K320">
        <v>237.36</v>
      </c>
      <c r="L320" s="1">
        <v>43808</v>
      </c>
      <c r="M320" s="2">
        <v>0.79027777777777775</v>
      </c>
      <c r="N320" t="s">
        <v>37</v>
      </c>
      <c r="O320">
        <v>207.69</v>
      </c>
      <c r="P320">
        <v>4.7619047620000003</v>
      </c>
      <c r="Q320">
        <v>29.67</v>
      </c>
      <c r="R320">
        <v>8.5050000000000008</v>
      </c>
      <c r="S320">
        <v>96.078500000000005</v>
      </c>
      <c r="T320">
        <v>19.763300000000001</v>
      </c>
    </row>
    <row r="321" spans="1:20" x14ac:dyDescent="0.3">
      <c r="A321" t="s">
        <v>599</v>
      </c>
      <c r="B321" t="s">
        <v>29</v>
      </c>
      <c r="C321" t="s">
        <v>600</v>
      </c>
      <c r="D321" t="s">
        <v>31</v>
      </c>
      <c r="E321" t="s">
        <v>32</v>
      </c>
      <c r="F321" t="s">
        <v>36</v>
      </c>
      <c r="G321" t="s">
        <v>26</v>
      </c>
      <c r="H321">
        <v>44.07</v>
      </c>
      <c r="I321">
        <v>5</v>
      </c>
      <c r="J321">
        <v>11.0175</v>
      </c>
      <c r="K321">
        <v>220.35</v>
      </c>
      <c r="L321" s="1">
        <v>43757</v>
      </c>
      <c r="M321" s="2">
        <v>0.68611111111111112</v>
      </c>
      <c r="N321" t="s">
        <v>27</v>
      </c>
      <c r="O321">
        <v>176.28</v>
      </c>
      <c r="P321">
        <v>4.7619047620000003</v>
      </c>
      <c r="Q321">
        <v>44.07</v>
      </c>
      <c r="R321">
        <v>8.82</v>
      </c>
      <c r="S321">
        <v>96.078500000000005</v>
      </c>
      <c r="T321">
        <v>19.763300000000001</v>
      </c>
    </row>
    <row r="322" spans="1:20" x14ac:dyDescent="0.3">
      <c r="A322" t="s">
        <v>601</v>
      </c>
      <c r="B322" t="s">
        <v>29</v>
      </c>
      <c r="C322" t="s">
        <v>138</v>
      </c>
      <c r="D322" t="s">
        <v>31</v>
      </c>
      <c r="E322" t="s">
        <v>32</v>
      </c>
      <c r="F322" t="s">
        <v>25</v>
      </c>
      <c r="G322" t="s">
        <v>26</v>
      </c>
      <c r="H322">
        <v>22.93</v>
      </c>
      <c r="I322">
        <v>11</v>
      </c>
      <c r="J322">
        <v>12.611499999999999</v>
      </c>
      <c r="K322">
        <v>252.23</v>
      </c>
      <c r="L322" s="1">
        <v>43779</v>
      </c>
      <c r="M322" s="2">
        <v>0.85138888888888886</v>
      </c>
      <c r="N322" t="s">
        <v>33</v>
      </c>
      <c r="O322">
        <v>206.37</v>
      </c>
      <c r="P322">
        <v>4.7619047620000003</v>
      </c>
      <c r="Q322">
        <v>45.86</v>
      </c>
      <c r="R322">
        <v>5.7750000000000004</v>
      </c>
      <c r="S322">
        <v>96.078500000000005</v>
      </c>
      <c r="T322">
        <v>19.763300000000001</v>
      </c>
    </row>
    <row r="323" spans="1:20" x14ac:dyDescent="0.3">
      <c r="A323" t="s">
        <v>602</v>
      </c>
      <c r="B323" t="s">
        <v>29</v>
      </c>
      <c r="C323" t="s">
        <v>197</v>
      </c>
      <c r="D323" t="s">
        <v>31</v>
      </c>
      <c r="E323" t="s">
        <v>32</v>
      </c>
      <c r="F323" t="s">
        <v>25</v>
      </c>
      <c r="G323" t="s">
        <v>26</v>
      </c>
      <c r="H323">
        <v>39.42</v>
      </c>
      <c r="I323">
        <v>1</v>
      </c>
      <c r="J323">
        <v>1.9710000000000001</v>
      </c>
      <c r="K323">
        <v>39.42</v>
      </c>
      <c r="L323" s="1">
        <v>43492</v>
      </c>
      <c r="M323" s="2">
        <v>0.63055555555555554</v>
      </c>
      <c r="N323" t="s">
        <v>33</v>
      </c>
      <c r="O323">
        <v>39.42</v>
      </c>
      <c r="P323">
        <v>4.7619047620000003</v>
      </c>
      <c r="Q323">
        <v>0</v>
      </c>
      <c r="R323">
        <v>8.82</v>
      </c>
      <c r="S323">
        <v>96.078500000000005</v>
      </c>
      <c r="T323">
        <v>19.763300000000001</v>
      </c>
    </row>
    <row r="324" spans="1:20" x14ac:dyDescent="0.3">
      <c r="A324" t="s">
        <v>603</v>
      </c>
      <c r="B324" t="s">
        <v>21</v>
      </c>
      <c r="C324" t="s">
        <v>604</v>
      </c>
      <c r="D324" t="s">
        <v>23</v>
      </c>
      <c r="E324" t="s">
        <v>32</v>
      </c>
      <c r="F324" t="s">
        <v>36</v>
      </c>
      <c r="G324" t="s">
        <v>26</v>
      </c>
      <c r="H324">
        <v>15.26</v>
      </c>
      <c r="I324">
        <v>6</v>
      </c>
      <c r="J324">
        <v>4.5780000000000003</v>
      </c>
      <c r="K324">
        <v>91.56</v>
      </c>
      <c r="L324" s="1">
        <v>43552</v>
      </c>
      <c r="M324" s="2">
        <v>0.75208333333333333</v>
      </c>
      <c r="N324" t="s">
        <v>27</v>
      </c>
      <c r="O324">
        <v>91.56</v>
      </c>
      <c r="P324">
        <v>4.7619047620000003</v>
      </c>
      <c r="Q324">
        <v>0</v>
      </c>
      <c r="R324">
        <v>9.8000000000000007</v>
      </c>
      <c r="S324">
        <v>96.173500000000004</v>
      </c>
      <c r="T324">
        <v>16.840900000000001</v>
      </c>
    </row>
    <row r="325" spans="1:20" x14ac:dyDescent="0.3">
      <c r="A325" t="s">
        <v>605</v>
      </c>
      <c r="B325" t="s">
        <v>21</v>
      </c>
      <c r="C325" t="s">
        <v>606</v>
      </c>
      <c r="D325" t="s">
        <v>23</v>
      </c>
      <c r="E325" t="s">
        <v>32</v>
      </c>
      <c r="F325" t="s">
        <v>25</v>
      </c>
      <c r="G325" t="s">
        <v>100</v>
      </c>
      <c r="H325">
        <v>61.77</v>
      </c>
      <c r="I325">
        <v>5</v>
      </c>
      <c r="J325">
        <v>15.442500000000001</v>
      </c>
      <c r="K325">
        <v>308.85000000000002</v>
      </c>
      <c r="L325" s="1">
        <v>43543</v>
      </c>
      <c r="M325" s="2">
        <v>0.55625000000000002</v>
      </c>
      <c r="N325" t="s">
        <v>33</v>
      </c>
      <c r="O325">
        <v>308.85000000000002</v>
      </c>
      <c r="P325">
        <v>4.7619047620000003</v>
      </c>
      <c r="Q325">
        <v>0</v>
      </c>
      <c r="R325">
        <v>6.7</v>
      </c>
      <c r="S325">
        <v>96.173500000000004</v>
      </c>
      <c r="T325">
        <v>16.840900000000001</v>
      </c>
    </row>
    <row r="326" spans="1:20" x14ac:dyDescent="0.3">
      <c r="A326" t="s">
        <v>607</v>
      </c>
      <c r="B326" t="s">
        <v>21</v>
      </c>
      <c r="C326" t="s">
        <v>608</v>
      </c>
      <c r="D326" t="s">
        <v>23</v>
      </c>
      <c r="E326" t="s">
        <v>32</v>
      </c>
      <c r="F326" t="s">
        <v>36</v>
      </c>
      <c r="G326" t="s">
        <v>77</v>
      </c>
      <c r="H326">
        <v>21.52</v>
      </c>
      <c r="I326">
        <v>6</v>
      </c>
      <c r="J326">
        <v>6.4560000000000004</v>
      </c>
      <c r="K326">
        <v>129.12</v>
      </c>
      <c r="L326" s="1">
        <v>43742</v>
      </c>
      <c r="M326" s="2">
        <v>0.53333333333333333</v>
      </c>
      <c r="N326" t="s">
        <v>37</v>
      </c>
      <c r="O326">
        <v>129.12</v>
      </c>
      <c r="P326">
        <v>4.7619047620000003</v>
      </c>
      <c r="Q326">
        <v>0</v>
      </c>
      <c r="R326">
        <v>9.4</v>
      </c>
      <c r="S326">
        <v>96.173500000000004</v>
      </c>
      <c r="T326">
        <v>16.840900000000001</v>
      </c>
    </row>
    <row r="327" spans="1:20" x14ac:dyDescent="0.3">
      <c r="A327" t="s">
        <v>609</v>
      </c>
      <c r="B327" t="s">
        <v>51</v>
      </c>
      <c r="C327" t="s">
        <v>129</v>
      </c>
      <c r="D327" t="s">
        <v>53</v>
      </c>
      <c r="E327" t="s">
        <v>32</v>
      </c>
      <c r="F327" t="s">
        <v>36</v>
      </c>
      <c r="G327" t="s">
        <v>68</v>
      </c>
      <c r="H327">
        <v>97.74</v>
      </c>
      <c r="I327">
        <v>6</v>
      </c>
      <c r="J327">
        <v>29.321999999999999</v>
      </c>
      <c r="K327">
        <v>586.44000000000005</v>
      </c>
      <c r="L327" s="1">
        <v>43533</v>
      </c>
      <c r="M327" s="2">
        <v>0.82847222222222228</v>
      </c>
      <c r="N327" t="s">
        <v>27</v>
      </c>
      <c r="O327">
        <v>390.96</v>
      </c>
      <c r="P327">
        <v>4.7619047620000003</v>
      </c>
      <c r="Q327">
        <v>195.48</v>
      </c>
      <c r="R327">
        <v>7.68</v>
      </c>
      <c r="S327">
        <v>96.089100000000002</v>
      </c>
      <c r="T327">
        <v>21.9588</v>
      </c>
    </row>
    <row r="328" spans="1:20" x14ac:dyDescent="0.3">
      <c r="A328" t="s">
        <v>610</v>
      </c>
      <c r="B328" t="s">
        <v>21</v>
      </c>
      <c r="C328" t="s">
        <v>611</v>
      </c>
      <c r="D328" t="s">
        <v>23</v>
      </c>
      <c r="E328" t="s">
        <v>32</v>
      </c>
      <c r="F328" t="s">
        <v>36</v>
      </c>
      <c r="G328" t="s">
        <v>63</v>
      </c>
      <c r="H328">
        <v>99.78</v>
      </c>
      <c r="I328">
        <v>5</v>
      </c>
      <c r="J328">
        <v>24.945</v>
      </c>
      <c r="K328">
        <v>498.9</v>
      </c>
      <c r="L328" s="1">
        <v>43512</v>
      </c>
      <c r="M328" s="2">
        <v>0.79791666666666672</v>
      </c>
      <c r="N328" t="s">
        <v>33</v>
      </c>
      <c r="O328">
        <v>498.9</v>
      </c>
      <c r="P328">
        <v>4.7619047620000003</v>
      </c>
      <c r="Q328">
        <v>0</v>
      </c>
      <c r="R328">
        <v>5.4</v>
      </c>
      <c r="S328">
        <v>96.173500000000004</v>
      </c>
      <c r="T328">
        <v>16.840900000000001</v>
      </c>
    </row>
    <row r="329" spans="1:20" x14ac:dyDescent="0.3">
      <c r="A329" t="s">
        <v>612</v>
      </c>
      <c r="B329" t="s">
        <v>29</v>
      </c>
      <c r="C329" t="s">
        <v>613</v>
      </c>
      <c r="D329" t="s">
        <v>31</v>
      </c>
      <c r="E329" t="s">
        <v>32</v>
      </c>
      <c r="F329" t="s">
        <v>36</v>
      </c>
      <c r="G329" t="s">
        <v>63</v>
      </c>
      <c r="H329">
        <v>94.26</v>
      </c>
      <c r="I329">
        <v>5</v>
      </c>
      <c r="J329">
        <v>23.565000000000001</v>
      </c>
      <c r="K329">
        <v>471.3</v>
      </c>
      <c r="L329" s="1">
        <v>43637</v>
      </c>
      <c r="M329" s="2">
        <v>0.6875</v>
      </c>
      <c r="N329" t="s">
        <v>33</v>
      </c>
      <c r="O329">
        <v>377.04</v>
      </c>
      <c r="P329">
        <v>4.7619047620000003</v>
      </c>
      <c r="Q329">
        <v>94.26</v>
      </c>
      <c r="R329">
        <v>9.0299999999999994</v>
      </c>
      <c r="S329">
        <v>96.078500000000005</v>
      </c>
      <c r="T329">
        <v>19.763300000000001</v>
      </c>
    </row>
    <row r="330" spans="1:20" x14ac:dyDescent="0.3">
      <c r="A330" t="s">
        <v>614</v>
      </c>
      <c r="B330" t="s">
        <v>51</v>
      </c>
      <c r="C330" t="s">
        <v>99</v>
      </c>
      <c r="D330" t="s">
        <v>53</v>
      </c>
      <c r="E330" t="s">
        <v>32</v>
      </c>
      <c r="F330" t="s">
        <v>36</v>
      </c>
      <c r="G330" t="s">
        <v>26</v>
      </c>
      <c r="H330">
        <v>51.13</v>
      </c>
      <c r="I330">
        <v>6</v>
      </c>
      <c r="J330">
        <v>15.339</v>
      </c>
      <c r="K330">
        <v>306.77999999999997</v>
      </c>
      <c r="L330" s="1">
        <v>43558</v>
      </c>
      <c r="M330" s="2">
        <v>0.42430555555555555</v>
      </c>
      <c r="N330" t="s">
        <v>37</v>
      </c>
      <c r="O330">
        <v>204.52</v>
      </c>
      <c r="P330">
        <v>4.7619047620000003</v>
      </c>
      <c r="Q330">
        <v>102.26</v>
      </c>
      <c r="R330">
        <v>4.8</v>
      </c>
      <c r="S330">
        <v>96.089100000000002</v>
      </c>
      <c r="T330">
        <v>21.9588</v>
      </c>
    </row>
    <row r="331" spans="1:20" x14ac:dyDescent="0.3">
      <c r="A331" t="s">
        <v>615</v>
      </c>
      <c r="B331" t="s">
        <v>21</v>
      </c>
      <c r="C331" t="s">
        <v>616</v>
      </c>
      <c r="D331" t="s">
        <v>23</v>
      </c>
      <c r="E331" t="s">
        <v>32</v>
      </c>
      <c r="F331" t="s">
        <v>36</v>
      </c>
      <c r="G331" t="s">
        <v>60</v>
      </c>
      <c r="H331">
        <v>36.36</v>
      </c>
      <c r="I331">
        <v>4</v>
      </c>
      <c r="J331">
        <v>7.2720000000000002</v>
      </c>
      <c r="K331">
        <v>145.44</v>
      </c>
      <c r="L331" s="1">
        <v>43577</v>
      </c>
      <c r="M331" s="2">
        <v>0.54652777777777772</v>
      </c>
      <c r="N331" t="s">
        <v>33</v>
      </c>
      <c r="O331">
        <v>145.44</v>
      </c>
      <c r="P331">
        <v>4.7619047620000003</v>
      </c>
      <c r="Q331">
        <v>0</v>
      </c>
      <c r="R331">
        <v>7.6</v>
      </c>
      <c r="S331">
        <v>96.173500000000004</v>
      </c>
      <c r="T331">
        <v>16.840900000000001</v>
      </c>
    </row>
    <row r="332" spans="1:20" x14ac:dyDescent="0.3">
      <c r="A332" t="s">
        <v>617</v>
      </c>
      <c r="B332" t="s">
        <v>51</v>
      </c>
      <c r="C332" t="s">
        <v>318</v>
      </c>
      <c r="D332" t="s">
        <v>53</v>
      </c>
      <c r="E332" t="s">
        <v>32</v>
      </c>
      <c r="F332" t="s">
        <v>36</v>
      </c>
      <c r="G332" t="s">
        <v>77</v>
      </c>
      <c r="H332">
        <v>22.02</v>
      </c>
      <c r="I332">
        <v>13</v>
      </c>
      <c r="J332">
        <v>14.313000000000001</v>
      </c>
      <c r="K332">
        <v>286.26</v>
      </c>
      <c r="L332" s="1">
        <v>43517</v>
      </c>
      <c r="M332" s="2">
        <v>0.78333333333333333</v>
      </c>
      <c r="N332" t="s">
        <v>33</v>
      </c>
      <c r="O332">
        <v>198.18</v>
      </c>
      <c r="P332">
        <v>4.7619047620000003</v>
      </c>
      <c r="Q332">
        <v>88.08</v>
      </c>
      <c r="R332">
        <v>8.16</v>
      </c>
      <c r="S332">
        <v>96.089100000000002</v>
      </c>
      <c r="T332">
        <v>21.9588</v>
      </c>
    </row>
    <row r="333" spans="1:20" x14ac:dyDescent="0.3">
      <c r="A333" t="s">
        <v>618</v>
      </c>
      <c r="B333" t="s">
        <v>21</v>
      </c>
      <c r="C333" t="s">
        <v>376</v>
      </c>
      <c r="D333" t="s">
        <v>23</v>
      </c>
      <c r="E333" t="s">
        <v>32</v>
      </c>
      <c r="F333" t="s">
        <v>36</v>
      </c>
      <c r="H333">
        <v>32.9</v>
      </c>
      <c r="I333">
        <v>3</v>
      </c>
      <c r="J333">
        <v>4.9349999999999996</v>
      </c>
      <c r="K333">
        <v>98.7</v>
      </c>
      <c r="L333" s="1">
        <v>43481</v>
      </c>
      <c r="M333" s="2">
        <v>0.7270833333333333</v>
      </c>
      <c r="N333" t="s">
        <v>37</v>
      </c>
      <c r="O333">
        <v>98.7</v>
      </c>
      <c r="P333">
        <v>4.7619047620000003</v>
      </c>
      <c r="Q333">
        <v>0</v>
      </c>
      <c r="R333">
        <v>9.1</v>
      </c>
      <c r="S333">
        <v>96.173500000000004</v>
      </c>
      <c r="T333">
        <v>16.840900000000001</v>
      </c>
    </row>
    <row r="334" spans="1:20" x14ac:dyDescent="0.3">
      <c r="A334" t="s">
        <v>619</v>
      </c>
      <c r="B334" t="s">
        <v>21</v>
      </c>
      <c r="C334" t="s">
        <v>620</v>
      </c>
      <c r="D334" t="s">
        <v>23</v>
      </c>
      <c r="E334" t="s">
        <v>32</v>
      </c>
      <c r="F334" t="s">
        <v>36</v>
      </c>
      <c r="H334">
        <v>77.02</v>
      </c>
      <c r="I334">
        <v>5</v>
      </c>
      <c r="J334">
        <v>19.254999999999999</v>
      </c>
      <c r="K334">
        <v>385.1</v>
      </c>
      <c r="L334" s="1">
        <v>43713</v>
      </c>
      <c r="M334" s="2">
        <v>0.66597222222222219</v>
      </c>
      <c r="N334" t="s">
        <v>33</v>
      </c>
      <c r="O334">
        <v>385.1</v>
      </c>
      <c r="P334">
        <v>4.7619047620000003</v>
      </c>
      <c r="Q334">
        <v>0</v>
      </c>
      <c r="R334">
        <v>5.5</v>
      </c>
      <c r="S334">
        <v>96.173500000000004</v>
      </c>
      <c r="T334">
        <v>16.840900000000001</v>
      </c>
    </row>
    <row r="335" spans="1:20" x14ac:dyDescent="0.3">
      <c r="A335" t="s">
        <v>621</v>
      </c>
      <c r="B335" t="s">
        <v>21</v>
      </c>
      <c r="C335" t="s">
        <v>622</v>
      </c>
      <c r="D335" t="s">
        <v>23</v>
      </c>
      <c r="E335" t="s">
        <v>32</v>
      </c>
      <c r="F335" t="s">
        <v>36</v>
      </c>
      <c r="H335">
        <v>23.48</v>
      </c>
      <c r="I335">
        <v>2</v>
      </c>
      <c r="K335">
        <v>46.96</v>
      </c>
      <c r="L335" s="1">
        <v>43574</v>
      </c>
      <c r="M335" s="2">
        <v>0.47291666666666665</v>
      </c>
      <c r="N335" t="s">
        <v>37</v>
      </c>
      <c r="O335">
        <v>46.96</v>
      </c>
      <c r="P335">
        <v>4.7619047620000003</v>
      </c>
      <c r="Q335">
        <v>0</v>
      </c>
      <c r="R335">
        <v>7.9</v>
      </c>
      <c r="S335">
        <v>96.173500000000004</v>
      </c>
      <c r="T335">
        <v>16.840900000000001</v>
      </c>
    </row>
    <row r="336" spans="1:20" x14ac:dyDescent="0.3">
      <c r="A336" t="s">
        <v>623</v>
      </c>
      <c r="B336" t="s">
        <v>29</v>
      </c>
      <c r="C336" t="s">
        <v>243</v>
      </c>
      <c r="D336" t="s">
        <v>31</v>
      </c>
      <c r="E336" t="s">
        <v>24</v>
      </c>
      <c r="F336" t="s">
        <v>36</v>
      </c>
      <c r="H336">
        <v>14.7</v>
      </c>
      <c r="I336">
        <v>8</v>
      </c>
      <c r="K336">
        <v>117.6</v>
      </c>
      <c r="L336" s="1">
        <v>43665</v>
      </c>
      <c r="M336" s="2">
        <v>0.57499999999999996</v>
      </c>
      <c r="N336" t="s">
        <v>27</v>
      </c>
      <c r="O336">
        <v>73.5</v>
      </c>
      <c r="P336">
        <v>4.7619047620000003</v>
      </c>
      <c r="Q336">
        <v>44.1</v>
      </c>
      <c r="R336">
        <v>8.9250000000000007</v>
      </c>
      <c r="S336">
        <v>96.078500000000005</v>
      </c>
      <c r="T336">
        <v>19.763300000000001</v>
      </c>
    </row>
    <row r="337" spans="1:20" x14ac:dyDescent="0.3">
      <c r="A337" t="s">
        <v>624</v>
      </c>
      <c r="B337" t="s">
        <v>21</v>
      </c>
      <c r="C337" t="s">
        <v>625</v>
      </c>
      <c r="D337" t="s">
        <v>23</v>
      </c>
      <c r="E337" t="s">
        <v>24</v>
      </c>
      <c r="F337" t="s">
        <v>25</v>
      </c>
      <c r="H337">
        <v>28.45</v>
      </c>
      <c r="I337">
        <v>7</v>
      </c>
      <c r="K337">
        <v>199.15</v>
      </c>
      <c r="L337" s="1">
        <v>43563</v>
      </c>
      <c r="M337" s="2">
        <v>0.4284722222222222</v>
      </c>
      <c r="N337" t="s">
        <v>37</v>
      </c>
      <c r="O337">
        <v>142.25</v>
      </c>
      <c r="P337">
        <v>4.7619047620000003</v>
      </c>
      <c r="Q337">
        <v>56.9</v>
      </c>
      <c r="R337">
        <v>9.1</v>
      </c>
      <c r="S337">
        <v>96.173500000000004</v>
      </c>
      <c r="T337">
        <v>16.840900000000001</v>
      </c>
    </row>
    <row r="338" spans="1:20" x14ac:dyDescent="0.3">
      <c r="A338" t="s">
        <v>626</v>
      </c>
      <c r="B338" t="s">
        <v>21</v>
      </c>
      <c r="C338" t="s">
        <v>627</v>
      </c>
      <c r="D338" t="s">
        <v>23</v>
      </c>
      <c r="E338" t="s">
        <v>32</v>
      </c>
      <c r="F338" t="s">
        <v>36</v>
      </c>
      <c r="H338">
        <v>76.400000000000006</v>
      </c>
      <c r="I338">
        <v>9</v>
      </c>
      <c r="K338">
        <v>687.6</v>
      </c>
      <c r="L338" s="1">
        <v>43759</v>
      </c>
      <c r="M338" s="2">
        <v>0.65902777777777777</v>
      </c>
      <c r="N338" t="s">
        <v>27</v>
      </c>
      <c r="O338">
        <v>687.6</v>
      </c>
      <c r="P338">
        <v>4.7619047620000003</v>
      </c>
      <c r="Q338">
        <v>0</v>
      </c>
      <c r="R338">
        <v>7.5</v>
      </c>
      <c r="S338">
        <v>96.173500000000004</v>
      </c>
      <c r="T338">
        <v>16.840900000000001</v>
      </c>
    </row>
    <row r="339" spans="1:20" x14ac:dyDescent="0.3">
      <c r="A339" t="s">
        <v>628</v>
      </c>
      <c r="B339" t="s">
        <v>51</v>
      </c>
      <c r="C339" t="s">
        <v>629</v>
      </c>
      <c r="D339" t="s">
        <v>53</v>
      </c>
      <c r="E339" t="s">
        <v>32</v>
      </c>
      <c r="F339" t="s">
        <v>25</v>
      </c>
      <c r="H339">
        <v>57.95</v>
      </c>
      <c r="I339">
        <v>8</v>
      </c>
      <c r="K339">
        <v>463.6</v>
      </c>
      <c r="L339" s="1">
        <v>43666</v>
      </c>
      <c r="M339" s="2">
        <v>0.54305555555555551</v>
      </c>
      <c r="N339" t="s">
        <v>33</v>
      </c>
      <c r="O339">
        <v>347.7</v>
      </c>
      <c r="P339">
        <v>4.7619047620000003</v>
      </c>
      <c r="Q339">
        <v>115.9</v>
      </c>
      <c r="R339">
        <v>6.24</v>
      </c>
      <c r="S339">
        <v>96.089100000000002</v>
      </c>
      <c r="T339">
        <v>21.9588</v>
      </c>
    </row>
    <row r="340" spans="1:20" x14ac:dyDescent="0.3">
      <c r="A340" t="s">
        <v>630</v>
      </c>
      <c r="B340" t="s">
        <v>29</v>
      </c>
      <c r="C340" t="s">
        <v>631</v>
      </c>
      <c r="D340" t="s">
        <v>31</v>
      </c>
      <c r="E340" t="s">
        <v>32</v>
      </c>
      <c r="F340" t="s">
        <v>25</v>
      </c>
      <c r="H340">
        <v>47.65</v>
      </c>
      <c r="I340">
        <v>4</v>
      </c>
      <c r="K340">
        <v>190.6</v>
      </c>
      <c r="L340" s="1">
        <v>43574</v>
      </c>
      <c r="M340" s="2">
        <v>0.54027777777777775</v>
      </c>
      <c r="N340" t="s">
        <v>37</v>
      </c>
      <c r="O340">
        <v>142.94999999999999</v>
      </c>
      <c r="P340">
        <v>4.7619047620000003</v>
      </c>
      <c r="Q340">
        <v>47.65</v>
      </c>
      <c r="R340">
        <v>9.9749999999999996</v>
      </c>
      <c r="S340">
        <v>96.078500000000005</v>
      </c>
      <c r="T340">
        <v>19.763300000000001</v>
      </c>
    </row>
    <row r="341" spans="1:20" x14ac:dyDescent="0.3">
      <c r="A341" t="s">
        <v>632</v>
      </c>
      <c r="B341" t="s">
        <v>51</v>
      </c>
      <c r="C341" t="s">
        <v>633</v>
      </c>
      <c r="D341" t="s">
        <v>53</v>
      </c>
      <c r="E341" t="s">
        <v>24</v>
      </c>
      <c r="F341" t="s">
        <v>25</v>
      </c>
      <c r="H341">
        <v>42.82</v>
      </c>
      <c r="I341">
        <v>18</v>
      </c>
      <c r="J341">
        <v>38.537999999999997</v>
      </c>
      <c r="K341">
        <v>770.76</v>
      </c>
      <c r="L341" s="1">
        <v>43509</v>
      </c>
      <c r="M341" s="2">
        <v>0.6430555555555556</v>
      </c>
      <c r="N341" t="s">
        <v>37</v>
      </c>
      <c r="O341">
        <v>385.38</v>
      </c>
      <c r="P341">
        <v>4.7619047620000003</v>
      </c>
      <c r="Q341">
        <v>385.38</v>
      </c>
      <c r="R341">
        <v>10</v>
      </c>
      <c r="S341">
        <v>96.089100000000002</v>
      </c>
      <c r="T341">
        <v>21.9588</v>
      </c>
    </row>
    <row r="342" spans="1:20" x14ac:dyDescent="0.3">
      <c r="A342" t="s">
        <v>634</v>
      </c>
      <c r="B342" t="s">
        <v>51</v>
      </c>
      <c r="C342" t="s">
        <v>437</v>
      </c>
      <c r="D342" t="s">
        <v>53</v>
      </c>
      <c r="E342" t="s">
        <v>24</v>
      </c>
      <c r="F342" t="s">
        <v>36</v>
      </c>
      <c r="H342">
        <v>48.09</v>
      </c>
      <c r="I342">
        <v>6</v>
      </c>
      <c r="J342">
        <v>14.427</v>
      </c>
      <c r="K342">
        <v>288.54000000000002</v>
      </c>
      <c r="L342" s="1">
        <v>43748</v>
      </c>
      <c r="M342" s="2">
        <v>0.76597222222222228</v>
      </c>
      <c r="N342" t="s">
        <v>37</v>
      </c>
      <c r="O342">
        <v>144.27000000000001</v>
      </c>
      <c r="P342">
        <v>4.7619047620000003</v>
      </c>
      <c r="Q342">
        <v>144.27000000000001</v>
      </c>
      <c r="R342">
        <v>9.36</v>
      </c>
      <c r="S342">
        <v>96.089100000000002</v>
      </c>
      <c r="T342">
        <v>21.9588</v>
      </c>
    </row>
    <row r="343" spans="1:20" x14ac:dyDescent="0.3">
      <c r="A343" t="s">
        <v>635</v>
      </c>
      <c r="B343" t="s">
        <v>51</v>
      </c>
      <c r="C343" t="s">
        <v>636</v>
      </c>
      <c r="D343" t="s">
        <v>53</v>
      </c>
      <c r="E343" t="s">
        <v>24</v>
      </c>
      <c r="F343" t="s">
        <v>25</v>
      </c>
      <c r="G343" t="s">
        <v>26</v>
      </c>
      <c r="H343">
        <v>55.97</v>
      </c>
      <c r="I343">
        <v>14</v>
      </c>
      <c r="J343">
        <v>39.179000000000002</v>
      </c>
      <c r="K343">
        <v>783.58</v>
      </c>
      <c r="L343" s="1">
        <v>43651</v>
      </c>
      <c r="M343" s="2">
        <v>0.79583333333333328</v>
      </c>
      <c r="N343" t="s">
        <v>27</v>
      </c>
      <c r="O343">
        <v>391.79</v>
      </c>
      <c r="P343">
        <v>4.7619047620000003</v>
      </c>
      <c r="Q343">
        <v>391.79</v>
      </c>
      <c r="R343">
        <v>10</v>
      </c>
      <c r="S343">
        <v>96.089100000000002</v>
      </c>
      <c r="T343">
        <v>21.9588</v>
      </c>
    </row>
    <row r="344" spans="1:20" x14ac:dyDescent="0.3">
      <c r="A344" t="s">
        <v>637</v>
      </c>
      <c r="B344" t="s">
        <v>51</v>
      </c>
      <c r="C344" t="s">
        <v>356</v>
      </c>
      <c r="D344" t="s">
        <v>53</v>
      </c>
      <c r="E344" t="s">
        <v>24</v>
      </c>
      <c r="F344" t="s">
        <v>25</v>
      </c>
      <c r="G344" t="s">
        <v>26</v>
      </c>
      <c r="H344">
        <v>76.900000000000006</v>
      </c>
      <c r="I344">
        <v>14</v>
      </c>
      <c r="J344">
        <v>53.83</v>
      </c>
      <c r="K344">
        <v>1076.5999999999999</v>
      </c>
      <c r="L344" s="1">
        <v>43821</v>
      </c>
      <c r="M344" s="2">
        <v>0.84791666666666665</v>
      </c>
      <c r="N344" t="s">
        <v>33</v>
      </c>
      <c r="O344">
        <v>538.29999999999995</v>
      </c>
      <c r="P344">
        <v>4.7619047620000003</v>
      </c>
      <c r="Q344">
        <v>538.29999999999995</v>
      </c>
      <c r="R344">
        <v>9.24</v>
      </c>
      <c r="S344">
        <v>96.089100000000002</v>
      </c>
      <c r="T344">
        <v>21.9588</v>
      </c>
    </row>
    <row r="345" spans="1:20" x14ac:dyDescent="0.3">
      <c r="A345" t="s">
        <v>638</v>
      </c>
      <c r="B345" t="s">
        <v>29</v>
      </c>
      <c r="C345" t="s">
        <v>639</v>
      </c>
      <c r="D345" t="s">
        <v>31</v>
      </c>
      <c r="E345" t="s">
        <v>32</v>
      </c>
      <c r="F345" t="s">
        <v>25</v>
      </c>
      <c r="G345" t="s">
        <v>63</v>
      </c>
      <c r="H345">
        <v>97.03</v>
      </c>
      <c r="I345">
        <v>6</v>
      </c>
      <c r="J345">
        <v>29.109000000000002</v>
      </c>
      <c r="K345">
        <v>582.17999999999995</v>
      </c>
      <c r="L345" s="1">
        <v>43718</v>
      </c>
      <c r="M345" s="2">
        <v>0.68333333333333335</v>
      </c>
      <c r="N345" t="s">
        <v>27</v>
      </c>
      <c r="O345">
        <v>485.15</v>
      </c>
      <c r="P345">
        <v>4.7619047620000003</v>
      </c>
      <c r="Q345">
        <v>97.03</v>
      </c>
      <c r="R345">
        <v>9.7650000000000006</v>
      </c>
      <c r="S345">
        <v>96.078500000000005</v>
      </c>
      <c r="T345">
        <v>19.763300000000001</v>
      </c>
    </row>
    <row r="346" spans="1:20" x14ac:dyDescent="0.3">
      <c r="A346" t="s">
        <v>640</v>
      </c>
      <c r="B346" t="s">
        <v>21</v>
      </c>
      <c r="C346" t="s">
        <v>641</v>
      </c>
      <c r="D346" t="s">
        <v>23</v>
      </c>
      <c r="E346" t="s">
        <v>32</v>
      </c>
      <c r="F346" t="s">
        <v>36</v>
      </c>
      <c r="G346" t="s">
        <v>68</v>
      </c>
      <c r="H346">
        <v>44.65</v>
      </c>
      <c r="I346">
        <v>3</v>
      </c>
      <c r="J346">
        <v>6.6974999999999998</v>
      </c>
      <c r="K346">
        <v>133.94999999999999</v>
      </c>
      <c r="L346" s="1">
        <v>43663</v>
      </c>
      <c r="M346" s="2">
        <v>0.62777777777777777</v>
      </c>
      <c r="N346" t="s">
        <v>33</v>
      </c>
      <c r="O346">
        <v>133.94999999999999</v>
      </c>
      <c r="P346">
        <v>4.7619047620000003</v>
      </c>
      <c r="Q346">
        <v>0</v>
      </c>
      <c r="R346">
        <v>6.2</v>
      </c>
      <c r="S346">
        <v>96.173500000000004</v>
      </c>
      <c r="T346">
        <v>16.840900000000001</v>
      </c>
    </row>
    <row r="347" spans="1:20" x14ac:dyDescent="0.3">
      <c r="A347" t="s">
        <v>642</v>
      </c>
      <c r="B347" t="s">
        <v>21</v>
      </c>
      <c r="C347" t="s">
        <v>643</v>
      </c>
      <c r="D347" t="s">
        <v>23</v>
      </c>
      <c r="E347" t="s">
        <v>32</v>
      </c>
      <c r="F347" t="s">
        <v>25</v>
      </c>
      <c r="G347" t="s">
        <v>100</v>
      </c>
      <c r="H347">
        <v>77.930000000000007</v>
      </c>
      <c r="I347">
        <v>9</v>
      </c>
      <c r="J347">
        <v>35.0685</v>
      </c>
      <c r="K347">
        <v>701.37</v>
      </c>
      <c r="L347" s="1">
        <v>43647</v>
      </c>
      <c r="M347" s="2">
        <v>0.67361111111111116</v>
      </c>
      <c r="N347" t="s">
        <v>27</v>
      </c>
      <c r="O347">
        <v>701.37</v>
      </c>
      <c r="P347">
        <v>4.7619047620000003</v>
      </c>
      <c r="Q347">
        <v>0</v>
      </c>
      <c r="R347">
        <v>7.6</v>
      </c>
      <c r="S347">
        <v>96.173500000000004</v>
      </c>
      <c r="T347">
        <v>16.840900000000001</v>
      </c>
    </row>
    <row r="348" spans="1:20" x14ac:dyDescent="0.3">
      <c r="A348" t="s">
        <v>644</v>
      </c>
      <c r="B348" t="s">
        <v>21</v>
      </c>
      <c r="C348" t="s">
        <v>645</v>
      </c>
      <c r="D348" t="s">
        <v>23</v>
      </c>
      <c r="E348" t="s">
        <v>24</v>
      </c>
      <c r="F348" t="s">
        <v>36</v>
      </c>
      <c r="G348" t="s">
        <v>60</v>
      </c>
      <c r="H348">
        <v>71.95</v>
      </c>
      <c r="I348">
        <v>1</v>
      </c>
      <c r="J348">
        <v>3.5975000000000001</v>
      </c>
      <c r="K348">
        <v>71.95</v>
      </c>
      <c r="L348" s="1">
        <v>43720</v>
      </c>
      <c r="M348" s="2">
        <v>0.50972222222222219</v>
      </c>
      <c r="N348" t="s">
        <v>33</v>
      </c>
      <c r="O348">
        <v>71.95</v>
      </c>
      <c r="P348">
        <v>4.7619047620000003</v>
      </c>
      <c r="Q348">
        <v>0</v>
      </c>
      <c r="R348">
        <v>7.3</v>
      </c>
      <c r="S348">
        <v>96.173500000000004</v>
      </c>
      <c r="T348">
        <v>16.840900000000001</v>
      </c>
    </row>
    <row r="349" spans="1:20" x14ac:dyDescent="0.3">
      <c r="A349" t="s">
        <v>646</v>
      </c>
      <c r="B349" t="s">
        <v>29</v>
      </c>
      <c r="C349" t="s">
        <v>173</v>
      </c>
      <c r="D349" t="s">
        <v>31</v>
      </c>
      <c r="E349" t="s">
        <v>24</v>
      </c>
      <c r="F349" t="s">
        <v>25</v>
      </c>
      <c r="G349" t="s">
        <v>77</v>
      </c>
      <c r="H349">
        <v>89.25</v>
      </c>
      <c r="I349">
        <v>14</v>
      </c>
      <c r="J349">
        <v>62.475000000000001</v>
      </c>
      <c r="K349">
        <v>1249.5</v>
      </c>
      <c r="L349" s="1">
        <v>43624</v>
      </c>
      <c r="M349" s="2">
        <v>0.42569444444444443</v>
      </c>
      <c r="N349" t="s">
        <v>33</v>
      </c>
      <c r="O349">
        <v>714</v>
      </c>
      <c r="P349">
        <v>4.7619047620000003</v>
      </c>
      <c r="Q349">
        <v>535.5</v>
      </c>
      <c r="R349">
        <v>4.9349999999999996</v>
      </c>
      <c r="S349">
        <v>96.078500000000005</v>
      </c>
      <c r="T349">
        <v>19.763300000000001</v>
      </c>
    </row>
    <row r="350" spans="1:20" x14ac:dyDescent="0.3">
      <c r="A350" t="s">
        <v>647</v>
      </c>
      <c r="B350" t="s">
        <v>21</v>
      </c>
      <c r="C350" t="s">
        <v>74</v>
      </c>
      <c r="D350" t="s">
        <v>23</v>
      </c>
      <c r="E350" t="s">
        <v>32</v>
      </c>
      <c r="F350" t="s">
        <v>36</v>
      </c>
      <c r="G350" t="s">
        <v>60</v>
      </c>
      <c r="H350">
        <v>26.02</v>
      </c>
      <c r="I350">
        <v>7</v>
      </c>
      <c r="J350">
        <v>9.1069999999999993</v>
      </c>
      <c r="K350">
        <v>182.14</v>
      </c>
      <c r="L350" s="1">
        <v>43682</v>
      </c>
      <c r="M350" s="2">
        <v>0.73472222222222228</v>
      </c>
      <c r="N350" t="s">
        <v>33</v>
      </c>
      <c r="O350">
        <v>182.14</v>
      </c>
      <c r="P350">
        <v>4.7619047620000003</v>
      </c>
      <c r="Q350">
        <v>0</v>
      </c>
      <c r="R350">
        <v>5.0999999999999996</v>
      </c>
      <c r="S350">
        <v>96.173500000000004</v>
      </c>
      <c r="T350">
        <v>16.840900000000001</v>
      </c>
    </row>
    <row r="351" spans="1:20" x14ac:dyDescent="0.3">
      <c r="A351" t="s">
        <v>648</v>
      </c>
      <c r="B351" t="s">
        <v>51</v>
      </c>
      <c r="C351" t="s">
        <v>649</v>
      </c>
      <c r="D351" t="s">
        <v>53</v>
      </c>
      <c r="E351" t="s">
        <v>32</v>
      </c>
      <c r="F351" t="s">
        <v>25</v>
      </c>
      <c r="G351" t="s">
        <v>26</v>
      </c>
      <c r="H351">
        <v>13.5</v>
      </c>
      <c r="I351">
        <v>14</v>
      </c>
      <c r="J351">
        <v>9.4499999999999993</v>
      </c>
      <c r="K351">
        <v>189</v>
      </c>
      <c r="L351" s="1">
        <v>43726</v>
      </c>
      <c r="M351" s="2">
        <v>0.46250000000000002</v>
      </c>
      <c r="N351" t="s">
        <v>37</v>
      </c>
      <c r="O351">
        <v>135</v>
      </c>
      <c r="P351">
        <v>4.7619047620000003</v>
      </c>
      <c r="Q351">
        <v>54</v>
      </c>
      <c r="R351">
        <v>5.76</v>
      </c>
      <c r="S351">
        <v>96.089100000000002</v>
      </c>
      <c r="T351">
        <v>21.9588</v>
      </c>
    </row>
    <row r="352" spans="1:20" x14ac:dyDescent="0.3">
      <c r="A352" t="s">
        <v>650</v>
      </c>
      <c r="B352" t="s">
        <v>29</v>
      </c>
      <c r="C352" t="s">
        <v>651</v>
      </c>
      <c r="D352" t="s">
        <v>31</v>
      </c>
      <c r="E352" t="s">
        <v>24</v>
      </c>
      <c r="F352" t="s">
        <v>25</v>
      </c>
      <c r="G352" t="s">
        <v>100</v>
      </c>
      <c r="H352">
        <v>99.3</v>
      </c>
      <c r="I352">
        <v>17</v>
      </c>
      <c r="J352">
        <v>84.405000000000001</v>
      </c>
      <c r="K352">
        <v>1688.1</v>
      </c>
      <c r="L352" s="1">
        <v>43709</v>
      </c>
      <c r="M352" s="2">
        <v>0.62013888888888891</v>
      </c>
      <c r="N352" t="s">
        <v>37</v>
      </c>
      <c r="O352">
        <v>993</v>
      </c>
      <c r="P352">
        <v>4.7619047620000003</v>
      </c>
      <c r="Q352">
        <v>695.1</v>
      </c>
      <c r="R352">
        <v>6.93</v>
      </c>
      <c r="S352">
        <v>96.078500000000005</v>
      </c>
      <c r="T352">
        <v>19.763300000000001</v>
      </c>
    </row>
    <row r="353" spans="1:20" x14ac:dyDescent="0.3">
      <c r="A353" t="s">
        <v>652</v>
      </c>
      <c r="B353" t="s">
        <v>21</v>
      </c>
      <c r="C353" t="s">
        <v>653</v>
      </c>
      <c r="D353" t="s">
        <v>23</v>
      </c>
      <c r="E353" t="s">
        <v>32</v>
      </c>
      <c r="F353" t="s">
        <v>36</v>
      </c>
      <c r="G353" t="s">
        <v>60</v>
      </c>
      <c r="H353">
        <v>51.69</v>
      </c>
      <c r="I353">
        <v>7</v>
      </c>
      <c r="J353">
        <v>18.0915</v>
      </c>
      <c r="K353">
        <v>361.83</v>
      </c>
      <c r="L353" s="1">
        <v>43528</v>
      </c>
      <c r="M353" s="2">
        <v>0.76527777777777772</v>
      </c>
      <c r="N353" t="s">
        <v>33</v>
      </c>
      <c r="O353">
        <v>361.83</v>
      </c>
      <c r="P353">
        <v>4.7619047620000003</v>
      </c>
      <c r="Q353">
        <v>0</v>
      </c>
      <c r="R353">
        <v>5.5</v>
      </c>
      <c r="S353">
        <v>96.173500000000004</v>
      </c>
      <c r="T353">
        <v>16.840900000000001</v>
      </c>
    </row>
    <row r="354" spans="1:20" x14ac:dyDescent="0.3">
      <c r="A354" t="s">
        <v>654</v>
      </c>
      <c r="B354" t="s">
        <v>51</v>
      </c>
      <c r="C354" t="s">
        <v>134</v>
      </c>
      <c r="D354" t="s">
        <v>53</v>
      </c>
      <c r="E354" t="s">
        <v>24</v>
      </c>
      <c r="F354" t="s">
        <v>25</v>
      </c>
      <c r="G354" t="s">
        <v>100</v>
      </c>
      <c r="H354">
        <v>54.73</v>
      </c>
      <c r="I354">
        <v>14</v>
      </c>
      <c r="J354">
        <v>38.311</v>
      </c>
      <c r="K354">
        <v>766.22</v>
      </c>
      <c r="L354" s="1">
        <v>43551</v>
      </c>
      <c r="M354" s="2">
        <v>0.79305555555555551</v>
      </c>
      <c r="N354" t="s">
        <v>37</v>
      </c>
      <c r="O354">
        <v>383.11</v>
      </c>
      <c r="P354">
        <v>4.7619047620000003</v>
      </c>
      <c r="Q354">
        <v>383.11</v>
      </c>
      <c r="R354">
        <v>10</v>
      </c>
      <c r="S354">
        <v>96.089100000000002</v>
      </c>
      <c r="T354">
        <v>21.9588</v>
      </c>
    </row>
    <row r="355" spans="1:20" x14ac:dyDescent="0.3">
      <c r="A355" t="s">
        <v>655</v>
      </c>
      <c r="C355" t="s">
        <v>656</v>
      </c>
      <c r="D355" t="s">
        <v>53</v>
      </c>
      <c r="E355" t="s">
        <v>24</v>
      </c>
      <c r="F355" t="s">
        <v>36</v>
      </c>
      <c r="G355" t="s">
        <v>77</v>
      </c>
      <c r="H355">
        <v>27</v>
      </c>
      <c r="I355">
        <v>18</v>
      </c>
      <c r="J355">
        <v>24.3</v>
      </c>
      <c r="K355">
        <v>486</v>
      </c>
      <c r="L355" s="1">
        <v>43613</v>
      </c>
      <c r="M355" s="2">
        <v>0.59444444444444444</v>
      </c>
      <c r="N355" t="s">
        <v>33</v>
      </c>
      <c r="O355">
        <v>243</v>
      </c>
      <c r="P355">
        <v>4.7619047620000003</v>
      </c>
      <c r="Q355">
        <v>243</v>
      </c>
      <c r="R355">
        <v>5.76</v>
      </c>
      <c r="S355">
        <v>96.089100000000002</v>
      </c>
      <c r="T355">
        <v>21.9588</v>
      </c>
    </row>
    <row r="356" spans="1:20" x14ac:dyDescent="0.3">
      <c r="A356" t="s">
        <v>657</v>
      </c>
      <c r="C356" t="s">
        <v>658</v>
      </c>
      <c r="D356" t="s">
        <v>31</v>
      </c>
      <c r="E356" t="s">
        <v>32</v>
      </c>
      <c r="F356" t="s">
        <v>25</v>
      </c>
      <c r="G356" t="s">
        <v>60</v>
      </c>
      <c r="H356">
        <v>30.24</v>
      </c>
      <c r="I356">
        <v>1</v>
      </c>
      <c r="J356">
        <v>1.512</v>
      </c>
      <c r="K356">
        <v>30.24</v>
      </c>
      <c r="L356" s="1">
        <v>43819</v>
      </c>
      <c r="M356" s="2">
        <v>0.65555555555555556</v>
      </c>
      <c r="N356" t="s">
        <v>33</v>
      </c>
      <c r="O356">
        <v>30.24</v>
      </c>
      <c r="P356">
        <v>4.7619047620000003</v>
      </c>
      <c r="Q356">
        <v>0</v>
      </c>
      <c r="R356">
        <v>8.82</v>
      </c>
      <c r="S356">
        <v>96.078500000000005</v>
      </c>
      <c r="T356">
        <v>19.763300000000001</v>
      </c>
    </row>
    <row r="357" spans="1:20" x14ac:dyDescent="0.3">
      <c r="A357" t="s">
        <v>659</v>
      </c>
      <c r="C357" t="s">
        <v>123</v>
      </c>
      <c r="D357" t="s">
        <v>53</v>
      </c>
      <c r="E357" t="s">
        <v>24</v>
      </c>
      <c r="F357" t="s">
        <v>25</v>
      </c>
      <c r="G357" t="s">
        <v>63</v>
      </c>
      <c r="H357">
        <v>89.14</v>
      </c>
      <c r="I357">
        <v>8</v>
      </c>
      <c r="J357">
        <v>35.655999999999999</v>
      </c>
      <c r="K357">
        <v>713.12</v>
      </c>
      <c r="L357" s="1">
        <v>43590</v>
      </c>
      <c r="M357" s="2">
        <v>0.51388888888888884</v>
      </c>
      <c r="N357" t="s">
        <v>37</v>
      </c>
      <c r="O357">
        <v>356.56</v>
      </c>
      <c r="P357">
        <v>4.7619047620000003</v>
      </c>
      <c r="Q357">
        <v>356.56</v>
      </c>
      <c r="R357">
        <v>9.36</v>
      </c>
      <c r="S357">
        <v>96.089100000000002</v>
      </c>
      <c r="T357">
        <v>21.9588</v>
      </c>
    </row>
    <row r="358" spans="1:20" x14ac:dyDescent="0.3">
      <c r="A358" t="s">
        <v>660</v>
      </c>
      <c r="C358" t="s">
        <v>109</v>
      </c>
      <c r="D358" t="s">
        <v>31</v>
      </c>
      <c r="E358" t="s">
        <v>32</v>
      </c>
      <c r="F358" t="s">
        <v>25</v>
      </c>
      <c r="G358" t="s">
        <v>100</v>
      </c>
      <c r="H358">
        <v>37.549999999999997</v>
      </c>
      <c r="I358">
        <v>12</v>
      </c>
      <c r="J358">
        <v>22.53</v>
      </c>
      <c r="K358">
        <v>450.6</v>
      </c>
      <c r="L358" s="1">
        <v>43640</v>
      </c>
      <c r="M358" s="2">
        <v>0.83402777777777781</v>
      </c>
      <c r="N358" t="s">
        <v>37</v>
      </c>
      <c r="O358">
        <v>375.5</v>
      </c>
      <c r="P358">
        <v>4.7619047620000003</v>
      </c>
      <c r="Q358">
        <v>75.099999999999994</v>
      </c>
      <c r="R358">
        <v>9.7650000000000006</v>
      </c>
      <c r="S358">
        <v>96.078500000000005</v>
      </c>
      <c r="T358">
        <v>19.763300000000001</v>
      </c>
    </row>
    <row r="359" spans="1:20" x14ac:dyDescent="0.3">
      <c r="A359" t="s">
        <v>661</v>
      </c>
      <c r="C359" t="s">
        <v>662</v>
      </c>
      <c r="D359" t="s">
        <v>31</v>
      </c>
      <c r="E359" t="s">
        <v>32</v>
      </c>
      <c r="F359" t="s">
        <v>25</v>
      </c>
      <c r="G359" t="s">
        <v>68</v>
      </c>
      <c r="H359">
        <v>95.44</v>
      </c>
      <c r="I359">
        <v>12</v>
      </c>
      <c r="J359">
        <v>57.264000000000003</v>
      </c>
      <c r="K359">
        <v>1145.28</v>
      </c>
      <c r="L359" s="1">
        <v>43539</v>
      </c>
      <c r="M359" s="2">
        <v>0.57291666666666663</v>
      </c>
      <c r="N359" t="s">
        <v>33</v>
      </c>
      <c r="O359">
        <v>954.4</v>
      </c>
      <c r="P359">
        <v>4.7619047620000003</v>
      </c>
      <c r="Q359">
        <v>190.88</v>
      </c>
      <c r="R359">
        <v>5.46</v>
      </c>
      <c r="S359">
        <v>96.078500000000005</v>
      </c>
      <c r="T359">
        <v>19.763300000000001</v>
      </c>
    </row>
    <row r="360" spans="1:20" x14ac:dyDescent="0.3">
      <c r="A360" t="s">
        <v>663</v>
      </c>
      <c r="C360" t="s">
        <v>268</v>
      </c>
      <c r="D360" t="s">
        <v>53</v>
      </c>
      <c r="E360" t="s">
        <v>32</v>
      </c>
      <c r="F360" t="s">
        <v>36</v>
      </c>
      <c r="G360" t="s">
        <v>60</v>
      </c>
      <c r="H360">
        <v>27.5</v>
      </c>
      <c r="I360">
        <v>4</v>
      </c>
      <c r="J360">
        <v>5.5</v>
      </c>
      <c r="K360">
        <v>110</v>
      </c>
      <c r="L360" s="1">
        <v>43540</v>
      </c>
      <c r="M360" s="2">
        <v>0.65277777777777779</v>
      </c>
      <c r="N360" t="s">
        <v>27</v>
      </c>
      <c r="O360">
        <v>82.5</v>
      </c>
      <c r="P360">
        <v>4.7619047620000003</v>
      </c>
      <c r="Q360">
        <v>27.5</v>
      </c>
      <c r="R360">
        <v>7.8</v>
      </c>
      <c r="S360">
        <v>96.089100000000002</v>
      </c>
      <c r="T360">
        <v>21.9588</v>
      </c>
    </row>
    <row r="361" spans="1:20" x14ac:dyDescent="0.3">
      <c r="A361" t="s">
        <v>664</v>
      </c>
      <c r="C361" t="s">
        <v>665</v>
      </c>
      <c r="D361" t="s">
        <v>53</v>
      </c>
      <c r="E361" t="s">
        <v>32</v>
      </c>
      <c r="F361" t="s">
        <v>36</v>
      </c>
      <c r="G361" t="s">
        <v>68</v>
      </c>
      <c r="H361">
        <v>74.97</v>
      </c>
      <c r="I361">
        <v>1</v>
      </c>
      <c r="J361">
        <v>3.7484999999999999</v>
      </c>
      <c r="K361">
        <v>74.97</v>
      </c>
      <c r="L361" s="1">
        <v>43600</v>
      </c>
      <c r="M361" s="2">
        <v>0.70694444444444449</v>
      </c>
      <c r="N361" t="s">
        <v>33</v>
      </c>
      <c r="O361">
        <v>74.97</v>
      </c>
      <c r="P361">
        <v>4.7619047620000003</v>
      </c>
      <c r="Q361">
        <v>0</v>
      </c>
      <c r="R361">
        <v>6.72</v>
      </c>
      <c r="S361">
        <v>96.089100000000002</v>
      </c>
      <c r="T361">
        <v>21.9588</v>
      </c>
    </row>
    <row r="362" spans="1:20" x14ac:dyDescent="0.3">
      <c r="A362" t="s">
        <v>666</v>
      </c>
      <c r="C362" t="s">
        <v>262</v>
      </c>
      <c r="D362" t="s">
        <v>23</v>
      </c>
      <c r="E362" t="s">
        <v>24</v>
      </c>
      <c r="F362" t="s">
        <v>36</v>
      </c>
      <c r="G362" t="s">
        <v>63</v>
      </c>
      <c r="H362">
        <v>80.959999999999994</v>
      </c>
      <c r="I362">
        <v>11</v>
      </c>
      <c r="J362">
        <v>44.527999999999999</v>
      </c>
      <c r="K362">
        <v>890.56</v>
      </c>
      <c r="L362" s="1">
        <v>43563</v>
      </c>
      <c r="M362" s="2">
        <v>0.46666666666666667</v>
      </c>
      <c r="N362" t="s">
        <v>37</v>
      </c>
      <c r="O362">
        <v>647.67999999999995</v>
      </c>
      <c r="P362">
        <v>4.7619047620000003</v>
      </c>
      <c r="Q362">
        <v>242.88</v>
      </c>
      <c r="R362">
        <v>7.4</v>
      </c>
      <c r="S362">
        <v>96.173500000000004</v>
      </c>
      <c r="T362">
        <v>16.840900000000001</v>
      </c>
    </row>
    <row r="363" spans="1:20" x14ac:dyDescent="0.3">
      <c r="A363" t="s">
        <v>667</v>
      </c>
      <c r="C363" t="s">
        <v>668</v>
      </c>
      <c r="D363" t="s">
        <v>31</v>
      </c>
      <c r="E363" t="s">
        <v>32</v>
      </c>
      <c r="F363" t="s">
        <v>25</v>
      </c>
      <c r="G363" t="s">
        <v>63</v>
      </c>
      <c r="H363">
        <v>94.47</v>
      </c>
      <c r="I363">
        <v>10</v>
      </c>
      <c r="J363">
        <v>47.234999999999999</v>
      </c>
      <c r="K363">
        <v>944.7</v>
      </c>
      <c r="L363" s="1">
        <v>43652</v>
      </c>
      <c r="M363" s="2">
        <v>0.6333333333333333</v>
      </c>
      <c r="N363" t="s">
        <v>33</v>
      </c>
      <c r="O363">
        <v>755.76</v>
      </c>
      <c r="P363">
        <v>4.7619047620000003</v>
      </c>
      <c r="Q363">
        <v>188.94</v>
      </c>
      <c r="R363">
        <v>9.5549999999999997</v>
      </c>
      <c r="S363">
        <v>96.078500000000005</v>
      </c>
      <c r="T363">
        <v>19.763300000000001</v>
      </c>
    </row>
    <row r="364" spans="1:20" x14ac:dyDescent="0.3">
      <c r="A364" t="s">
        <v>669</v>
      </c>
      <c r="C364" t="s">
        <v>670</v>
      </c>
      <c r="D364" t="s">
        <v>31</v>
      </c>
      <c r="E364" t="s">
        <v>32</v>
      </c>
      <c r="F364" t="s">
        <v>36</v>
      </c>
      <c r="G364" t="s">
        <v>63</v>
      </c>
      <c r="H364">
        <v>99.79</v>
      </c>
      <c r="I364">
        <v>2</v>
      </c>
      <c r="J364">
        <v>9.9789999999999992</v>
      </c>
      <c r="K364">
        <v>199.58</v>
      </c>
      <c r="L364" s="1">
        <v>43540</v>
      </c>
      <c r="M364" s="2">
        <v>0.85902777777777772</v>
      </c>
      <c r="N364" t="s">
        <v>27</v>
      </c>
      <c r="O364">
        <v>199.58</v>
      </c>
      <c r="P364">
        <v>4.7619047620000003</v>
      </c>
      <c r="Q364">
        <v>0</v>
      </c>
      <c r="R364">
        <v>8.4</v>
      </c>
      <c r="S364">
        <v>96.078500000000005</v>
      </c>
      <c r="T364">
        <v>19.763300000000001</v>
      </c>
    </row>
    <row r="365" spans="1:20" x14ac:dyDescent="0.3">
      <c r="A365" t="s">
        <v>671</v>
      </c>
      <c r="C365" t="s">
        <v>672</v>
      </c>
      <c r="D365" t="s">
        <v>23</v>
      </c>
      <c r="E365" t="s">
        <v>32</v>
      </c>
      <c r="F365" t="s">
        <v>36</v>
      </c>
      <c r="G365" t="s">
        <v>77</v>
      </c>
      <c r="H365">
        <v>73.22</v>
      </c>
      <c r="I365">
        <v>6</v>
      </c>
      <c r="J365">
        <v>21.966000000000001</v>
      </c>
      <c r="K365">
        <v>439.32</v>
      </c>
      <c r="L365" s="1">
        <v>43527</v>
      </c>
      <c r="M365" s="2">
        <v>0.73888888888888893</v>
      </c>
      <c r="N365" t="s">
        <v>33</v>
      </c>
      <c r="O365">
        <v>439.32</v>
      </c>
      <c r="P365">
        <v>4.7619047620000003</v>
      </c>
      <c r="Q365">
        <v>0</v>
      </c>
      <c r="R365">
        <v>7.2</v>
      </c>
      <c r="S365">
        <v>96.173500000000004</v>
      </c>
      <c r="T365">
        <v>16.840900000000001</v>
      </c>
    </row>
    <row r="366" spans="1:20" x14ac:dyDescent="0.3">
      <c r="A366" t="s">
        <v>673</v>
      </c>
      <c r="C366" t="s">
        <v>466</v>
      </c>
      <c r="D366" t="s">
        <v>31</v>
      </c>
      <c r="E366" t="s">
        <v>32</v>
      </c>
      <c r="F366" t="s">
        <v>25</v>
      </c>
      <c r="G366" t="s">
        <v>63</v>
      </c>
      <c r="H366">
        <v>41.24</v>
      </c>
      <c r="I366">
        <v>5</v>
      </c>
      <c r="J366">
        <v>10.31</v>
      </c>
      <c r="K366">
        <v>206.2</v>
      </c>
      <c r="L366" s="1">
        <v>43736</v>
      </c>
      <c r="M366" s="2">
        <v>0.68263888888888891</v>
      </c>
      <c r="N366" t="s">
        <v>33</v>
      </c>
      <c r="O366">
        <v>164.96</v>
      </c>
      <c r="P366">
        <v>4.7619047620000003</v>
      </c>
      <c r="Q366">
        <v>41.24</v>
      </c>
      <c r="R366">
        <v>7.4550000000000001</v>
      </c>
      <c r="S366">
        <v>96.078500000000005</v>
      </c>
      <c r="T366">
        <v>19.763300000000001</v>
      </c>
    </row>
    <row r="367" spans="1:20" x14ac:dyDescent="0.3">
      <c r="A367" t="s">
        <v>674</v>
      </c>
      <c r="C367" t="s">
        <v>675</v>
      </c>
      <c r="D367" t="s">
        <v>31</v>
      </c>
      <c r="E367" t="s">
        <v>32</v>
      </c>
      <c r="F367" t="s">
        <v>25</v>
      </c>
      <c r="G367" t="s">
        <v>100</v>
      </c>
      <c r="H367">
        <v>81.680000000000007</v>
      </c>
      <c r="I367">
        <v>5</v>
      </c>
      <c r="J367">
        <v>20.420000000000002</v>
      </c>
      <c r="K367">
        <v>408.4</v>
      </c>
      <c r="L367" s="1">
        <v>43494</v>
      </c>
      <c r="M367" s="2">
        <v>0.5083333333333333</v>
      </c>
      <c r="N367" t="s">
        <v>33</v>
      </c>
      <c r="O367">
        <v>326.72000000000003</v>
      </c>
      <c r="P367">
        <v>4.7619047620000003</v>
      </c>
      <c r="Q367">
        <v>81.680000000000007</v>
      </c>
      <c r="R367">
        <v>9.5549999999999997</v>
      </c>
      <c r="S367">
        <v>96.078500000000005</v>
      </c>
      <c r="T367">
        <v>19.763300000000001</v>
      </c>
    </row>
    <row r="368" spans="1:20" x14ac:dyDescent="0.3">
      <c r="A368" t="s">
        <v>676</v>
      </c>
      <c r="C368" t="s">
        <v>367</v>
      </c>
      <c r="D368" t="s">
        <v>31</v>
      </c>
      <c r="E368" t="s">
        <v>32</v>
      </c>
      <c r="F368" t="s">
        <v>25</v>
      </c>
      <c r="G368" t="s">
        <v>60</v>
      </c>
      <c r="H368">
        <v>51.32</v>
      </c>
      <c r="I368">
        <v>11</v>
      </c>
      <c r="J368">
        <v>28.225999999999999</v>
      </c>
      <c r="K368">
        <v>564.52</v>
      </c>
      <c r="L368" s="1">
        <v>43517</v>
      </c>
      <c r="M368" s="2">
        <v>0.81458333333333333</v>
      </c>
      <c r="N368" t="s">
        <v>33</v>
      </c>
      <c r="O368">
        <v>461.88</v>
      </c>
      <c r="P368">
        <v>4.7619047620000003</v>
      </c>
      <c r="Q368">
        <v>102.64</v>
      </c>
      <c r="R368">
        <v>5.88</v>
      </c>
      <c r="S368">
        <v>96.078500000000005</v>
      </c>
      <c r="T368">
        <v>19.763300000000001</v>
      </c>
    </row>
    <row r="369" spans="1:20" x14ac:dyDescent="0.3">
      <c r="A369" t="s">
        <v>677</v>
      </c>
      <c r="C369" t="s">
        <v>583</v>
      </c>
      <c r="D369" t="s">
        <v>23</v>
      </c>
      <c r="E369" t="s">
        <v>24</v>
      </c>
      <c r="F369" t="s">
        <v>36</v>
      </c>
      <c r="G369" t="s">
        <v>77</v>
      </c>
      <c r="H369">
        <v>65.94</v>
      </c>
      <c r="I369">
        <v>6</v>
      </c>
      <c r="J369">
        <v>19.782</v>
      </c>
      <c r="K369">
        <v>395.64</v>
      </c>
      <c r="L369" s="1">
        <v>43556</v>
      </c>
      <c r="M369" s="2">
        <v>0.43680555555555556</v>
      </c>
      <c r="N369" t="s">
        <v>33</v>
      </c>
      <c r="O369">
        <v>263.76</v>
      </c>
      <c r="P369">
        <v>4.7619047620000003</v>
      </c>
      <c r="Q369">
        <v>131.88</v>
      </c>
      <c r="R369">
        <v>6</v>
      </c>
      <c r="S369">
        <v>96.173500000000004</v>
      </c>
      <c r="T369">
        <v>16.840900000000001</v>
      </c>
    </row>
    <row r="370" spans="1:20" x14ac:dyDescent="0.3">
      <c r="A370" t="s">
        <v>678</v>
      </c>
      <c r="C370" t="s">
        <v>223</v>
      </c>
      <c r="D370" t="s">
        <v>31</v>
      </c>
      <c r="E370" t="s">
        <v>32</v>
      </c>
      <c r="F370" t="s">
        <v>25</v>
      </c>
      <c r="G370" t="s">
        <v>68</v>
      </c>
      <c r="H370">
        <v>14.36</v>
      </c>
      <c r="I370">
        <v>12</v>
      </c>
      <c r="J370">
        <v>8.6159999999999997</v>
      </c>
      <c r="K370">
        <v>172.32</v>
      </c>
      <c r="L370" s="1">
        <v>43660</v>
      </c>
      <c r="M370" s="2">
        <v>0.60277777777777775</v>
      </c>
      <c r="N370" t="s">
        <v>33</v>
      </c>
      <c r="O370">
        <v>143.6</v>
      </c>
      <c r="P370">
        <v>4.7619047620000003</v>
      </c>
      <c r="Q370">
        <v>28.72</v>
      </c>
      <c r="R370">
        <v>5.67</v>
      </c>
      <c r="S370">
        <v>96.078500000000005</v>
      </c>
      <c r="T370">
        <v>19.763300000000001</v>
      </c>
    </row>
    <row r="371" spans="1:20" x14ac:dyDescent="0.3">
      <c r="A371" t="s">
        <v>679</v>
      </c>
      <c r="C371" t="s">
        <v>680</v>
      </c>
      <c r="D371" t="s">
        <v>23</v>
      </c>
      <c r="E371" t="s">
        <v>24</v>
      </c>
      <c r="F371" t="s">
        <v>36</v>
      </c>
      <c r="G371" t="s">
        <v>60</v>
      </c>
      <c r="H371">
        <v>21.5</v>
      </c>
      <c r="I371">
        <v>13</v>
      </c>
      <c r="J371">
        <v>13.975</v>
      </c>
      <c r="K371">
        <v>279.5</v>
      </c>
      <c r="L371" s="1">
        <v>43497</v>
      </c>
      <c r="M371" s="2">
        <v>0.53194444444444444</v>
      </c>
      <c r="N371" t="s">
        <v>37</v>
      </c>
      <c r="O371">
        <v>193.5</v>
      </c>
      <c r="P371">
        <v>4.7619047620000003</v>
      </c>
      <c r="Q371">
        <v>86</v>
      </c>
      <c r="R371">
        <v>7.8</v>
      </c>
      <c r="S371">
        <v>96.173500000000004</v>
      </c>
      <c r="T371">
        <v>16.840900000000001</v>
      </c>
    </row>
    <row r="372" spans="1:20" x14ac:dyDescent="0.3">
      <c r="A372" t="s">
        <v>681</v>
      </c>
      <c r="C372" t="s">
        <v>102</v>
      </c>
      <c r="D372" t="s">
        <v>53</v>
      </c>
      <c r="E372" t="s">
        <v>24</v>
      </c>
      <c r="F372" t="s">
        <v>25</v>
      </c>
      <c r="G372" t="s">
        <v>60</v>
      </c>
      <c r="H372">
        <v>26.26</v>
      </c>
      <c r="I372">
        <v>14</v>
      </c>
      <c r="J372">
        <v>18.382000000000001</v>
      </c>
      <c r="K372">
        <v>367.64</v>
      </c>
      <c r="L372" s="1">
        <v>43586</v>
      </c>
      <c r="M372" s="2">
        <v>0.81944444444444442</v>
      </c>
      <c r="N372" t="s">
        <v>33</v>
      </c>
      <c r="O372">
        <v>183.82</v>
      </c>
      <c r="P372">
        <v>4.7619047620000003</v>
      </c>
      <c r="Q372">
        <v>183.82</v>
      </c>
      <c r="R372">
        <v>10</v>
      </c>
      <c r="S372">
        <v>96.089100000000002</v>
      </c>
      <c r="T372">
        <v>21.9588</v>
      </c>
    </row>
    <row r="373" spans="1:20" x14ac:dyDescent="0.3">
      <c r="A373" t="s">
        <v>682</v>
      </c>
      <c r="C373" t="s">
        <v>83</v>
      </c>
      <c r="D373" t="s">
        <v>53</v>
      </c>
      <c r="E373" t="s">
        <v>32</v>
      </c>
      <c r="F373" t="s">
        <v>25</v>
      </c>
      <c r="G373" t="s">
        <v>100</v>
      </c>
      <c r="H373">
        <v>60.96</v>
      </c>
      <c r="I373">
        <v>3</v>
      </c>
      <c r="J373">
        <v>9.1440000000000001</v>
      </c>
      <c r="K373">
        <v>182.88</v>
      </c>
      <c r="L373" s="1">
        <v>43690</v>
      </c>
      <c r="M373" s="2">
        <v>0.81874999999999998</v>
      </c>
      <c r="N373" t="s">
        <v>37</v>
      </c>
      <c r="O373">
        <v>121.92</v>
      </c>
      <c r="P373">
        <v>4.7619047620000003</v>
      </c>
      <c r="Q373">
        <v>60.96</v>
      </c>
      <c r="R373">
        <v>5.88</v>
      </c>
      <c r="S373">
        <v>96.089100000000002</v>
      </c>
      <c r="T373">
        <v>21.9588</v>
      </c>
    </row>
    <row r="374" spans="1:20" x14ac:dyDescent="0.3">
      <c r="A374" t="s">
        <v>683</v>
      </c>
      <c r="C374" t="s">
        <v>47</v>
      </c>
      <c r="D374" t="s">
        <v>31</v>
      </c>
      <c r="E374" t="s">
        <v>32</v>
      </c>
      <c r="F374" t="s">
        <v>25</v>
      </c>
      <c r="G374" t="s">
        <v>77</v>
      </c>
      <c r="H374">
        <v>70.11</v>
      </c>
      <c r="I374">
        <v>7</v>
      </c>
      <c r="J374">
        <v>24.538499999999999</v>
      </c>
      <c r="K374">
        <v>490.77</v>
      </c>
      <c r="L374" s="1">
        <v>43722</v>
      </c>
      <c r="M374" s="2">
        <v>0.74583333333333335</v>
      </c>
      <c r="N374" t="s">
        <v>27</v>
      </c>
      <c r="O374">
        <v>420.66</v>
      </c>
      <c r="P374">
        <v>4.7619047620000003</v>
      </c>
      <c r="Q374">
        <v>70.11</v>
      </c>
      <c r="R374">
        <v>5.46</v>
      </c>
      <c r="S374">
        <v>96.078500000000005</v>
      </c>
      <c r="T374">
        <v>19.763300000000001</v>
      </c>
    </row>
    <row r="375" spans="1:20" x14ac:dyDescent="0.3">
      <c r="A375" t="s">
        <v>684</v>
      </c>
      <c r="C375" t="s">
        <v>685</v>
      </c>
      <c r="D375" t="s">
        <v>31</v>
      </c>
      <c r="E375" t="s">
        <v>32</v>
      </c>
      <c r="F375" t="s">
        <v>36</v>
      </c>
      <c r="G375" t="s">
        <v>100</v>
      </c>
      <c r="H375">
        <v>42.08</v>
      </c>
      <c r="I375">
        <v>7</v>
      </c>
      <c r="J375">
        <v>14.728</v>
      </c>
      <c r="K375">
        <v>294.56</v>
      </c>
      <c r="L375" s="1">
        <v>43747</v>
      </c>
      <c r="M375" s="2">
        <v>0.51736111111111116</v>
      </c>
      <c r="N375" t="s">
        <v>33</v>
      </c>
      <c r="O375">
        <v>252.48</v>
      </c>
      <c r="P375">
        <v>4.7619047620000003</v>
      </c>
      <c r="Q375">
        <v>42.08</v>
      </c>
      <c r="R375">
        <v>9.3450000000000006</v>
      </c>
      <c r="S375">
        <v>96.078500000000005</v>
      </c>
      <c r="T375">
        <v>19.763300000000001</v>
      </c>
    </row>
    <row r="376" spans="1:20" x14ac:dyDescent="0.3">
      <c r="A376" t="s">
        <v>686</v>
      </c>
      <c r="C376" t="s">
        <v>687</v>
      </c>
      <c r="D376" t="s">
        <v>23</v>
      </c>
      <c r="E376" t="s">
        <v>32</v>
      </c>
      <c r="F376" t="s">
        <v>25</v>
      </c>
      <c r="G376" t="s">
        <v>77</v>
      </c>
      <c r="H376">
        <v>67.09</v>
      </c>
      <c r="I376">
        <v>5</v>
      </c>
      <c r="J376">
        <v>16.772500000000001</v>
      </c>
      <c r="K376">
        <v>335.45</v>
      </c>
      <c r="L376" s="1">
        <v>43755</v>
      </c>
      <c r="M376" s="2">
        <v>0.69930555555555551</v>
      </c>
      <c r="N376" t="s">
        <v>37</v>
      </c>
      <c r="O376">
        <v>335.45</v>
      </c>
      <c r="P376">
        <v>4.7619047620000003</v>
      </c>
      <c r="Q376">
        <v>0</v>
      </c>
      <c r="R376">
        <v>9.1</v>
      </c>
      <c r="S376">
        <v>96.173500000000004</v>
      </c>
      <c r="T376">
        <v>16.840900000000001</v>
      </c>
    </row>
    <row r="377" spans="1:20" x14ac:dyDescent="0.3">
      <c r="A377" t="s">
        <v>688</v>
      </c>
      <c r="C377" t="s">
        <v>689</v>
      </c>
      <c r="D377" t="s">
        <v>23</v>
      </c>
      <c r="E377" t="s">
        <v>24</v>
      </c>
      <c r="F377" t="s">
        <v>25</v>
      </c>
      <c r="G377" t="s">
        <v>100</v>
      </c>
      <c r="H377">
        <v>96.7</v>
      </c>
      <c r="I377">
        <v>7</v>
      </c>
      <c r="J377">
        <v>33.844999999999999</v>
      </c>
      <c r="K377">
        <v>676.9</v>
      </c>
      <c r="L377" s="1">
        <v>43681</v>
      </c>
      <c r="M377" s="2">
        <v>0.53611111111111109</v>
      </c>
      <c r="N377" t="s">
        <v>27</v>
      </c>
      <c r="O377">
        <v>483.5</v>
      </c>
      <c r="P377">
        <v>4.7619047620000003</v>
      </c>
      <c r="Q377">
        <v>193.4</v>
      </c>
      <c r="S377">
        <v>96.173500000000004</v>
      </c>
      <c r="T377">
        <v>16.840900000000001</v>
      </c>
    </row>
    <row r="378" spans="1:20" x14ac:dyDescent="0.3">
      <c r="A378" t="s">
        <v>690</v>
      </c>
      <c r="C378" t="s">
        <v>286</v>
      </c>
      <c r="D378" t="s">
        <v>53</v>
      </c>
      <c r="E378" t="s">
        <v>24</v>
      </c>
      <c r="F378" t="s">
        <v>25</v>
      </c>
      <c r="G378" t="s">
        <v>26</v>
      </c>
      <c r="H378">
        <v>35.380000000000003</v>
      </c>
      <c r="I378">
        <v>18</v>
      </c>
      <c r="J378">
        <v>31.841999999999999</v>
      </c>
      <c r="K378">
        <v>636.84</v>
      </c>
      <c r="L378" s="1">
        <v>43819</v>
      </c>
      <c r="M378" s="2">
        <v>0.82638888888888884</v>
      </c>
      <c r="N378" t="s">
        <v>37</v>
      </c>
      <c r="O378">
        <v>318.42</v>
      </c>
      <c r="P378">
        <v>4.7619047620000003</v>
      </c>
      <c r="Q378">
        <v>318.42</v>
      </c>
      <c r="S378">
        <v>96.089100000000002</v>
      </c>
      <c r="T378">
        <v>21.9588</v>
      </c>
    </row>
    <row r="379" spans="1:20" x14ac:dyDescent="0.3">
      <c r="A379" t="s">
        <v>691</v>
      </c>
      <c r="C379" t="s">
        <v>195</v>
      </c>
      <c r="D379" t="s">
        <v>31</v>
      </c>
      <c r="E379" t="s">
        <v>32</v>
      </c>
      <c r="F379" t="s">
        <v>36</v>
      </c>
      <c r="G379" t="s">
        <v>26</v>
      </c>
      <c r="H379">
        <v>95.49</v>
      </c>
      <c r="I379">
        <v>8</v>
      </c>
      <c r="J379">
        <v>38.195999999999998</v>
      </c>
      <c r="K379">
        <v>763.92</v>
      </c>
      <c r="L379" s="1">
        <v>43689</v>
      </c>
      <c r="M379" s="2">
        <v>0.76180555555555551</v>
      </c>
      <c r="N379" t="s">
        <v>27</v>
      </c>
      <c r="O379">
        <v>668.43</v>
      </c>
      <c r="P379">
        <v>4.7619047620000003</v>
      </c>
      <c r="Q379">
        <v>95.49</v>
      </c>
      <c r="S379">
        <v>96.078500000000005</v>
      </c>
      <c r="T379">
        <v>19.763300000000001</v>
      </c>
    </row>
    <row r="380" spans="1:20" x14ac:dyDescent="0.3">
      <c r="A380" t="s">
        <v>692</v>
      </c>
      <c r="C380" t="s">
        <v>323</v>
      </c>
      <c r="D380" t="s">
        <v>31</v>
      </c>
      <c r="E380" t="s">
        <v>24</v>
      </c>
      <c r="F380" t="s">
        <v>36</v>
      </c>
      <c r="G380" t="s">
        <v>26</v>
      </c>
      <c r="H380">
        <v>96.98</v>
      </c>
      <c r="I380">
        <v>7</v>
      </c>
      <c r="J380">
        <v>33.942999999999998</v>
      </c>
      <c r="K380">
        <v>678.86</v>
      </c>
      <c r="L380" s="1">
        <v>43614</v>
      </c>
      <c r="M380" s="2">
        <v>0.72222222222222221</v>
      </c>
      <c r="N380" t="s">
        <v>27</v>
      </c>
      <c r="O380">
        <v>387.92</v>
      </c>
      <c r="P380">
        <v>4.7619047620000003</v>
      </c>
      <c r="Q380">
        <v>290.94</v>
      </c>
      <c r="S380">
        <v>96.078500000000005</v>
      </c>
      <c r="T380">
        <v>19.763300000000001</v>
      </c>
    </row>
    <row r="381" spans="1:20" x14ac:dyDescent="0.3">
      <c r="A381" t="s">
        <v>693</v>
      </c>
      <c r="C381" t="s">
        <v>57</v>
      </c>
      <c r="D381" t="s">
        <v>53</v>
      </c>
      <c r="E381" t="s">
        <v>32</v>
      </c>
      <c r="F381" t="s">
        <v>25</v>
      </c>
      <c r="G381" t="s">
        <v>26</v>
      </c>
      <c r="H381">
        <v>23.65</v>
      </c>
      <c r="I381">
        <v>6</v>
      </c>
      <c r="J381">
        <v>7.0949999999999998</v>
      </c>
      <c r="K381">
        <v>141.9</v>
      </c>
      <c r="L381" s="1">
        <v>43680</v>
      </c>
      <c r="M381" s="2">
        <v>0.56388888888888888</v>
      </c>
      <c r="N381" t="s">
        <v>37</v>
      </c>
      <c r="O381">
        <v>94.6</v>
      </c>
      <c r="P381">
        <v>4.7619047620000003</v>
      </c>
      <c r="Q381">
        <v>47.3</v>
      </c>
      <c r="S381">
        <v>96.089100000000002</v>
      </c>
      <c r="T381">
        <v>21.9588</v>
      </c>
    </row>
    <row r="382" spans="1:20" x14ac:dyDescent="0.3">
      <c r="A382" t="s">
        <v>694</v>
      </c>
      <c r="C382" t="s">
        <v>432</v>
      </c>
      <c r="D382" t="s">
        <v>23</v>
      </c>
      <c r="E382" t="s">
        <v>24</v>
      </c>
      <c r="F382" t="s">
        <v>36</v>
      </c>
      <c r="G382" t="s">
        <v>26</v>
      </c>
      <c r="H382">
        <v>82.33</v>
      </c>
      <c r="I382">
        <v>6</v>
      </c>
      <c r="J382">
        <v>24.699000000000002</v>
      </c>
      <c r="K382">
        <v>493.98</v>
      </c>
      <c r="L382" s="1">
        <v>43673</v>
      </c>
      <c r="M382" s="2">
        <v>0.44236111111111109</v>
      </c>
      <c r="N382" t="s">
        <v>37</v>
      </c>
      <c r="O382">
        <v>329.32</v>
      </c>
      <c r="P382">
        <v>4.7619047620000003</v>
      </c>
      <c r="Q382">
        <v>164.66</v>
      </c>
      <c r="S382">
        <v>96.173500000000004</v>
      </c>
      <c r="T382">
        <v>16.840900000000001</v>
      </c>
    </row>
    <row r="383" spans="1:20" x14ac:dyDescent="0.3">
      <c r="A383" t="s">
        <v>695</v>
      </c>
      <c r="C383" t="s">
        <v>696</v>
      </c>
      <c r="D383" t="s">
        <v>31</v>
      </c>
      <c r="E383" t="s">
        <v>32</v>
      </c>
      <c r="F383" t="s">
        <v>25</v>
      </c>
      <c r="G383" t="s">
        <v>26</v>
      </c>
      <c r="H383">
        <v>26.61</v>
      </c>
      <c r="I383">
        <v>2</v>
      </c>
      <c r="J383">
        <v>2.661</v>
      </c>
      <c r="K383">
        <v>53.22</v>
      </c>
      <c r="L383" s="1">
        <v>43758</v>
      </c>
      <c r="M383" s="2">
        <v>0.60763888888888884</v>
      </c>
      <c r="N383" t="s">
        <v>33</v>
      </c>
      <c r="O383">
        <v>53.22</v>
      </c>
      <c r="P383">
        <v>4.7619047620000003</v>
      </c>
      <c r="Q383">
        <v>0</v>
      </c>
      <c r="S383">
        <v>96.078500000000005</v>
      </c>
      <c r="T383">
        <v>19.763300000000001</v>
      </c>
    </row>
    <row r="384" spans="1:20" x14ac:dyDescent="0.3">
      <c r="A384" t="s">
        <v>697</v>
      </c>
      <c r="C384" t="s">
        <v>83</v>
      </c>
      <c r="D384" t="s">
        <v>53</v>
      </c>
      <c r="E384" t="s">
        <v>32</v>
      </c>
      <c r="F384" t="s">
        <v>25</v>
      </c>
      <c r="G384" t="s">
        <v>26</v>
      </c>
      <c r="H384">
        <v>99.69</v>
      </c>
      <c r="I384">
        <v>7</v>
      </c>
      <c r="J384">
        <v>34.891500000000001</v>
      </c>
      <c r="K384">
        <v>697.83</v>
      </c>
      <c r="L384" s="1">
        <v>43830</v>
      </c>
      <c r="M384" s="2">
        <v>0.50624999999999998</v>
      </c>
      <c r="N384" t="s">
        <v>33</v>
      </c>
      <c r="O384">
        <v>498.45</v>
      </c>
      <c r="P384">
        <v>4.7619047620000003</v>
      </c>
      <c r="Q384">
        <v>199.38</v>
      </c>
      <c r="S384">
        <v>96.089100000000002</v>
      </c>
      <c r="T384">
        <v>21.9588</v>
      </c>
    </row>
    <row r="385" spans="1:20" x14ac:dyDescent="0.3">
      <c r="A385" t="s">
        <v>698</v>
      </c>
      <c r="C385" t="s">
        <v>696</v>
      </c>
      <c r="D385" t="s">
        <v>31</v>
      </c>
      <c r="E385" t="s">
        <v>24</v>
      </c>
      <c r="F385" t="s">
        <v>25</v>
      </c>
      <c r="G385" t="s">
        <v>26</v>
      </c>
      <c r="H385">
        <v>74.89</v>
      </c>
      <c r="I385">
        <v>7</v>
      </c>
      <c r="J385">
        <v>26.211500000000001</v>
      </c>
      <c r="K385">
        <v>524.23</v>
      </c>
      <c r="L385" s="1">
        <v>43750</v>
      </c>
      <c r="M385" s="2">
        <v>0.64722222222222225</v>
      </c>
      <c r="N385" t="s">
        <v>27</v>
      </c>
      <c r="O385">
        <v>299.56</v>
      </c>
      <c r="P385">
        <v>4.7619047620000003</v>
      </c>
      <c r="Q385">
        <v>224.67</v>
      </c>
      <c r="R385">
        <v>4.41</v>
      </c>
      <c r="S385">
        <v>96.078500000000005</v>
      </c>
      <c r="T385">
        <v>19.763300000000001</v>
      </c>
    </row>
    <row r="386" spans="1:20" x14ac:dyDescent="0.3">
      <c r="A386" t="s">
        <v>699</v>
      </c>
      <c r="C386" t="s">
        <v>700</v>
      </c>
      <c r="D386" t="s">
        <v>23</v>
      </c>
      <c r="E386" t="s">
        <v>32</v>
      </c>
      <c r="F386" t="s">
        <v>25</v>
      </c>
      <c r="G386" t="s">
        <v>26</v>
      </c>
      <c r="H386">
        <v>40.94</v>
      </c>
      <c r="I386">
        <v>5</v>
      </c>
      <c r="J386">
        <v>10.234999999999999</v>
      </c>
      <c r="K386">
        <v>204.7</v>
      </c>
      <c r="L386" s="1">
        <v>43470</v>
      </c>
      <c r="M386" s="2">
        <v>0.58194444444444449</v>
      </c>
      <c r="N386" t="s">
        <v>27</v>
      </c>
      <c r="O386">
        <v>204.7</v>
      </c>
      <c r="P386">
        <v>4.7619047620000003</v>
      </c>
      <c r="Q386">
        <v>0</v>
      </c>
      <c r="R386">
        <v>9.9</v>
      </c>
      <c r="S386">
        <v>96.173500000000004</v>
      </c>
      <c r="T386">
        <v>16.840900000000001</v>
      </c>
    </row>
    <row r="387" spans="1:20" x14ac:dyDescent="0.3">
      <c r="A387" t="s">
        <v>701</v>
      </c>
      <c r="C387" t="s">
        <v>99</v>
      </c>
      <c r="D387" t="s">
        <v>53</v>
      </c>
      <c r="E387" t="s">
        <v>24</v>
      </c>
      <c r="F387" t="s">
        <v>36</v>
      </c>
      <c r="G387" t="s">
        <v>26</v>
      </c>
      <c r="H387">
        <v>75.819999999999993</v>
      </c>
      <c r="I387">
        <v>1</v>
      </c>
      <c r="J387">
        <v>3.7909999999999999</v>
      </c>
      <c r="K387">
        <v>75.819999999999993</v>
      </c>
      <c r="L387" s="1">
        <v>43648</v>
      </c>
      <c r="M387" s="2">
        <v>0.55486111111111114</v>
      </c>
      <c r="N387" t="s">
        <v>33</v>
      </c>
      <c r="O387">
        <v>75.819999999999993</v>
      </c>
      <c r="P387">
        <v>4.7619047620000003</v>
      </c>
      <c r="Q387">
        <v>0</v>
      </c>
      <c r="R387">
        <v>6.96</v>
      </c>
      <c r="S387">
        <v>96.089100000000002</v>
      </c>
      <c r="T387">
        <v>21.9588</v>
      </c>
    </row>
    <row r="388" spans="1:20" x14ac:dyDescent="0.3">
      <c r="A388" t="s">
        <v>702</v>
      </c>
      <c r="C388" t="s">
        <v>158</v>
      </c>
      <c r="D388" t="s">
        <v>31</v>
      </c>
      <c r="E388" t="s">
        <v>32</v>
      </c>
      <c r="F388" t="s">
        <v>36</v>
      </c>
      <c r="G388" t="s">
        <v>26</v>
      </c>
      <c r="H388">
        <v>46.77</v>
      </c>
      <c r="I388">
        <v>7</v>
      </c>
      <c r="J388">
        <v>16.369499999999999</v>
      </c>
      <c r="K388">
        <v>327.39</v>
      </c>
      <c r="L388" s="1">
        <v>43599</v>
      </c>
      <c r="M388" s="2">
        <v>0.56736111111111109</v>
      </c>
      <c r="N388" t="s">
        <v>33</v>
      </c>
      <c r="O388">
        <v>280.62</v>
      </c>
      <c r="P388">
        <v>4.7619047620000003</v>
      </c>
      <c r="Q388">
        <v>46.77</v>
      </c>
      <c r="R388">
        <v>6.3</v>
      </c>
      <c r="S388">
        <v>96.078500000000005</v>
      </c>
      <c r="T388">
        <v>19.763300000000001</v>
      </c>
    </row>
    <row r="389" spans="1:20" x14ac:dyDescent="0.3">
      <c r="A389" t="s">
        <v>703</v>
      </c>
      <c r="C389" t="s">
        <v>462</v>
      </c>
      <c r="D389" t="s">
        <v>23</v>
      </c>
      <c r="E389" t="s">
        <v>32</v>
      </c>
      <c r="F389" t="s">
        <v>25</v>
      </c>
      <c r="G389" t="s">
        <v>26</v>
      </c>
      <c r="H389">
        <v>32.32</v>
      </c>
      <c r="I389">
        <v>10</v>
      </c>
      <c r="J389">
        <v>16.16</v>
      </c>
      <c r="K389">
        <v>323.2</v>
      </c>
      <c r="L389" s="1">
        <v>43614</v>
      </c>
      <c r="M389" s="2">
        <v>0.7006944444444444</v>
      </c>
      <c r="N389" t="s">
        <v>37</v>
      </c>
      <c r="O389">
        <v>323.2</v>
      </c>
      <c r="P389">
        <v>4.7619047620000003</v>
      </c>
      <c r="Q389">
        <v>0</v>
      </c>
      <c r="R389">
        <v>10</v>
      </c>
      <c r="S389">
        <v>96.173500000000004</v>
      </c>
      <c r="T389">
        <v>16.840900000000001</v>
      </c>
    </row>
    <row r="390" spans="1:20" x14ac:dyDescent="0.3">
      <c r="A390" t="s">
        <v>704</v>
      </c>
      <c r="C390" t="s">
        <v>419</v>
      </c>
      <c r="D390" t="s">
        <v>31</v>
      </c>
      <c r="E390" t="s">
        <v>24</v>
      </c>
      <c r="F390" t="s">
        <v>25</v>
      </c>
      <c r="G390" t="s">
        <v>26</v>
      </c>
      <c r="H390">
        <v>54.07</v>
      </c>
      <c r="I390">
        <v>15</v>
      </c>
      <c r="J390">
        <v>40.552500000000002</v>
      </c>
      <c r="K390">
        <v>811.05</v>
      </c>
      <c r="L390" s="1">
        <v>43739</v>
      </c>
      <c r="M390" s="2">
        <v>0.62152777777777779</v>
      </c>
      <c r="N390" t="s">
        <v>27</v>
      </c>
      <c r="O390">
        <v>486.63</v>
      </c>
      <c r="P390">
        <v>4.7619047620000003</v>
      </c>
      <c r="Q390">
        <v>324.42</v>
      </c>
      <c r="R390">
        <v>9.9749999999999996</v>
      </c>
      <c r="S390">
        <v>96.078500000000005</v>
      </c>
      <c r="T390">
        <v>19.763300000000001</v>
      </c>
    </row>
    <row r="391" spans="1:20" x14ac:dyDescent="0.3">
      <c r="A391" t="s">
        <v>705</v>
      </c>
      <c r="C391" t="s">
        <v>706</v>
      </c>
      <c r="D391" t="s">
        <v>53</v>
      </c>
      <c r="E391" t="s">
        <v>32</v>
      </c>
      <c r="F391" t="s">
        <v>36</v>
      </c>
      <c r="G391" t="s">
        <v>26</v>
      </c>
      <c r="H391">
        <v>18.22</v>
      </c>
      <c r="I391">
        <v>10</v>
      </c>
      <c r="J391">
        <v>9.11</v>
      </c>
      <c r="K391">
        <v>182.2</v>
      </c>
      <c r="L391" s="1">
        <v>43740</v>
      </c>
      <c r="M391" s="2">
        <v>0.58611111111111114</v>
      </c>
      <c r="N391" t="s">
        <v>37</v>
      </c>
      <c r="O391">
        <v>127.54</v>
      </c>
      <c r="P391">
        <v>4.7619047620000003</v>
      </c>
      <c r="Q391">
        <v>54.66</v>
      </c>
      <c r="R391">
        <v>7.92</v>
      </c>
      <c r="S391">
        <v>96.089100000000002</v>
      </c>
      <c r="T391">
        <v>21.9588</v>
      </c>
    </row>
    <row r="392" spans="1:20" x14ac:dyDescent="0.3">
      <c r="A392" t="s">
        <v>707</v>
      </c>
      <c r="C392" t="s">
        <v>449</v>
      </c>
      <c r="D392" t="s">
        <v>31</v>
      </c>
      <c r="E392" t="s">
        <v>24</v>
      </c>
      <c r="F392" t="s">
        <v>25</v>
      </c>
      <c r="G392" t="s">
        <v>26</v>
      </c>
      <c r="H392">
        <v>80.48</v>
      </c>
      <c r="I392">
        <v>6</v>
      </c>
      <c r="J392">
        <v>24.143999999999998</v>
      </c>
      <c r="K392">
        <v>482.88</v>
      </c>
      <c r="L392" s="1">
        <v>43542</v>
      </c>
      <c r="M392" s="2">
        <v>0.52152777777777781</v>
      </c>
      <c r="N392" t="s">
        <v>33</v>
      </c>
      <c r="O392">
        <v>241.44</v>
      </c>
      <c r="P392">
        <v>4.7619047620000003</v>
      </c>
      <c r="Q392">
        <v>241.44</v>
      </c>
      <c r="R392">
        <v>8.5050000000000008</v>
      </c>
      <c r="S392">
        <v>96.078500000000005</v>
      </c>
      <c r="T392">
        <v>19.763300000000001</v>
      </c>
    </row>
    <row r="393" spans="1:20" x14ac:dyDescent="0.3">
      <c r="A393" t="s">
        <v>708</v>
      </c>
      <c r="C393" t="s">
        <v>81</v>
      </c>
      <c r="D393" t="s">
        <v>53</v>
      </c>
      <c r="E393" t="s">
        <v>32</v>
      </c>
      <c r="F393" t="s">
        <v>25</v>
      </c>
      <c r="G393" t="s">
        <v>26</v>
      </c>
      <c r="H393">
        <v>37.950000000000003</v>
      </c>
      <c r="I393">
        <v>14</v>
      </c>
      <c r="J393">
        <v>26.565000000000001</v>
      </c>
      <c r="K393">
        <v>531.29999999999995</v>
      </c>
      <c r="L393" s="1">
        <v>43617</v>
      </c>
      <c r="M393" s="2">
        <v>0.61875000000000002</v>
      </c>
      <c r="N393" t="s">
        <v>33</v>
      </c>
      <c r="O393">
        <v>379.5</v>
      </c>
      <c r="P393">
        <v>4.7619047620000003</v>
      </c>
      <c r="Q393">
        <v>151.80000000000001</v>
      </c>
      <c r="R393">
        <v>10</v>
      </c>
      <c r="S393">
        <v>96.089100000000002</v>
      </c>
      <c r="T393">
        <v>21.9588</v>
      </c>
    </row>
    <row r="394" spans="1:20" x14ac:dyDescent="0.3">
      <c r="A394" t="s">
        <v>709</v>
      </c>
      <c r="C394" t="s">
        <v>710</v>
      </c>
      <c r="D394" t="s">
        <v>23</v>
      </c>
      <c r="E394" t="s">
        <v>24</v>
      </c>
      <c r="F394" t="s">
        <v>36</v>
      </c>
      <c r="G394" t="s">
        <v>26</v>
      </c>
      <c r="H394">
        <v>76.819999999999993</v>
      </c>
      <c r="I394">
        <v>1</v>
      </c>
      <c r="J394">
        <v>3.8410000000000002</v>
      </c>
      <c r="K394">
        <v>76.819999999999993</v>
      </c>
      <c r="L394" s="1">
        <v>43750</v>
      </c>
      <c r="M394" s="2">
        <v>0.76875000000000004</v>
      </c>
      <c r="N394" t="s">
        <v>27</v>
      </c>
      <c r="O394">
        <v>76.819999999999993</v>
      </c>
      <c r="P394">
        <v>4.7619047620000003</v>
      </c>
      <c r="Q394">
        <v>0</v>
      </c>
      <c r="R394">
        <v>7.2</v>
      </c>
      <c r="S394">
        <v>96.173500000000004</v>
      </c>
      <c r="T394">
        <v>16.840900000000001</v>
      </c>
    </row>
    <row r="395" spans="1:20" x14ac:dyDescent="0.3">
      <c r="A395" t="s">
        <v>711</v>
      </c>
      <c r="C395" t="s">
        <v>712</v>
      </c>
      <c r="D395" t="s">
        <v>23</v>
      </c>
      <c r="E395" t="s">
        <v>24</v>
      </c>
      <c r="F395" t="s">
        <v>25</v>
      </c>
      <c r="G395" t="s">
        <v>26</v>
      </c>
      <c r="H395">
        <v>52.26</v>
      </c>
      <c r="I395">
        <v>14</v>
      </c>
      <c r="J395">
        <v>36.582000000000001</v>
      </c>
      <c r="K395">
        <v>731.64</v>
      </c>
      <c r="L395" s="1">
        <v>43539</v>
      </c>
      <c r="M395" s="2">
        <v>0.53125</v>
      </c>
      <c r="N395" t="s">
        <v>37</v>
      </c>
      <c r="O395">
        <v>522.6</v>
      </c>
      <c r="P395">
        <v>4.7619047620000003</v>
      </c>
      <c r="Q395">
        <v>209.04</v>
      </c>
      <c r="R395">
        <v>6.2</v>
      </c>
      <c r="S395">
        <v>96.173500000000004</v>
      </c>
      <c r="T395">
        <v>16.840900000000001</v>
      </c>
    </row>
    <row r="396" spans="1:20" x14ac:dyDescent="0.3">
      <c r="A396" t="s">
        <v>713</v>
      </c>
      <c r="C396" t="s">
        <v>714</v>
      </c>
      <c r="D396" t="s">
        <v>23</v>
      </c>
      <c r="E396" t="s">
        <v>32</v>
      </c>
      <c r="F396" t="s">
        <v>25</v>
      </c>
      <c r="G396" t="s">
        <v>26</v>
      </c>
      <c r="H396">
        <v>79.739999999999995</v>
      </c>
      <c r="I396">
        <v>1</v>
      </c>
      <c r="J396">
        <v>3.9870000000000001</v>
      </c>
      <c r="K396">
        <v>79.739999999999995</v>
      </c>
      <c r="L396" s="1">
        <v>43755</v>
      </c>
      <c r="M396" s="2">
        <v>0.44166666666666665</v>
      </c>
      <c r="N396" t="s">
        <v>27</v>
      </c>
      <c r="O396">
        <v>79.739999999999995</v>
      </c>
      <c r="P396">
        <v>4.7619047620000003</v>
      </c>
      <c r="Q396">
        <v>0</v>
      </c>
      <c r="R396">
        <v>7.3</v>
      </c>
      <c r="S396">
        <v>96.173500000000004</v>
      </c>
      <c r="T396">
        <v>16.840900000000001</v>
      </c>
    </row>
    <row r="397" spans="1:20" x14ac:dyDescent="0.3">
      <c r="A397" t="s">
        <v>715</v>
      </c>
      <c r="C397" t="s">
        <v>716</v>
      </c>
      <c r="D397" t="s">
        <v>23</v>
      </c>
      <c r="E397" t="s">
        <v>32</v>
      </c>
      <c r="F397" t="s">
        <v>25</v>
      </c>
      <c r="G397" t="s">
        <v>26</v>
      </c>
      <c r="H397">
        <v>77.5</v>
      </c>
      <c r="I397">
        <v>5</v>
      </c>
      <c r="J397">
        <v>19.375</v>
      </c>
      <c r="K397">
        <v>387.5</v>
      </c>
      <c r="L397" s="1">
        <v>43554</v>
      </c>
      <c r="M397" s="2">
        <v>0.85833333333333328</v>
      </c>
      <c r="N397" t="s">
        <v>27</v>
      </c>
      <c r="O397">
        <v>387.5</v>
      </c>
      <c r="P397">
        <v>4.7619047620000003</v>
      </c>
      <c r="Q397">
        <v>0</v>
      </c>
      <c r="R397">
        <v>4.3</v>
      </c>
      <c r="S397">
        <v>96.173500000000004</v>
      </c>
      <c r="T397">
        <v>16.840900000000001</v>
      </c>
    </row>
    <row r="398" spans="1:20" x14ac:dyDescent="0.3">
      <c r="A398" t="s">
        <v>717</v>
      </c>
      <c r="C398" t="s">
        <v>311</v>
      </c>
      <c r="D398" t="s">
        <v>23</v>
      </c>
      <c r="E398" t="s">
        <v>32</v>
      </c>
      <c r="F398" t="s">
        <v>25</v>
      </c>
      <c r="G398" t="s">
        <v>26</v>
      </c>
      <c r="H398">
        <v>54.27</v>
      </c>
      <c r="I398">
        <v>5</v>
      </c>
      <c r="J398">
        <v>13.567500000000001</v>
      </c>
      <c r="K398">
        <v>271.35000000000002</v>
      </c>
      <c r="L398" s="1">
        <v>43678</v>
      </c>
      <c r="M398" s="2">
        <v>0.59444444444444444</v>
      </c>
      <c r="N398" t="s">
        <v>27</v>
      </c>
      <c r="O398">
        <v>271.35000000000002</v>
      </c>
      <c r="P398">
        <v>4.7619047620000003</v>
      </c>
      <c r="Q398">
        <v>0</v>
      </c>
      <c r="R398">
        <v>4.5999999999999996</v>
      </c>
      <c r="S398">
        <v>96.173500000000004</v>
      </c>
      <c r="T398">
        <v>16.840900000000001</v>
      </c>
    </row>
    <row r="399" spans="1:20" x14ac:dyDescent="0.3">
      <c r="A399" t="s">
        <v>718</v>
      </c>
      <c r="C399" t="s">
        <v>333</v>
      </c>
      <c r="D399" t="s">
        <v>53</v>
      </c>
      <c r="E399" t="s">
        <v>32</v>
      </c>
      <c r="F399" t="s">
        <v>36</v>
      </c>
      <c r="G399" t="s">
        <v>26</v>
      </c>
      <c r="H399">
        <v>13.59</v>
      </c>
      <c r="I399">
        <v>13</v>
      </c>
      <c r="J399">
        <v>8.8335000000000008</v>
      </c>
      <c r="K399">
        <v>176.67</v>
      </c>
      <c r="L399" s="1">
        <v>43522</v>
      </c>
      <c r="M399" s="2">
        <v>0.43472222222222223</v>
      </c>
      <c r="N399" t="s">
        <v>33</v>
      </c>
      <c r="O399">
        <v>122.31</v>
      </c>
      <c r="P399">
        <v>4.7619047620000003</v>
      </c>
      <c r="Q399">
        <v>54.36</v>
      </c>
      <c r="R399">
        <v>6.96</v>
      </c>
      <c r="S399">
        <v>96.089100000000002</v>
      </c>
      <c r="T399">
        <v>21.9588</v>
      </c>
    </row>
    <row r="400" spans="1:20" x14ac:dyDescent="0.3">
      <c r="A400" t="s">
        <v>719</v>
      </c>
      <c r="C400" t="s">
        <v>720</v>
      </c>
      <c r="D400" t="s">
        <v>53</v>
      </c>
      <c r="E400" t="s">
        <v>24</v>
      </c>
      <c r="F400" t="s">
        <v>25</v>
      </c>
      <c r="G400" t="s">
        <v>26</v>
      </c>
      <c r="H400">
        <v>41.06</v>
      </c>
      <c r="I400">
        <v>11</v>
      </c>
      <c r="J400">
        <v>22.582999999999998</v>
      </c>
      <c r="K400">
        <v>451.66</v>
      </c>
      <c r="L400" s="1">
        <v>43561</v>
      </c>
      <c r="M400" s="2">
        <v>0.5625</v>
      </c>
      <c r="N400" t="s">
        <v>37</v>
      </c>
      <c r="O400">
        <v>246.36</v>
      </c>
      <c r="P400">
        <v>4.7619047620000003</v>
      </c>
      <c r="Q400">
        <v>205.3</v>
      </c>
      <c r="R400">
        <v>9.9600000000000009</v>
      </c>
      <c r="S400">
        <v>96.089100000000002</v>
      </c>
      <c r="T400">
        <v>21.9588</v>
      </c>
    </row>
    <row r="401" spans="1:20" x14ac:dyDescent="0.3">
      <c r="A401" t="s">
        <v>721</v>
      </c>
      <c r="C401" t="s">
        <v>280</v>
      </c>
      <c r="D401" t="s">
        <v>53</v>
      </c>
      <c r="E401" t="s">
        <v>24</v>
      </c>
      <c r="F401" t="s">
        <v>36</v>
      </c>
      <c r="G401" t="s">
        <v>26</v>
      </c>
      <c r="H401">
        <v>19.239999999999998</v>
      </c>
      <c r="I401">
        <v>18</v>
      </c>
      <c r="J401">
        <v>17.315999999999999</v>
      </c>
      <c r="K401">
        <v>346.32</v>
      </c>
      <c r="L401" s="1">
        <v>43623</v>
      </c>
      <c r="M401" s="2">
        <v>0.68611111111111112</v>
      </c>
      <c r="N401" t="s">
        <v>33</v>
      </c>
      <c r="O401">
        <v>173.16</v>
      </c>
      <c r="P401">
        <v>4.7619047620000003</v>
      </c>
      <c r="Q401">
        <v>173.16</v>
      </c>
      <c r="R401">
        <v>9.6</v>
      </c>
      <c r="S401">
        <v>96.089100000000002</v>
      </c>
      <c r="T401">
        <v>21.9588</v>
      </c>
    </row>
    <row r="402" spans="1:20" x14ac:dyDescent="0.3">
      <c r="A402" t="s">
        <v>722</v>
      </c>
      <c r="C402" t="s">
        <v>445</v>
      </c>
      <c r="D402" t="s">
        <v>31</v>
      </c>
      <c r="E402" t="s">
        <v>32</v>
      </c>
      <c r="F402" t="s">
        <v>25</v>
      </c>
      <c r="G402" t="s">
        <v>26</v>
      </c>
      <c r="H402">
        <v>39.43</v>
      </c>
      <c r="I402">
        <v>7</v>
      </c>
      <c r="J402">
        <v>13.8005</v>
      </c>
      <c r="K402">
        <v>276.01</v>
      </c>
      <c r="L402" s="1">
        <v>43731</v>
      </c>
      <c r="M402" s="2">
        <v>0.84583333333333333</v>
      </c>
      <c r="N402" t="s">
        <v>37</v>
      </c>
      <c r="O402">
        <v>236.58</v>
      </c>
      <c r="P402">
        <v>4.7619047620000003</v>
      </c>
      <c r="Q402">
        <v>39.43</v>
      </c>
      <c r="R402">
        <v>9.8699999999999992</v>
      </c>
      <c r="S402">
        <v>96.078500000000005</v>
      </c>
      <c r="T402">
        <v>19.763300000000001</v>
      </c>
    </row>
    <row r="403" spans="1:20" x14ac:dyDescent="0.3">
      <c r="A403" t="s">
        <v>723</v>
      </c>
      <c r="C403" t="s">
        <v>724</v>
      </c>
      <c r="D403" t="s">
        <v>31</v>
      </c>
      <c r="E403" t="s">
        <v>32</v>
      </c>
      <c r="F403" t="s">
        <v>36</v>
      </c>
      <c r="G403" t="s">
        <v>26</v>
      </c>
      <c r="H403">
        <v>46.22</v>
      </c>
      <c r="I403">
        <v>5</v>
      </c>
      <c r="J403">
        <v>11.555</v>
      </c>
      <c r="K403">
        <v>231.1</v>
      </c>
      <c r="L403" s="1">
        <v>43543</v>
      </c>
      <c r="M403" s="2">
        <v>0.83611111111111114</v>
      </c>
      <c r="N403" t="s">
        <v>37</v>
      </c>
      <c r="O403">
        <v>184.88</v>
      </c>
      <c r="P403">
        <v>4.7619047620000003</v>
      </c>
      <c r="Q403">
        <v>46.22</v>
      </c>
      <c r="R403">
        <v>6.51</v>
      </c>
      <c r="S403">
        <v>96.078500000000005</v>
      </c>
      <c r="T403">
        <v>19.763300000000001</v>
      </c>
    </row>
    <row r="404" spans="1:20" x14ac:dyDescent="0.3">
      <c r="A404" t="s">
        <v>725</v>
      </c>
      <c r="C404" t="s">
        <v>726</v>
      </c>
      <c r="D404" t="s">
        <v>31</v>
      </c>
      <c r="E404" t="s">
        <v>24</v>
      </c>
      <c r="F404" t="s">
        <v>36</v>
      </c>
      <c r="G404" t="s">
        <v>26</v>
      </c>
      <c r="H404">
        <v>13.98</v>
      </c>
      <c r="I404">
        <v>1</v>
      </c>
      <c r="J404">
        <v>0.69899999999999995</v>
      </c>
      <c r="K404">
        <v>13.98</v>
      </c>
      <c r="L404" s="1">
        <v>43626</v>
      </c>
      <c r="M404" s="2">
        <v>0.56805555555555554</v>
      </c>
      <c r="N404" t="s">
        <v>27</v>
      </c>
      <c r="O404">
        <v>13.98</v>
      </c>
      <c r="P404">
        <v>4.7619047620000003</v>
      </c>
      <c r="Q404">
        <v>0</v>
      </c>
      <c r="R404">
        <v>10</v>
      </c>
      <c r="S404">
        <v>96.078500000000005</v>
      </c>
      <c r="T404">
        <v>19.763300000000001</v>
      </c>
    </row>
    <row r="405" spans="1:20" x14ac:dyDescent="0.3">
      <c r="A405" t="s">
        <v>727</v>
      </c>
      <c r="C405" t="s">
        <v>296</v>
      </c>
      <c r="D405" t="s">
        <v>53</v>
      </c>
      <c r="E405" t="s">
        <v>32</v>
      </c>
      <c r="F405" t="s">
        <v>25</v>
      </c>
      <c r="G405" t="s">
        <v>100</v>
      </c>
      <c r="H405">
        <v>39.75</v>
      </c>
      <c r="I405">
        <v>7</v>
      </c>
      <c r="J405">
        <v>13.9125</v>
      </c>
      <c r="K405">
        <v>278.25</v>
      </c>
      <c r="L405" s="1">
        <v>43682</v>
      </c>
      <c r="M405" s="2">
        <v>0.4465277777777778</v>
      </c>
      <c r="N405" t="s">
        <v>27</v>
      </c>
      <c r="O405">
        <v>198.75</v>
      </c>
      <c r="P405">
        <v>4.7619047620000003</v>
      </c>
      <c r="Q405">
        <v>79.5</v>
      </c>
      <c r="R405">
        <v>10</v>
      </c>
      <c r="S405">
        <v>96.089100000000002</v>
      </c>
      <c r="T405">
        <v>21.9588</v>
      </c>
    </row>
    <row r="406" spans="1:20" x14ac:dyDescent="0.3">
      <c r="A406" t="s">
        <v>728</v>
      </c>
      <c r="C406" t="s">
        <v>276</v>
      </c>
      <c r="D406" t="s">
        <v>31</v>
      </c>
      <c r="E406" t="s">
        <v>24</v>
      </c>
      <c r="F406" t="s">
        <v>25</v>
      </c>
      <c r="G406" t="s">
        <v>100</v>
      </c>
      <c r="H406">
        <v>97.79</v>
      </c>
      <c r="I406">
        <v>11</v>
      </c>
      <c r="J406">
        <v>53.784500000000001</v>
      </c>
      <c r="K406">
        <v>1075.69</v>
      </c>
      <c r="L406" s="1">
        <v>43481</v>
      </c>
      <c r="M406" s="2">
        <v>0.72916666666666663</v>
      </c>
      <c r="N406" t="s">
        <v>27</v>
      </c>
      <c r="O406">
        <v>684.53</v>
      </c>
      <c r="P406">
        <v>4.7619047620000003</v>
      </c>
      <c r="Q406">
        <v>391.16</v>
      </c>
      <c r="R406">
        <v>5.1449999999999996</v>
      </c>
      <c r="S406">
        <v>96.078500000000005</v>
      </c>
      <c r="T406">
        <v>19.763300000000001</v>
      </c>
    </row>
    <row r="407" spans="1:20" x14ac:dyDescent="0.3">
      <c r="A407" t="s">
        <v>729</v>
      </c>
      <c r="C407" t="s">
        <v>730</v>
      </c>
      <c r="D407" t="s">
        <v>23</v>
      </c>
      <c r="E407" t="s">
        <v>24</v>
      </c>
      <c r="F407" t="s">
        <v>36</v>
      </c>
      <c r="G407" t="s">
        <v>68</v>
      </c>
      <c r="H407">
        <v>67.260000000000005</v>
      </c>
      <c r="I407">
        <v>6</v>
      </c>
      <c r="J407">
        <v>20.178000000000001</v>
      </c>
      <c r="K407">
        <v>403.56</v>
      </c>
      <c r="L407" s="1">
        <v>43788</v>
      </c>
      <c r="M407" s="2">
        <v>0.64444444444444449</v>
      </c>
      <c r="N407" t="s">
        <v>37</v>
      </c>
      <c r="O407">
        <v>269.04000000000002</v>
      </c>
      <c r="P407">
        <v>4.7619047620000003</v>
      </c>
      <c r="Q407">
        <v>134.52000000000001</v>
      </c>
      <c r="R407">
        <v>8</v>
      </c>
      <c r="S407">
        <v>96.173500000000004</v>
      </c>
      <c r="T407">
        <v>16.840900000000001</v>
      </c>
    </row>
    <row r="408" spans="1:20" x14ac:dyDescent="0.3">
      <c r="A408" t="s">
        <v>731</v>
      </c>
      <c r="C408" t="s">
        <v>732</v>
      </c>
      <c r="D408" t="s">
        <v>23</v>
      </c>
      <c r="E408" t="s">
        <v>32</v>
      </c>
      <c r="F408" t="s">
        <v>36</v>
      </c>
      <c r="G408" t="s">
        <v>63</v>
      </c>
      <c r="H408">
        <v>13.79</v>
      </c>
      <c r="I408">
        <v>5</v>
      </c>
      <c r="J408">
        <v>3.4474999999999998</v>
      </c>
      <c r="K408">
        <v>68.95</v>
      </c>
      <c r="L408" s="1">
        <v>43660</v>
      </c>
      <c r="M408" s="2">
        <v>0.79652777777777772</v>
      </c>
      <c r="N408" t="s">
        <v>37</v>
      </c>
      <c r="O408">
        <v>68.95</v>
      </c>
      <c r="P408">
        <v>4.7619047620000003</v>
      </c>
      <c r="Q408">
        <v>0</v>
      </c>
      <c r="R408">
        <v>7.8</v>
      </c>
      <c r="S408">
        <v>96.173500000000004</v>
      </c>
      <c r="T408">
        <v>16.840900000000001</v>
      </c>
    </row>
    <row r="409" spans="1:20" x14ac:dyDescent="0.3">
      <c r="A409" t="s">
        <v>733</v>
      </c>
      <c r="C409" t="s">
        <v>734</v>
      </c>
      <c r="D409" t="s">
        <v>53</v>
      </c>
      <c r="E409" t="s">
        <v>24</v>
      </c>
      <c r="F409" t="s">
        <v>25</v>
      </c>
      <c r="G409" t="s">
        <v>100</v>
      </c>
      <c r="H409">
        <v>68.709999999999994</v>
      </c>
      <c r="I409">
        <v>8</v>
      </c>
      <c r="J409">
        <v>27.484000000000002</v>
      </c>
      <c r="K409">
        <v>549.67999999999995</v>
      </c>
      <c r="L409" s="1">
        <v>43516</v>
      </c>
      <c r="M409" s="2">
        <v>0.79236111111111107</v>
      </c>
      <c r="N409" t="s">
        <v>33</v>
      </c>
      <c r="O409">
        <v>274.83999999999997</v>
      </c>
      <c r="P409">
        <v>4.7619047620000003</v>
      </c>
      <c r="Q409">
        <v>274.83999999999997</v>
      </c>
      <c r="R409">
        <v>4.92</v>
      </c>
      <c r="S409">
        <v>96.089100000000002</v>
      </c>
      <c r="T409">
        <v>21.9588</v>
      </c>
    </row>
    <row r="410" spans="1:20" x14ac:dyDescent="0.3">
      <c r="A410" t="s">
        <v>735</v>
      </c>
      <c r="C410" t="s">
        <v>736</v>
      </c>
      <c r="D410" t="s">
        <v>23</v>
      </c>
      <c r="E410" t="s">
        <v>32</v>
      </c>
      <c r="F410" t="s">
        <v>25</v>
      </c>
      <c r="G410" t="s">
        <v>77</v>
      </c>
      <c r="H410">
        <v>56.53</v>
      </c>
      <c r="I410">
        <v>4</v>
      </c>
      <c r="J410">
        <v>11.305999999999999</v>
      </c>
      <c r="K410">
        <v>226.12</v>
      </c>
      <c r="L410" s="1">
        <v>43521</v>
      </c>
      <c r="M410" s="2">
        <v>0.82499999999999996</v>
      </c>
      <c r="N410" t="s">
        <v>27</v>
      </c>
      <c r="O410">
        <v>226.12</v>
      </c>
      <c r="P410">
        <v>4.7619047620000003</v>
      </c>
      <c r="Q410">
        <v>0</v>
      </c>
      <c r="R410">
        <v>5.5</v>
      </c>
      <c r="S410">
        <v>96.173500000000004</v>
      </c>
      <c r="T410">
        <v>16.840900000000001</v>
      </c>
    </row>
    <row r="411" spans="1:20" x14ac:dyDescent="0.3">
      <c r="A411" t="s">
        <v>737</v>
      </c>
      <c r="C411" t="s">
        <v>305</v>
      </c>
      <c r="D411" t="s">
        <v>31</v>
      </c>
      <c r="E411" t="s">
        <v>32</v>
      </c>
      <c r="F411" t="s">
        <v>25</v>
      </c>
      <c r="G411" t="s">
        <v>100</v>
      </c>
      <c r="H411">
        <v>23.82</v>
      </c>
      <c r="I411">
        <v>6</v>
      </c>
      <c r="J411">
        <v>7.1459999999999999</v>
      </c>
      <c r="K411">
        <v>142.91999999999999</v>
      </c>
      <c r="L411" s="1">
        <v>43570</v>
      </c>
      <c r="M411" s="2">
        <v>0.80833333333333335</v>
      </c>
      <c r="N411" t="s">
        <v>27</v>
      </c>
      <c r="O411">
        <v>119.1</v>
      </c>
      <c r="P411">
        <v>4.7619047620000003</v>
      </c>
      <c r="Q411">
        <v>23.82</v>
      </c>
      <c r="R411">
        <v>5.67</v>
      </c>
      <c r="S411">
        <v>96.078500000000005</v>
      </c>
      <c r="T411">
        <v>19.763300000000001</v>
      </c>
    </row>
    <row r="412" spans="1:20" x14ac:dyDescent="0.3">
      <c r="A412" t="s">
        <v>738</v>
      </c>
      <c r="C412" t="s">
        <v>175</v>
      </c>
      <c r="D412" t="s">
        <v>53</v>
      </c>
      <c r="E412" t="s">
        <v>32</v>
      </c>
      <c r="F412" t="s">
        <v>25</v>
      </c>
      <c r="G412" t="s">
        <v>26</v>
      </c>
      <c r="H412">
        <v>34.21</v>
      </c>
      <c r="I412">
        <v>14</v>
      </c>
      <c r="J412">
        <v>23.946999999999999</v>
      </c>
      <c r="K412">
        <v>478.94</v>
      </c>
      <c r="L412" s="1">
        <v>43797</v>
      </c>
      <c r="M412" s="2">
        <v>0.54166666666666663</v>
      </c>
      <c r="N412" t="s">
        <v>33</v>
      </c>
      <c r="O412">
        <v>342.1</v>
      </c>
      <c r="P412">
        <v>4.7619047620000003</v>
      </c>
      <c r="Q412">
        <v>136.84</v>
      </c>
      <c r="R412">
        <v>6.12</v>
      </c>
      <c r="S412">
        <v>96.089100000000002</v>
      </c>
      <c r="T412">
        <v>21.9588</v>
      </c>
    </row>
    <row r="413" spans="1:20" x14ac:dyDescent="0.3">
      <c r="A413" t="s">
        <v>739</v>
      </c>
      <c r="C413" t="s">
        <v>99</v>
      </c>
      <c r="D413" t="s">
        <v>53</v>
      </c>
      <c r="E413" t="s">
        <v>32</v>
      </c>
      <c r="F413" t="s">
        <v>36</v>
      </c>
      <c r="G413" t="s">
        <v>68</v>
      </c>
      <c r="H413">
        <v>21.87</v>
      </c>
      <c r="I413">
        <v>3</v>
      </c>
      <c r="J413">
        <v>3.2805</v>
      </c>
      <c r="K413">
        <v>65.61</v>
      </c>
      <c r="L413" s="1">
        <v>43755</v>
      </c>
      <c r="M413" s="2">
        <v>0.60347222222222219</v>
      </c>
      <c r="N413" t="s">
        <v>27</v>
      </c>
      <c r="O413">
        <v>43.74</v>
      </c>
      <c r="P413">
        <v>4.7619047620000003</v>
      </c>
      <c r="Q413">
        <v>21.87</v>
      </c>
      <c r="R413">
        <v>8.2799999999999994</v>
      </c>
      <c r="S413">
        <v>96.089100000000002</v>
      </c>
      <c r="T413">
        <v>21.9588</v>
      </c>
    </row>
    <row r="414" spans="1:20" x14ac:dyDescent="0.3">
      <c r="A414" t="s">
        <v>740</v>
      </c>
      <c r="C414" t="s">
        <v>741</v>
      </c>
      <c r="D414" t="s">
        <v>23</v>
      </c>
      <c r="E414" t="s">
        <v>24</v>
      </c>
      <c r="F414" t="s">
        <v>36</v>
      </c>
      <c r="G414" t="s">
        <v>26</v>
      </c>
      <c r="H414">
        <v>20.97</v>
      </c>
      <c r="I414">
        <v>7</v>
      </c>
      <c r="J414">
        <v>7.3395000000000001</v>
      </c>
      <c r="K414">
        <v>146.79</v>
      </c>
      <c r="L414" s="1">
        <v>43472</v>
      </c>
      <c r="M414" s="2">
        <v>0.55625000000000002</v>
      </c>
      <c r="N414" t="s">
        <v>33</v>
      </c>
      <c r="O414">
        <v>104.85</v>
      </c>
      <c r="P414">
        <v>4.7619047620000003</v>
      </c>
      <c r="Q414">
        <v>41.94</v>
      </c>
      <c r="R414">
        <v>7.8</v>
      </c>
      <c r="S414">
        <v>96.173500000000004</v>
      </c>
      <c r="T414">
        <v>16.840900000000001</v>
      </c>
    </row>
    <row r="415" spans="1:20" x14ac:dyDescent="0.3">
      <c r="A415" t="s">
        <v>742</v>
      </c>
      <c r="C415" t="s">
        <v>743</v>
      </c>
      <c r="D415" t="s">
        <v>23</v>
      </c>
      <c r="E415" t="s">
        <v>32</v>
      </c>
      <c r="F415" t="s">
        <v>36</v>
      </c>
      <c r="G415" t="s">
        <v>68</v>
      </c>
      <c r="H415">
        <v>25.84</v>
      </c>
      <c r="I415">
        <v>3</v>
      </c>
      <c r="J415">
        <v>3.8759999999999999</v>
      </c>
      <c r="K415">
        <v>77.52</v>
      </c>
      <c r="L415" s="1">
        <v>43793</v>
      </c>
      <c r="M415" s="2">
        <v>0.78819444444444442</v>
      </c>
      <c r="N415" t="s">
        <v>27</v>
      </c>
      <c r="O415">
        <v>77.52</v>
      </c>
      <c r="P415">
        <v>4.7619047620000003</v>
      </c>
      <c r="Q415">
        <v>0</v>
      </c>
      <c r="R415">
        <v>6.6</v>
      </c>
      <c r="S415">
        <v>96.173500000000004</v>
      </c>
      <c r="T415">
        <v>16.840900000000001</v>
      </c>
    </row>
    <row r="416" spans="1:20" x14ac:dyDescent="0.3">
      <c r="A416" t="s">
        <v>744</v>
      </c>
      <c r="C416" t="s">
        <v>745</v>
      </c>
      <c r="D416" t="s">
        <v>23</v>
      </c>
      <c r="E416" t="s">
        <v>32</v>
      </c>
      <c r="F416" t="s">
        <v>36</v>
      </c>
      <c r="G416" t="s">
        <v>77</v>
      </c>
      <c r="H416">
        <v>50.93</v>
      </c>
      <c r="I416">
        <v>8</v>
      </c>
      <c r="J416">
        <v>20.372</v>
      </c>
      <c r="K416">
        <v>407.44</v>
      </c>
      <c r="L416" s="1">
        <v>43475</v>
      </c>
      <c r="M416" s="2">
        <v>0.81666666666666665</v>
      </c>
      <c r="N416" t="s">
        <v>27</v>
      </c>
      <c r="O416">
        <v>407.44</v>
      </c>
      <c r="P416">
        <v>4.7619047620000003</v>
      </c>
      <c r="Q416">
        <v>0</v>
      </c>
      <c r="R416">
        <v>9.1999999999999993</v>
      </c>
      <c r="S416">
        <v>96.173500000000004</v>
      </c>
      <c r="T416">
        <v>16.840900000000001</v>
      </c>
    </row>
    <row r="417" spans="1:20" x14ac:dyDescent="0.3">
      <c r="A417" t="s">
        <v>746</v>
      </c>
      <c r="C417" t="s">
        <v>117</v>
      </c>
      <c r="D417" t="s">
        <v>53</v>
      </c>
      <c r="E417" t="s">
        <v>32</v>
      </c>
      <c r="F417" t="s">
        <v>36</v>
      </c>
      <c r="G417" t="s">
        <v>26</v>
      </c>
      <c r="H417">
        <v>96.11</v>
      </c>
      <c r="I417">
        <v>1</v>
      </c>
      <c r="J417">
        <v>4.8055000000000003</v>
      </c>
      <c r="K417">
        <v>96.11</v>
      </c>
      <c r="L417" s="1">
        <v>43764</v>
      </c>
      <c r="M417" s="2">
        <v>0.68611111111111112</v>
      </c>
      <c r="N417" t="s">
        <v>27</v>
      </c>
      <c r="O417">
        <v>96.11</v>
      </c>
      <c r="P417">
        <v>4.7619047620000003</v>
      </c>
      <c r="Q417">
        <v>0</v>
      </c>
      <c r="R417">
        <v>9.36</v>
      </c>
      <c r="S417">
        <v>96.089100000000002</v>
      </c>
      <c r="T417">
        <v>21.9588</v>
      </c>
    </row>
    <row r="418" spans="1:20" x14ac:dyDescent="0.3">
      <c r="A418" t="s">
        <v>747</v>
      </c>
      <c r="C418" t="s">
        <v>748</v>
      </c>
      <c r="D418" t="s">
        <v>31</v>
      </c>
      <c r="E418" t="s">
        <v>32</v>
      </c>
      <c r="F418" t="s">
        <v>25</v>
      </c>
      <c r="G418" t="s">
        <v>77</v>
      </c>
      <c r="H418">
        <v>45.38</v>
      </c>
      <c r="I418">
        <v>5</v>
      </c>
      <c r="J418">
        <v>11.345000000000001</v>
      </c>
      <c r="K418">
        <v>226.9</v>
      </c>
      <c r="L418" s="1">
        <v>43754</v>
      </c>
      <c r="M418" s="2">
        <v>0.57499999999999996</v>
      </c>
      <c r="N418" t="s">
        <v>37</v>
      </c>
      <c r="O418">
        <v>181.52</v>
      </c>
      <c r="P418">
        <v>4.7619047620000003</v>
      </c>
      <c r="Q418">
        <v>45.38</v>
      </c>
      <c r="R418">
        <v>9.1349999999999998</v>
      </c>
      <c r="S418">
        <v>96.078500000000005</v>
      </c>
      <c r="T418">
        <v>19.763300000000001</v>
      </c>
    </row>
    <row r="419" spans="1:20" x14ac:dyDescent="0.3">
      <c r="A419" t="s">
        <v>749</v>
      </c>
      <c r="C419" t="s">
        <v>290</v>
      </c>
      <c r="D419" t="s">
        <v>31</v>
      </c>
      <c r="E419" t="s">
        <v>24</v>
      </c>
      <c r="F419" t="s">
        <v>25</v>
      </c>
      <c r="G419" t="s">
        <v>26</v>
      </c>
      <c r="H419">
        <v>81.510000000000005</v>
      </c>
      <c r="I419">
        <v>1</v>
      </c>
      <c r="J419">
        <v>4.0754999999999999</v>
      </c>
      <c r="K419">
        <v>81.510000000000005</v>
      </c>
      <c r="L419" s="1">
        <v>43729</v>
      </c>
      <c r="M419" s="2">
        <v>0.45624999999999999</v>
      </c>
      <c r="N419" t="s">
        <v>27</v>
      </c>
      <c r="O419">
        <v>81.510000000000005</v>
      </c>
      <c r="P419">
        <v>4.7619047620000003</v>
      </c>
      <c r="Q419">
        <v>0</v>
      </c>
      <c r="R419">
        <v>9.66</v>
      </c>
      <c r="S419">
        <v>96.078500000000005</v>
      </c>
      <c r="T419">
        <v>19.763300000000001</v>
      </c>
    </row>
    <row r="420" spans="1:20" x14ac:dyDescent="0.3">
      <c r="A420" t="s">
        <v>750</v>
      </c>
      <c r="C420" t="s">
        <v>751</v>
      </c>
      <c r="D420" t="s">
        <v>53</v>
      </c>
      <c r="E420" t="s">
        <v>32</v>
      </c>
      <c r="F420" t="s">
        <v>25</v>
      </c>
      <c r="G420" t="s">
        <v>26</v>
      </c>
      <c r="H420">
        <v>57.22</v>
      </c>
      <c r="I420">
        <v>3</v>
      </c>
      <c r="J420">
        <v>8.5830000000000002</v>
      </c>
      <c r="K420">
        <v>171.66</v>
      </c>
      <c r="L420" s="1">
        <v>43664</v>
      </c>
      <c r="M420" s="2">
        <v>0.71736111111111112</v>
      </c>
      <c r="N420" t="s">
        <v>27</v>
      </c>
      <c r="O420">
        <v>114.44</v>
      </c>
      <c r="P420">
        <v>4.7619047620000003</v>
      </c>
      <c r="Q420">
        <v>57.22</v>
      </c>
      <c r="R420">
        <v>9.9600000000000009</v>
      </c>
      <c r="S420">
        <v>96.089100000000002</v>
      </c>
      <c r="T420">
        <v>21.9588</v>
      </c>
    </row>
    <row r="421" spans="1:20" x14ac:dyDescent="0.3">
      <c r="A421" t="s">
        <v>752</v>
      </c>
      <c r="C421" t="s">
        <v>472</v>
      </c>
      <c r="D421" t="s">
        <v>23</v>
      </c>
      <c r="E421" t="s">
        <v>24</v>
      </c>
      <c r="F421" t="s">
        <v>25</v>
      </c>
      <c r="G421" t="s">
        <v>60</v>
      </c>
      <c r="H421">
        <v>25.22</v>
      </c>
      <c r="I421">
        <v>10</v>
      </c>
      <c r="J421">
        <v>12.61</v>
      </c>
      <c r="K421">
        <v>252.2</v>
      </c>
      <c r="L421" s="1">
        <v>43657</v>
      </c>
      <c r="M421" s="2">
        <v>0.43263888888888891</v>
      </c>
      <c r="N421" t="s">
        <v>33</v>
      </c>
      <c r="O421">
        <v>176.54</v>
      </c>
      <c r="P421">
        <v>4.7619047620000003</v>
      </c>
      <c r="Q421">
        <v>75.66</v>
      </c>
      <c r="R421">
        <v>8.1999999999999993</v>
      </c>
      <c r="S421">
        <v>96.173500000000004</v>
      </c>
      <c r="T421">
        <v>16.840900000000001</v>
      </c>
    </row>
    <row r="422" spans="1:20" x14ac:dyDescent="0.3">
      <c r="A422" t="s">
        <v>753</v>
      </c>
      <c r="C422" t="s">
        <v>754</v>
      </c>
      <c r="D422" t="s">
        <v>31</v>
      </c>
      <c r="E422" t="s">
        <v>32</v>
      </c>
      <c r="F422" t="s">
        <v>25</v>
      </c>
      <c r="G422" t="s">
        <v>63</v>
      </c>
      <c r="H422">
        <v>38.6</v>
      </c>
      <c r="I422">
        <v>4</v>
      </c>
      <c r="J422">
        <v>7.72</v>
      </c>
      <c r="K422">
        <v>154.4</v>
      </c>
      <c r="L422" s="1">
        <v>43531</v>
      </c>
      <c r="M422" s="2">
        <v>0.58125000000000004</v>
      </c>
      <c r="N422" t="s">
        <v>27</v>
      </c>
      <c r="O422">
        <v>115.8</v>
      </c>
      <c r="P422">
        <v>4.7619047620000003</v>
      </c>
      <c r="Q422">
        <v>38.6</v>
      </c>
      <c r="R422">
        <v>7.875</v>
      </c>
      <c r="S422">
        <v>96.078500000000005</v>
      </c>
      <c r="T422">
        <v>19.763300000000001</v>
      </c>
    </row>
    <row r="423" spans="1:20" x14ac:dyDescent="0.3">
      <c r="A423" t="s">
        <v>755</v>
      </c>
      <c r="C423" t="s">
        <v>756</v>
      </c>
      <c r="D423" t="s">
        <v>31</v>
      </c>
      <c r="E423" t="s">
        <v>32</v>
      </c>
      <c r="F423" t="s">
        <v>25</v>
      </c>
      <c r="G423" t="s">
        <v>60</v>
      </c>
      <c r="H423">
        <v>84.05</v>
      </c>
      <c r="I423">
        <v>4</v>
      </c>
      <c r="J423">
        <v>16.809999999999999</v>
      </c>
      <c r="K423">
        <v>336.2</v>
      </c>
      <c r="L423" s="1">
        <v>43536</v>
      </c>
      <c r="M423" s="2">
        <v>0.56180555555555556</v>
      </c>
      <c r="N423" t="s">
        <v>33</v>
      </c>
      <c r="O423">
        <v>252.15</v>
      </c>
      <c r="P423">
        <v>4.7619047620000003</v>
      </c>
      <c r="Q423">
        <v>84.05</v>
      </c>
      <c r="R423">
        <v>10</v>
      </c>
      <c r="S423">
        <v>96.078500000000005</v>
      </c>
      <c r="T423">
        <v>19.763300000000001</v>
      </c>
    </row>
    <row r="424" spans="1:20" x14ac:dyDescent="0.3">
      <c r="A424" t="s">
        <v>757</v>
      </c>
      <c r="C424" t="s">
        <v>596</v>
      </c>
      <c r="D424" t="s">
        <v>31</v>
      </c>
      <c r="E424" t="s">
        <v>32</v>
      </c>
      <c r="F424" t="s">
        <v>25</v>
      </c>
      <c r="G424" t="s">
        <v>100</v>
      </c>
      <c r="H424">
        <v>97.21</v>
      </c>
      <c r="I424">
        <v>12</v>
      </c>
      <c r="J424">
        <v>58.326000000000001</v>
      </c>
      <c r="K424">
        <v>1166.52</v>
      </c>
      <c r="L424" s="1">
        <v>43787</v>
      </c>
      <c r="M424" s="2">
        <v>0.54166666666666663</v>
      </c>
      <c r="N424" t="s">
        <v>37</v>
      </c>
      <c r="O424">
        <v>972.1</v>
      </c>
      <c r="P424">
        <v>4.7619047620000003</v>
      </c>
      <c r="Q424">
        <v>194.42</v>
      </c>
      <c r="S424">
        <v>96.078500000000005</v>
      </c>
      <c r="T424">
        <v>19.763300000000001</v>
      </c>
    </row>
    <row r="425" spans="1:20" x14ac:dyDescent="0.3">
      <c r="A425" t="s">
        <v>758</v>
      </c>
      <c r="C425" t="s">
        <v>636</v>
      </c>
      <c r="D425" t="s">
        <v>53</v>
      </c>
      <c r="E425" t="s">
        <v>32</v>
      </c>
      <c r="F425" t="s">
        <v>36</v>
      </c>
      <c r="G425" t="s">
        <v>100</v>
      </c>
      <c r="H425">
        <v>25.42</v>
      </c>
      <c r="I425">
        <v>11</v>
      </c>
      <c r="J425">
        <v>13.981</v>
      </c>
      <c r="K425">
        <v>279.62</v>
      </c>
      <c r="L425" s="1">
        <v>43580</v>
      </c>
      <c r="M425" s="2">
        <v>0.8208333333333333</v>
      </c>
      <c r="N425" t="s">
        <v>37</v>
      </c>
      <c r="O425">
        <v>203.36</v>
      </c>
      <c r="P425">
        <v>4.7619047620000003</v>
      </c>
      <c r="Q425">
        <v>76.260000000000005</v>
      </c>
      <c r="S425">
        <v>96.089100000000002</v>
      </c>
      <c r="T425">
        <v>21.9588</v>
      </c>
    </row>
    <row r="426" spans="1:20" x14ac:dyDescent="0.3">
      <c r="A426" t="s">
        <v>759</v>
      </c>
      <c r="C426" t="s">
        <v>229</v>
      </c>
      <c r="D426" t="s">
        <v>31</v>
      </c>
      <c r="E426" t="s">
        <v>32</v>
      </c>
      <c r="F426" t="s">
        <v>36</v>
      </c>
      <c r="G426" t="s">
        <v>100</v>
      </c>
      <c r="H426">
        <v>16.28</v>
      </c>
      <c r="I426">
        <v>1</v>
      </c>
      <c r="J426">
        <v>0.81399999999999995</v>
      </c>
      <c r="K426">
        <v>16.28</v>
      </c>
      <c r="L426" s="1">
        <v>43687</v>
      </c>
      <c r="M426" s="2">
        <v>0.65</v>
      </c>
      <c r="N426" t="s">
        <v>33</v>
      </c>
      <c r="O426">
        <v>16.28</v>
      </c>
      <c r="P426">
        <v>4.7619047620000003</v>
      </c>
      <c r="Q426">
        <v>0</v>
      </c>
      <c r="S426">
        <v>96.078500000000005</v>
      </c>
      <c r="T426">
        <v>19.763300000000001</v>
      </c>
    </row>
    <row r="427" spans="1:20" x14ac:dyDescent="0.3">
      <c r="A427" t="s">
        <v>760</v>
      </c>
      <c r="C427" t="s">
        <v>629</v>
      </c>
      <c r="D427" t="s">
        <v>53</v>
      </c>
      <c r="E427" t="s">
        <v>32</v>
      </c>
      <c r="F427" t="s">
        <v>36</v>
      </c>
      <c r="G427" t="s">
        <v>100</v>
      </c>
      <c r="H427">
        <v>40.61</v>
      </c>
      <c r="I427">
        <v>13</v>
      </c>
      <c r="J427">
        <v>26.3965</v>
      </c>
      <c r="K427">
        <v>527.92999999999995</v>
      </c>
      <c r="L427" s="1">
        <v>43611</v>
      </c>
      <c r="M427" s="2">
        <v>0.56944444444444442</v>
      </c>
      <c r="N427" t="s">
        <v>33</v>
      </c>
      <c r="O427">
        <v>365.49</v>
      </c>
      <c r="P427">
        <v>4.7619047620000003</v>
      </c>
      <c r="Q427">
        <v>162.44</v>
      </c>
      <c r="S427">
        <v>96.089100000000002</v>
      </c>
      <c r="T427">
        <v>21.9588</v>
      </c>
    </row>
    <row r="428" spans="1:20" x14ac:dyDescent="0.3">
      <c r="A428" t="s">
        <v>761</v>
      </c>
      <c r="C428" t="s">
        <v>762</v>
      </c>
      <c r="D428" t="s">
        <v>23</v>
      </c>
      <c r="E428" t="s">
        <v>32</v>
      </c>
      <c r="F428" t="s">
        <v>36</v>
      </c>
      <c r="G428" t="s">
        <v>26</v>
      </c>
      <c r="H428">
        <v>53.17</v>
      </c>
      <c r="I428">
        <v>7</v>
      </c>
      <c r="J428">
        <v>18.609500000000001</v>
      </c>
      <c r="K428">
        <v>372.19</v>
      </c>
      <c r="L428" s="1">
        <v>43777</v>
      </c>
      <c r="M428" s="2">
        <v>0.75069444444444444</v>
      </c>
      <c r="N428" t="s">
        <v>33</v>
      </c>
      <c r="O428">
        <v>372.19</v>
      </c>
      <c r="P428">
        <v>4.7619047620000003</v>
      </c>
      <c r="Q428">
        <v>0</v>
      </c>
      <c r="S428">
        <v>96.173500000000004</v>
      </c>
      <c r="T428">
        <v>16.840900000000001</v>
      </c>
    </row>
    <row r="429" spans="1:20" x14ac:dyDescent="0.3">
      <c r="A429" t="s">
        <v>763</v>
      </c>
      <c r="C429" t="s">
        <v>343</v>
      </c>
      <c r="D429" t="s">
        <v>53</v>
      </c>
      <c r="E429" t="s">
        <v>32</v>
      </c>
      <c r="F429" t="s">
        <v>25</v>
      </c>
      <c r="G429" t="s">
        <v>63</v>
      </c>
      <c r="H429">
        <v>20.87</v>
      </c>
      <c r="I429">
        <v>4</v>
      </c>
      <c r="J429">
        <v>4.1740000000000004</v>
      </c>
      <c r="K429">
        <v>83.48</v>
      </c>
      <c r="L429" s="1">
        <v>43698</v>
      </c>
      <c r="M429" s="2">
        <v>0.57847222222222228</v>
      </c>
      <c r="N429" t="s">
        <v>37</v>
      </c>
      <c r="O429">
        <v>62.61</v>
      </c>
      <c r="P429">
        <v>4.7619047620000003</v>
      </c>
      <c r="Q429">
        <v>20.87</v>
      </c>
      <c r="S429">
        <v>96.089100000000002</v>
      </c>
      <c r="T429">
        <v>21.9588</v>
      </c>
    </row>
    <row r="430" spans="1:20" x14ac:dyDescent="0.3">
      <c r="A430" t="s">
        <v>764</v>
      </c>
      <c r="C430" t="s">
        <v>134</v>
      </c>
      <c r="D430" t="s">
        <v>53</v>
      </c>
      <c r="E430" t="s">
        <v>32</v>
      </c>
      <c r="F430" t="s">
        <v>36</v>
      </c>
      <c r="G430" t="s">
        <v>68</v>
      </c>
      <c r="H430">
        <v>67.27</v>
      </c>
      <c r="I430">
        <v>7</v>
      </c>
      <c r="J430">
        <v>23.544499999999999</v>
      </c>
      <c r="K430">
        <v>470.89</v>
      </c>
      <c r="L430" s="1">
        <v>43688</v>
      </c>
      <c r="M430" s="2">
        <v>0.7270833333333333</v>
      </c>
      <c r="N430" t="s">
        <v>33</v>
      </c>
      <c r="O430">
        <v>336.35</v>
      </c>
      <c r="P430">
        <v>4.7619047620000003</v>
      </c>
      <c r="Q430">
        <v>134.54</v>
      </c>
      <c r="S430">
        <v>96.089100000000002</v>
      </c>
      <c r="T430">
        <v>21.9588</v>
      </c>
    </row>
    <row r="431" spans="1:20" x14ac:dyDescent="0.3">
      <c r="A431" t="s">
        <v>765</v>
      </c>
      <c r="C431" t="s">
        <v>743</v>
      </c>
      <c r="D431" t="s">
        <v>23</v>
      </c>
      <c r="E431" t="s">
        <v>32</v>
      </c>
      <c r="F431" t="s">
        <v>25</v>
      </c>
      <c r="G431" t="s">
        <v>77</v>
      </c>
      <c r="H431">
        <v>90.65</v>
      </c>
      <c r="I431">
        <v>10</v>
      </c>
      <c r="J431">
        <v>45.325000000000003</v>
      </c>
      <c r="K431">
        <v>906.5</v>
      </c>
      <c r="L431" s="1">
        <v>43683</v>
      </c>
      <c r="M431" s="2">
        <v>0.45347222222222222</v>
      </c>
      <c r="N431" t="s">
        <v>27</v>
      </c>
      <c r="O431">
        <v>906.5</v>
      </c>
      <c r="P431">
        <v>4.7619047620000003</v>
      </c>
      <c r="Q431">
        <v>0</v>
      </c>
      <c r="S431">
        <v>96.173500000000004</v>
      </c>
      <c r="T431">
        <v>16.840900000000001</v>
      </c>
    </row>
    <row r="432" spans="1:20" x14ac:dyDescent="0.3">
      <c r="A432" t="s">
        <v>766</v>
      </c>
      <c r="C432" t="s">
        <v>385</v>
      </c>
      <c r="D432" t="s">
        <v>53</v>
      </c>
      <c r="E432" t="s">
        <v>32</v>
      </c>
      <c r="F432" t="s">
        <v>36</v>
      </c>
      <c r="G432" t="s">
        <v>100</v>
      </c>
      <c r="H432">
        <v>69.08</v>
      </c>
      <c r="I432">
        <v>3</v>
      </c>
      <c r="J432">
        <v>10.362</v>
      </c>
      <c r="K432">
        <v>207.24</v>
      </c>
      <c r="L432" s="1">
        <v>43638</v>
      </c>
      <c r="M432" s="2">
        <v>0.82499999999999996</v>
      </c>
      <c r="N432" t="s">
        <v>37</v>
      </c>
      <c r="O432">
        <v>138.16</v>
      </c>
      <c r="P432">
        <v>4.7619047620000003</v>
      </c>
      <c r="Q432">
        <v>69.08</v>
      </c>
      <c r="R432">
        <v>8.2799999999999994</v>
      </c>
      <c r="S432">
        <v>96.089100000000002</v>
      </c>
      <c r="T432">
        <v>21.9588</v>
      </c>
    </row>
    <row r="433" spans="1:20" x14ac:dyDescent="0.3">
      <c r="A433" t="s">
        <v>767</v>
      </c>
      <c r="C433" t="s">
        <v>183</v>
      </c>
      <c r="D433" t="s">
        <v>31</v>
      </c>
      <c r="E433" t="s">
        <v>32</v>
      </c>
      <c r="F433" t="s">
        <v>36</v>
      </c>
      <c r="G433" t="s">
        <v>63</v>
      </c>
      <c r="H433">
        <v>43.27</v>
      </c>
      <c r="I433">
        <v>2</v>
      </c>
      <c r="J433">
        <v>4.327</v>
      </c>
      <c r="K433">
        <v>86.54</v>
      </c>
      <c r="L433" s="1">
        <v>43582</v>
      </c>
      <c r="M433" s="2">
        <v>0.70347222222222228</v>
      </c>
      <c r="N433" t="s">
        <v>27</v>
      </c>
      <c r="O433">
        <v>86.54</v>
      </c>
      <c r="P433">
        <v>4.7619047620000003</v>
      </c>
      <c r="Q433">
        <v>0</v>
      </c>
      <c r="R433">
        <v>5.9850000000000003</v>
      </c>
      <c r="S433">
        <v>96.078500000000005</v>
      </c>
      <c r="T433">
        <v>19.763300000000001</v>
      </c>
    </row>
    <row r="434" spans="1:20" x14ac:dyDescent="0.3">
      <c r="A434" t="s">
        <v>768</v>
      </c>
      <c r="C434" t="s">
        <v>769</v>
      </c>
      <c r="D434" t="s">
        <v>23</v>
      </c>
      <c r="E434" t="s">
        <v>32</v>
      </c>
      <c r="F434" t="s">
        <v>25</v>
      </c>
      <c r="G434" t="s">
        <v>60</v>
      </c>
      <c r="H434">
        <v>23.46</v>
      </c>
      <c r="I434">
        <v>6</v>
      </c>
      <c r="J434">
        <v>7.0380000000000003</v>
      </c>
      <c r="K434">
        <v>140.76</v>
      </c>
      <c r="L434" s="1">
        <v>43480</v>
      </c>
      <c r="M434" s="2">
        <v>0.80138888888888893</v>
      </c>
      <c r="N434" t="s">
        <v>27</v>
      </c>
      <c r="O434">
        <v>140.76</v>
      </c>
      <c r="P434">
        <v>4.7619047620000003</v>
      </c>
      <c r="Q434">
        <v>0</v>
      </c>
      <c r="R434">
        <v>6.4</v>
      </c>
      <c r="S434">
        <v>96.173500000000004</v>
      </c>
      <c r="T434">
        <v>16.840900000000001</v>
      </c>
    </row>
    <row r="435" spans="1:20" x14ac:dyDescent="0.3">
      <c r="A435" t="s">
        <v>770</v>
      </c>
      <c r="C435" t="s">
        <v>771</v>
      </c>
      <c r="D435" t="s">
        <v>53</v>
      </c>
      <c r="E435" t="s">
        <v>32</v>
      </c>
      <c r="F435" t="s">
        <v>36</v>
      </c>
      <c r="G435" t="s">
        <v>100</v>
      </c>
      <c r="H435">
        <v>95.54</v>
      </c>
      <c r="I435">
        <v>10</v>
      </c>
      <c r="J435">
        <v>47.77</v>
      </c>
      <c r="K435">
        <v>955.4</v>
      </c>
      <c r="L435" s="1">
        <v>43630</v>
      </c>
      <c r="M435" s="2">
        <v>0.60833333333333328</v>
      </c>
      <c r="N435" t="s">
        <v>37</v>
      </c>
      <c r="O435">
        <v>668.78</v>
      </c>
      <c r="P435">
        <v>4.7619047620000003</v>
      </c>
      <c r="Q435">
        <v>286.62</v>
      </c>
      <c r="R435">
        <v>10</v>
      </c>
      <c r="S435">
        <v>96.089100000000002</v>
      </c>
      <c r="T435">
        <v>21.9588</v>
      </c>
    </row>
    <row r="436" spans="1:20" x14ac:dyDescent="0.3">
      <c r="A436" t="s">
        <v>772</v>
      </c>
      <c r="C436" t="s">
        <v>430</v>
      </c>
      <c r="D436" t="s">
        <v>53</v>
      </c>
      <c r="E436" t="s">
        <v>32</v>
      </c>
      <c r="F436" t="s">
        <v>25</v>
      </c>
      <c r="G436" t="s">
        <v>100</v>
      </c>
      <c r="H436">
        <v>47.44</v>
      </c>
      <c r="I436">
        <v>1</v>
      </c>
      <c r="J436">
        <v>2.3719999999999999</v>
      </c>
      <c r="K436">
        <v>47.44</v>
      </c>
      <c r="L436" s="1">
        <v>43717</v>
      </c>
      <c r="M436" s="2">
        <v>0.7631944444444444</v>
      </c>
      <c r="N436" t="s">
        <v>37</v>
      </c>
      <c r="O436">
        <v>47.44</v>
      </c>
      <c r="P436">
        <v>4.7619047620000003</v>
      </c>
      <c r="Q436">
        <v>0</v>
      </c>
      <c r="R436">
        <v>8.16</v>
      </c>
      <c r="S436">
        <v>96.089100000000002</v>
      </c>
      <c r="T436">
        <v>21.9588</v>
      </c>
    </row>
    <row r="437" spans="1:20" x14ac:dyDescent="0.3">
      <c r="A437" t="s">
        <v>773</v>
      </c>
      <c r="C437" t="s">
        <v>201</v>
      </c>
      <c r="D437" t="s">
        <v>31</v>
      </c>
      <c r="E437" t="s">
        <v>32</v>
      </c>
      <c r="F437" t="s">
        <v>36</v>
      </c>
      <c r="G437" t="s">
        <v>68</v>
      </c>
      <c r="H437">
        <v>99.24</v>
      </c>
      <c r="I437">
        <v>11</v>
      </c>
      <c r="J437">
        <v>54.582000000000001</v>
      </c>
      <c r="K437">
        <v>1091.6400000000001</v>
      </c>
      <c r="L437" s="1">
        <v>43574</v>
      </c>
      <c r="M437" s="2">
        <v>0.79791666666666672</v>
      </c>
      <c r="N437" t="s">
        <v>27</v>
      </c>
      <c r="O437">
        <v>893.16</v>
      </c>
      <c r="P437">
        <v>4.7619047620000003</v>
      </c>
      <c r="Q437">
        <v>198.48</v>
      </c>
      <c r="R437">
        <v>9.4499999999999993</v>
      </c>
      <c r="S437">
        <v>96.078500000000005</v>
      </c>
      <c r="T437">
        <v>19.763300000000001</v>
      </c>
    </row>
    <row r="438" spans="1:20" x14ac:dyDescent="0.3">
      <c r="A438" t="s">
        <v>774</v>
      </c>
      <c r="C438" t="s">
        <v>775</v>
      </c>
      <c r="D438" t="s">
        <v>31</v>
      </c>
      <c r="E438" t="s">
        <v>32</v>
      </c>
      <c r="F438" t="s">
        <v>36</v>
      </c>
      <c r="G438" t="s">
        <v>68</v>
      </c>
      <c r="H438">
        <v>82.93</v>
      </c>
      <c r="I438">
        <v>5</v>
      </c>
      <c r="J438">
        <v>20.732500000000002</v>
      </c>
      <c r="K438">
        <v>414.65</v>
      </c>
      <c r="L438" s="1">
        <v>43716</v>
      </c>
      <c r="M438" s="2">
        <v>0.70208333333333328</v>
      </c>
      <c r="N438" t="s">
        <v>27</v>
      </c>
      <c r="O438">
        <v>331.72</v>
      </c>
      <c r="P438">
        <v>4.7619047620000003</v>
      </c>
      <c r="Q438">
        <v>82.93</v>
      </c>
      <c r="R438">
        <v>10</v>
      </c>
      <c r="S438">
        <v>96.078500000000005</v>
      </c>
      <c r="T438">
        <v>19.763300000000001</v>
      </c>
    </row>
    <row r="439" spans="1:20" x14ac:dyDescent="0.3">
      <c r="A439" t="s">
        <v>776</v>
      </c>
      <c r="C439" t="s">
        <v>589</v>
      </c>
      <c r="D439" t="s">
        <v>23</v>
      </c>
      <c r="E439" t="s">
        <v>32</v>
      </c>
      <c r="F439" t="s">
        <v>36</v>
      </c>
      <c r="G439" t="s">
        <v>77</v>
      </c>
      <c r="H439">
        <v>33.99</v>
      </c>
      <c r="I439">
        <v>6</v>
      </c>
      <c r="J439">
        <v>10.196999999999999</v>
      </c>
      <c r="K439">
        <v>203.94</v>
      </c>
      <c r="L439" s="1">
        <v>43653</v>
      </c>
      <c r="M439" s="2">
        <v>0.65069444444444446</v>
      </c>
      <c r="N439" t="s">
        <v>37</v>
      </c>
      <c r="O439">
        <v>203.94</v>
      </c>
      <c r="P439">
        <v>4.7619047620000003</v>
      </c>
      <c r="Q439">
        <v>0</v>
      </c>
      <c r="R439">
        <v>7.7</v>
      </c>
      <c r="S439">
        <v>96.173500000000004</v>
      </c>
      <c r="T439">
        <v>16.840900000000001</v>
      </c>
    </row>
    <row r="440" spans="1:20" x14ac:dyDescent="0.3">
      <c r="A440" t="s">
        <v>777</v>
      </c>
      <c r="C440" t="s">
        <v>726</v>
      </c>
      <c r="D440" t="s">
        <v>31</v>
      </c>
      <c r="E440" t="s">
        <v>32</v>
      </c>
      <c r="F440" t="s">
        <v>36</v>
      </c>
      <c r="G440" t="s">
        <v>63</v>
      </c>
      <c r="H440">
        <v>17.04</v>
      </c>
      <c r="I440">
        <v>5</v>
      </c>
      <c r="J440">
        <v>4.26</v>
      </c>
      <c r="K440">
        <v>85.2</v>
      </c>
      <c r="L440" s="1">
        <v>43628</v>
      </c>
      <c r="M440" s="2">
        <v>0.84375</v>
      </c>
      <c r="N440" t="s">
        <v>27</v>
      </c>
      <c r="O440">
        <v>68.16</v>
      </c>
      <c r="P440">
        <v>4.7619047620000003</v>
      </c>
      <c r="Q440">
        <v>17.04</v>
      </c>
      <c r="R440">
        <v>7.35</v>
      </c>
      <c r="S440">
        <v>96.078500000000005</v>
      </c>
      <c r="T440">
        <v>19.763300000000001</v>
      </c>
    </row>
    <row r="441" spans="1:20" x14ac:dyDescent="0.3">
      <c r="A441" t="s">
        <v>778</v>
      </c>
      <c r="C441" t="s">
        <v>563</v>
      </c>
      <c r="D441" t="s">
        <v>31</v>
      </c>
      <c r="E441" t="s">
        <v>32</v>
      </c>
      <c r="F441" t="s">
        <v>25</v>
      </c>
      <c r="G441" t="s">
        <v>26</v>
      </c>
      <c r="H441">
        <v>40.86</v>
      </c>
      <c r="I441">
        <v>10</v>
      </c>
      <c r="J441">
        <v>20.43</v>
      </c>
      <c r="K441">
        <v>408.6</v>
      </c>
      <c r="L441" s="1">
        <v>43781</v>
      </c>
      <c r="M441" s="2">
        <v>0.60972222222222228</v>
      </c>
      <c r="N441" t="s">
        <v>37</v>
      </c>
      <c r="O441">
        <v>326.88</v>
      </c>
      <c r="P441">
        <v>4.7619047620000003</v>
      </c>
      <c r="Q441">
        <v>81.72</v>
      </c>
      <c r="R441">
        <v>6.8250000000000002</v>
      </c>
      <c r="S441">
        <v>96.078500000000005</v>
      </c>
      <c r="T441">
        <v>19.763300000000001</v>
      </c>
    </row>
    <row r="442" spans="1:20" x14ac:dyDescent="0.3">
      <c r="A442" t="s">
        <v>779</v>
      </c>
      <c r="C442" t="s">
        <v>780</v>
      </c>
      <c r="D442" t="s">
        <v>31</v>
      </c>
      <c r="E442" t="s">
        <v>32</v>
      </c>
      <c r="F442" t="s">
        <v>36</v>
      </c>
      <c r="G442" t="s">
        <v>26</v>
      </c>
      <c r="H442">
        <v>17.440000000000001</v>
      </c>
      <c r="I442">
        <v>6</v>
      </c>
      <c r="J442">
        <v>5.2320000000000002</v>
      </c>
      <c r="K442">
        <v>104.64</v>
      </c>
      <c r="L442" s="1">
        <v>43826</v>
      </c>
      <c r="M442" s="2">
        <v>0.80902777777777779</v>
      </c>
      <c r="N442" t="s">
        <v>33</v>
      </c>
      <c r="O442">
        <v>87.2</v>
      </c>
      <c r="P442">
        <v>4.7619047620000003</v>
      </c>
      <c r="Q442">
        <v>17.440000000000001</v>
      </c>
      <c r="R442">
        <v>8.5050000000000008</v>
      </c>
      <c r="S442">
        <v>96.078500000000005</v>
      </c>
      <c r="T442">
        <v>19.763300000000001</v>
      </c>
    </row>
    <row r="443" spans="1:20" x14ac:dyDescent="0.3">
      <c r="A443" t="s">
        <v>781</v>
      </c>
      <c r="C443" t="s">
        <v>268</v>
      </c>
      <c r="D443" t="s">
        <v>53</v>
      </c>
      <c r="E443" t="s">
        <v>24</v>
      </c>
      <c r="F443" t="s">
        <v>25</v>
      </c>
      <c r="G443" t="s">
        <v>26</v>
      </c>
      <c r="H443">
        <v>88.43</v>
      </c>
      <c r="I443">
        <v>15</v>
      </c>
      <c r="J443">
        <v>66.322500000000005</v>
      </c>
      <c r="K443">
        <v>1326.45</v>
      </c>
      <c r="L443" s="1">
        <v>43801</v>
      </c>
      <c r="M443" s="2">
        <v>0.81597222222222221</v>
      </c>
      <c r="N443" t="s">
        <v>37</v>
      </c>
      <c r="O443">
        <v>707.44</v>
      </c>
      <c r="P443">
        <v>4.7619047620000003</v>
      </c>
      <c r="Q443">
        <v>619.01</v>
      </c>
      <c r="R443">
        <v>5.16</v>
      </c>
      <c r="S443">
        <v>96.089100000000002</v>
      </c>
      <c r="T443">
        <v>21.9588</v>
      </c>
    </row>
    <row r="444" spans="1:20" x14ac:dyDescent="0.3">
      <c r="A444" t="s">
        <v>782</v>
      </c>
      <c r="C444" t="s">
        <v>783</v>
      </c>
      <c r="D444" t="s">
        <v>23</v>
      </c>
      <c r="E444" t="s">
        <v>24</v>
      </c>
      <c r="F444" t="s">
        <v>25</v>
      </c>
      <c r="G444" t="s">
        <v>26</v>
      </c>
      <c r="H444">
        <v>89.21</v>
      </c>
      <c r="I444">
        <v>13</v>
      </c>
      <c r="J444">
        <v>57.986499999999999</v>
      </c>
      <c r="K444">
        <v>1159.73</v>
      </c>
      <c r="L444" s="1">
        <v>43487</v>
      </c>
      <c r="M444" s="2">
        <v>0.65416666666666667</v>
      </c>
      <c r="N444" t="s">
        <v>37</v>
      </c>
      <c r="O444">
        <v>802.89</v>
      </c>
      <c r="P444">
        <v>4.7619047620000003</v>
      </c>
      <c r="Q444">
        <v>356.84</v>
      </c>
      <c r="R444">
        <v>6.5</v>
      </c>
      <c r="S444">
        <v>96.173500000000004</v>
      </c>
      <c r="T444">
        <v>16.840900000000001</v>
      </c>
    </row>
    <row r="445" spans="1:20" x14ac:dyDescent="0.3">
      <c r="A445" t="s">
        <v>784</v>
      </c>
      <c r="C445" t="s">
        <v>143</v>
      </c>
      <c r="D445" t="s">
        <v>31</v>
      </c>
      <c r="E445" t="s">
        <v>32</v>
      </c>
      <c r="F445" t="s">
        <v>36</v>
      </c>
      <c r="G445" t="s">
        <v>26</v>
      </c>
      <c r="H445">
        <v>12.78</v>
      </c>
      <c r="I445">
        <v>1</v>
      </c>
      <c r="J445">
        <v>0.63900000000000001</v>
      </c>
      <c r="K445">
        <v>12.78</v>
      </c>
      <c r="L445" s="1">
        <v>43777</v>
      </c>
      <c r="M445" s="2">
        <v>0.59097222222222223</v>
      </c>
      <c r="N445" t="s">
        <v>27</v>
      </c>
      <c r="O445">
        <v>12.78</v>
      </c>
      <c r="P445">
        <v>4.7619047620000003</v>
      </c>
      <c r="Q445">
        <v>0</v>
      </c>
      <c r="R445">
        <v>9.9749999999999996</v>
      </c>
      <c r="S445">
        <v>96.078500000000005</v>
      </c>
      <c r="T445">
        <v>19.763300000000001</v>
      </c>
    </row>
    <row r="446" spans="1:20" x14ac:dyDescent="0.3">
      <c r="A446" t="s">
        <v>785</v>
      </c>
      <c r="C446" t="s">
        <v>786</v>
      </c>
      <c r="D446" t="s">
        <v>23</v>
      </c>
      <c r="E446" t="s">
        <v>32</v>
      </c>
      <c r="F446" t="s">
        <v>25</v>
      </c>
      <c r="G446" t="s">
        <v>26</v>
      </c>
      <c r="H446">
        <v>19.100000000000001</v>
      </c>
      <c r="I446">
        <v>7</v>
      </c>
      <c r="J446">
        <v>6.6849999999999996</v>
      </c>
      <c r="K446">
        <v>133.69999999999999</v>
      </c>
      <c r="L446" s="1">
        <v>43764</v>
      </c>
      <c r="M446" s="2">
        <v>0.4465277777777778</v>
      </c>
      <c r="N446" t="s">
        <v>33</v>
      </c>
      <c r="O446">
        <v>133.69999999999999</v>
      </c>
      <c r="P446">
        <v>4.7619047620000003</v>
      </c>
      <c r="Q446">
        <v>0</v>
      </c>
      <c r="R446">
        <v>9.6999999999999993</v>
      </c>
      <c r="S446">
        <v>96.173500000000004</v>
      </c>
      <c r="T446">
        <v>16.840900000000001</v>
      </c>
    </row>
    <row r="447" spans="1:20" x14ac:dyDescent="0.3">
      <c r="A447" t="s">
        <v>787</v>
      </c>
      <c r="C447" t="s">
        <v>649</v>
      </c>
      <c r="D447" t="s">
        <v>53</v>
      </c>
      <c r="E447" t="s">
        <v>24</v>
      </c>
      <c r="F447" t="s">
        <v>25</v>
      </c>
      <c r="G447" t="s">
        <v>26</v>
      </c>
      <c r="H447">
        <v>19.149999999999999</v>
      </c>
      <c r="I447">
        <v>1</v>
      </c>
      <c r="J447">
        <v>0.95750000000000002</v>
      </c>
      <c r="K447">
        <v>19.149999999999999</v>
      </c>
      <c r="L447" s="1">
        <v>43748</v>
      </c>
      <c r="M447" s="2">
        <v>0.74861111111111112</v>
      </c>
      <c r="N447" t="s">
        <v>37</v>
      </c>
      <c r="O447">
        <v>19.149999999999999</v>
      </c>
      <c r="P447">
        <v>4.7619047620000003</v>
      </c>
      <c r="Q447">
        <v>0</v>
      </c>
      <c r="R447">
        <v>10</v>
      </c>
      <c r="S447">
        <v>96.089100000000002</v>
      </c>
      <c r="T447">
        <v>21.9588</v>
      </c>
    </row>
    <row r="448" spans="1:20" x14ac:dyDescent="0.3">
      <c r="A448" t="s">
        <v>788</v>
      </c>
      <c r="C448" t="s">
        <v>493</v>
      </c>
      <c r="D448" t="s">
        <v>31</v>
      </c>
      <c r="E448" t="s">
        <v>24</v>
      </c>
      <c r="F448" t="s">
        <v>36</v>
      </c>
      <c r="G448" t="s">
        <v>63</v>
      </c>
      <c r="H448">
        <v>27.66</v>
      </c>
      <c r="I448">
        <v>17</v>
      </c>
      <c r="J448">
        <v>23.510999999999999</v>
      </c>
      <c r="K448">
        <v>470.22</v>
      </c>
      <c r="L448" s="1">
        <v>43820</v>
      </c>
      <c r="M448" s="2">
        <v>0.47638888888888886</v>
      </c>
      <c r="N448" t="s">
        <v>37</v>
      </c>
      <c r="O448">
        <v>276.60000000000002</v>
      </c>
      <c r="P448">
        <v>4.7619047620000003</v>
      </c>
      <c r="Q448">
        <v>193.62</v>
      </c>
      <c r="R448">
        <v>9.3450000000000006</v>
      </c>
      <c r="S448">
        <v>96.078500000000005</v>
      </c>
      <c r="T448">
        <v>19.763300000000001</v>
      </c>
    </row>
    <row r="449" spans="1:20" x14ac:dyDescent="0.3">
      <c r="A449" t="s">
        <v>789</v>
      </c>
      <c r="C449" t="s">
        <v>389</v>
      </c>
      <c r="D449" t="s">
        <v>31</v>
      </c>
      <c r="E449" t="s">
        <v>32</v>
      </c>
      <c r="F449" t="s">
        <v>36</v>
      </c>
      <c r="G449" t="s">
        <v>100</v>
      </c>
      <c r="H449">
        <v>45.74</v>
      </c>
      <c r="I449">
        <v>4</v>
      </c>
      <c r="J449">
        <v>9.1479999999999997</v>
      </c>
      <c r="K449">
        <v>182.96</v>
      </c>
      <c r="L449" s="1">
        <v>43637</v>
      </c>
      <c r="M449" s="2">
        <v>0.73472222222222228</v>
      </c>
      <c r="N449" t="s">
        <v>37</v>
      </c>
      <c r="O449">
        <v>137.22</v>
      </c>
      <c r="P449">
        <v>4.7619047620000003</v>
      </c>
      <c r="Q449">
        <v>45.74</v>
      </c>
      <c r="R449">
        <v>6.8250000000000002</v>
      </c>
      <c r="S449">
        <v>96.078500000000005</v>
      </c>
      <c r="T449">
        <v>19.763300000000001</v>
      </c>
    </row>
    <row r="450" spans="1:20" x14ac:dyDescent="0.3">
      <c r="A450" t="s">
        <v>790</v>
      </c>
      <c r="C450" t="s">
        <v>791</v>
      </c>
      <c r="D450" t="s">
        <v>53</v>
      </c>
      <c r="E450" t="s">
        <v>24</v>
      </c>
      <c r="F450" t="s">
        <v>25</v>
      </c>
      <c r="G450" t="s">
        <v>26</v>
      </c>
      <c r="H450">
        <v>27.07</v>
      </c>
      <c r="I450">
        <v>1</v>
      </c>
      <c r="J450">
        <v>1.3534999999999999</v>
      </c>
      <c r="K450">
        <v>27.07</v>
      </c>
      <c r="L450" s="1">
        <v>43775</v>
      </c>
      <c r="M450" s="2">
        <v>0.83819444444444446</v>
      </c>
      <c r="N450" t="s">
        <v>37</v>
      </c>
      <c r="O450">
        <v>27.07</v>
      </c>
      <c r="P450">
        <v>4.7619047620000003</v>
      </c>
      <c r="Q450">
        <v>0</v>
      </c>
      <c r="R450">
        <v>6.36</v>
      </c>
      <c r="S450">
        <v>96.089100000000002</v>
      </c>
      <c r="T450">
        <v>21.9588</v>
      </c>
    </row>
    <row r="451" spans="1:20" x14ac:dyDescent="0.3">
      <c r="A451" t="s">
        <v>792</v>
      </c>
      <c r="C451" t="s">
        <v>665</v>
      </c>
      <c r="D451" t="s">
        <v>53</v>
      </c>
      <c r="E451" t="s">
        <v>24</v>
      </c>
      <c r="F451" t="s">
        <v>25</v>
      </c>
      <c r="G451" t="s">
        <v>100</v>
      </c>
      <c r="H451">
        <v>39.119999999999997</v>
      </c>
      <c r="I451">
        <v>1</v>
      </c>
      <c r="J451">
        <v>1.956</v>
      </c>
      <c r="K451">
        <v>39.119999999999997</v>
      </c>
      <c r="L451" s="1">
        <v>43512</v>
      </c>
      <c r="M451" s="2">
        <v>0.4597222222222222</v>
      </c>
      <c r="N451" t="s">
        <v>37</v>
      </c>
      <c r="O451">
        <v>39.119999999999997</v>
      </c>
      <c r="P451">
        <v>4.7619047620000003</v>
      </c>
      <c r="Q451">
        <v>0</v>
      </c>
      <c r="R451">
        <v>10</v>
      </c>
      <c r="S451">
        <v>96.089100000000002</v>
      </c>
      <c r="T451">
        <v>21.9588</v>
      </c>
    </row>
    <row r="452" spans="1:20" x14ac:dyDescent="0.3">
      <c r="A452" t="s">
        <v>793</v>
      </c>
      <c r="C452" t="s">
        <v>794</v>
      </c>
      <c r="D452" t="s">
        <v>53</v>
      </c>
      <c r="E452" t="s">
        <v>32</v>
      </c>
      <c r="F452" t="s">
        <v>25</v>
      </c>
      <c r="G452" t="s">
        <v>100</v>
      </c>
      <c r="H452">
        <v>74.709999999999994</v>
      </c>
      <c r="I452">
        <v>8</v>
      </c>
      <c r="J452">
        <v>29.884</v>
      </c>
      <c r="K452">
        <v>597.67999999999995</v>
      </c>
      <c r="L452" s="1">
        <v>43810</v>
      </c>
      <c r="M452" s="2">
        <v>0.79652777777777772</v>
      </c>
      <c r="N452" t="s">
        <v>33</v>
      </c>
      <c r="O452">
        <v>448.26</v>
      </c>
      <c r="P452">
        <v>4.7619047620000003</v>
      </c>
      <c r="Q452">
        <v>149.41999999999999</v>
      </c>
      <c r="R452">
        <v>8.0399999999999991</v>
      </c>
      <c r="S452">
        <v>96.089100000000002</v>
      </c>
      <c r="T452">
        <v>21.9588</v>
      </c>
    </row>
    <row r="453" spans="1:20" x14ac:dyDescent="0.3">
      <c r="A453" t="s">
        <v>795</v>
      </c>
      <c r="C453" t="s">
        <v>469</v>
      </c>
      <c r="D453" t="s">
        <v>53</v>
      </c>
      <c r="E453" t="s">
        <v>32</v>
      </c>
      <c r="F453" t="s">
        <v>36</v>
      </c>
      <c r="G453" t="s">
        <v>100</v>
      </c>
      <c r="H453">
        <v>22.01</v>
      </c>
      <c r="I453">
        <v>8</v>
      </c>
      <c r="J453">
        <v>8.8040000000000003</v>
      </c>
      <c r="K453">
        <v>176.08</v>
      </c>
      <c r="L453" s="1">
        <v>43512</v>
      </c>
      <c r="M453" s="2">
        <v>0.78472222222222221</v>
      </c>
      <c r="N453" t="s">
        <v>33</v>
      </c>
      <c r="O453">
        <v>132.06</v>
      </c>
      <c r="P453">
        <v>4.7619047620000003</v>
      </c>
      <c r="Q453">
        <v>44.02</v>
      </c>
      <c r="R453">
        <v>9.1199999999999992</v>
      </c>
      <c r="S453">
        <v>96.089100000000002</v>
      </c>
      <c r="T453">
        <v>21.9588</v>
      </c>
    </row>
    <row r="454" spans="1:20" x14ac:dyDescent="0.3">
      <c r="A454" t="s">
        <v>796</v>
      </c>
      <c r="C454" t="s">
        <v>797</v>
      </c>
      <c r="D454" t="s">
        <v>23</v>
      </c>
      <c r="E454" t="s">
        <v>32</v>
      </c>
      <c r="F454" t="s">
        <v>25</v>
      </c>
      <c r="G454" t="s">
        <v>100</v>
      </c>
      <c r="H454">
        <v>63.61</v>
      </c>
      <c r="I454">
        <v>5</v>
      </c>
      <c r="J454">
        <v>15.9025</v>
      </c>
      <c r="K454">
        <v>318.05</v>
      </c>
      <c r="L454" s="1">
        <v>43508</v>
      </c>
      <c r="M454" s="2">
        <v>0.52986111111111112</v>
      </c>
      <c r="N454" t="s">
        <v>27</v>
      </c>
      <c r="O454">
        <v>318.05</v>
      </c>
      <c r="P454">
        <v>4.7619047620000003</v>
      </c>
      <c r="Q454">
        <v>0</v>
      </c>
      <c r="R454">
        <v>4.8</v>
      </c>
      <c r="S454">
        <v>96.173500000000004</v>
      </c>
      <c r="T454">
        <v>16.840900000000001</v>
      </c>
    </row>
    <row r="455" spans="1:20" x14ac:dyDescent="0.3">
      <c r="A455" t="s">
        <v>798</v>
      </c>
      <c r="C455" t="s">
        <v>799</v>
      </c>
      <c r="D455" t="s">
        <v>23</v>
      </c>
      <c r="E455" t="s">
        <v>32</v>
      </c>
      <c r="F455" t="s">
        <v>36</v>
      </c>
      <c r="G455" t="s">
        <v>100</v>
      </c>
      <c r="H455">
        <v>25</v>
      </c>
      <c r="I455">
        <v>1</v>
      </c>
      <c r="J455">
        <v>1.25</v>
      </c>
      <c r="K455">
        <v>25</v>
      </c>
      <c r="L455" s="1">
        <v>43475</v>
      </c>
      <c r="M455" s="2">
        <v>0.63124999999999998</v>
      </c>
      <c r="N455" t="s">
        <v>27</v>
      </c>
      <c r="O455">
        <v>25</v>
      </c>
      <c r="P455">
        <v>4.7619047620000003</v>
      </c>
      <c r="Q455">
        <v>0</v>
      </c>
      <c r="R455">
        <v>5.5</v>
      </c>
      <c r="S455">
        <v>96.173500000000004</v>
      </c>
      <c r="T455">
        <v>16.840900000000001</v>
      </c>
    </row>
    <row r="456" spans="1:20" x14ac:dyDescent="0.3">
      <c r="A456" t="s">
        <v>800</v>
      </c>
      <c r="C456" t="s">
        <v>801</v>
      </c>
      <c r="D456" t="s">
        <v>23</v>
      </c>
      <c r="E456" t="s">
        <v>24</v>
      </c>
      <c r="F456" t="s">
        <v>36</v>
      </c>
      <c r="G456" t="s">
        <v>100</v>
      </c>
      <c r="H456">
        <v>20.77</v>
      </c>
      <c r="I456">
        <v>6</v>
      </c>
      <c r="J456">
        <v>6.2309999999999999</v>
      </c>
      <c r="K456">
        <v>124.62</v>
      </c>
      <c r="L456" s="1">
        <v>43766</v>
      </c>
      <c r="M456" s="2">
        <v>0.57430555555555551</v>
      </c>
      <c r="N456" t="s">
        <v>33</v>
      </c>
      <c r="O456">
        <v>83.08</v>
      </c>
      <c r="P456">
        <v>4.7619047620000003</v>
      </c>
      <c r="Q456">
        <v>41.54</v>
      </c>
      <c r="R456">
        <v>4.7</v>
      </c>
      <c r="S456">
        <v>96.173500000000004</v>
      </c>
      <c r="T456">
        <v>16.840900000000001</v>
      </c>
    </row>
    <row r="457" spans="1:20" x14ac:dyDescent="0.3">
      <c r="A457" t="s">
        <v>802</v>
      </c>
      <c r="C457" t="s">
        <v>803</v>
      </c>
      <c r="D457" t="s">
        <v>53</v>
      </c>
      <c r="E457" t="s">
        <v>24</v>
      </c>
      <c r="F457" t="s">
        <v>25</v>
      </c>
      <c r="G457" t="s">
        <v>100</v>
      </c>
      <c r="H457">
        <v>29.56</v>
      </c>
      <c r="I457">
        <v>10</v>
      </c>
      <c r="J457">
        <v>14.78</v>
      </c>
      <c r="K457">
        <v>295.60000000000002</v>
      </c>
      <c r="L457" s="1">
        <v>43821</v>
      </c>
      <c r="M457" s="2">
        <v>0.70763888888888893</v>
      </c>
      <c r="N457" t="s">
        <v>33</v>
      </c>
      <c r="O457">
        <v>147.80000000000001</v>
      </c>
      <c r="P457">
        <v>4.7619047620000003</v>
      </c>
      <c r="Q457">
        <v>147.80000000000001</v>
      </c>
      <c r="R457">
        <v>8.2799999999999994</v>
      </c>
      <c r="S457">
        <v>96.089100000000002</v>
      </c>
      <c r="T457">
        <v>21.9588</v>
      </c>
    </row>
    <row r="458" spans="1:20" x14ac:dyDescent="0.3">
      <c r="A458" t="s">
        <v>804</v>
      </c>
      <c r="C458" t="s">
        <v>805</v>
      </c>
      <c r="D458" t="s">
        <v>53</v>
      </c>
      <c r="E458" t="s">
        <v>24</v>
      </c>
      <c r="F458" t="s">
        <v>25</v>
      </c>
      <c r="G458" t="s">
        <v>100</v>
      </c>
      <c r="H458">
        <v>77.400000000000006</v>
      </c>
      <c r="I458">
        <v>18</v>
      </c>
      <c r="J458">
        <v>69.66</v>
      </c>
      <c r="K458">
        <v>1393.2</v>
      </c>
      <c r="L458" s="1">
        <v>43732</v>
      </c>
      <c r="M458" s="2">
        <v>0.59375</v>
      </c>
      <c r="N458" t="s">
        <v>37</v>
      </c>
      <c r="O458">
        <v>696.6</v>
      </c>
      <c r="P458">
        <v>4.7619047620000003</v>
      </c>
      <c r="Q458">
        <v>696.6</v>
      </c>
      <c r="R458">
        <v>5.4</v>
      </c>
      <c r="S458">
        <v>96.089100000000002</v>
      </c>
      <c r="T458">
        <v>21.9588</v>
      </c>
    </row>
    <row r="459" spans="1:20" x14ac:dyDescent="0.3">
      <c r="A459" t="s">
        <v>806</v>
      </c>
      <c r="C459" t="s">
        <v>227</v>
      </c>
      <c r="D459" t="s">
        <v>53</v>
      </c>
      <c r="E459" t="s">
        <v>32</v>
      </c>
      <c r="F459" t="s">
        <v>36</v>
      </c>
      <c r="G459" t="s">
        <v>100</v>
      </c>
      <c r="H459">
        <v>79.39</v>
      </c>
      <c r="I459">
        <v>14</v>
      </c>
      <c r="J459">
        <v>55.573</v>
      </c>
      <c r="K459">
        <v>1111.46</v>
      </c>
      <c r="L459" s="1">
        <v>43554</v>
      </c>
      <c r="M459" s="2">
        <v>0.85</v>
      </c>
      <c r="N459" t="s">
        <v>33</v>
      </c>
      <c r="O459">
        <v>793.9</v>
      </c>
      <c r="P459">
        <v>4.7619047620000003</v>
      </c>
      <c r="Q459">
        <v>317.56</v>
      </c>
      <c r="R459">
        <v>7.44</v>
      </c>
      <c r="S459">
        <v>96.089100000000002</v>
      </c>
      <c r="T459">
        <v>21.9588</v>
      </c>
    </row>
    <row r="460" spans="1:20" x14ac:dyDescent="0.3">
      <c r="A460" t="s">
        <v>807</v>
      </c>
      <c r="C460" t="s">
        <v>808</v>
      </c>
      <c r="D460" t="s">
        <v>31</v>
      </c>
      <c r="E460" t="s">
        <v>24</v>
      </c>
      <c r="F460" t="s">
        <v>25</v>
      </c>
      <c r="G460" t="s">
        <v>100</v>
      </c>
      <c r="H460">
        <v>46.57</v>
      </c>
      <c r="I460">
        <v>17</v>
      </c>
      <c r="J460">
        <v>39.584499999999998</v>
      </c>
      <c r="K460">
        <v>791.69</v>
      </c>
      <c r="L460" s="1">
        <v>43567</v>
      </c>
      <c r="M460" s="2">
        <v>0.58194444444444449</v>
      </c>
      <c r="N460" t="s">
        <v>33</v>
      </c>
      <c r="O460">
        <v>465.7</v>
      </c>
      <c r="P460">
        <v>4.7619047620000003</v>
      </c>
      <c r="Q460">
        <v>325.99</v>
      </c>
      <c r="R460">
        <v>7.98</v>
      </c>
      <c r="S460">
        <v>96.078500000000005</v>
      </c>
      <c r="T460">
        <v>19.763300000000001</v>
      </c>
    </row>
    <row r="461" spans="1:20" x14ac:dyDescent="0.3">
      <c r="A461" t="s">
        <v>809</v>
      </c>
      <c r="C461" t="s">
        <v>810</v>
      </c>
      <c r="D461" t="s">
        <v>31</v>
      </c>
      <c r="E461" t="s">
        <v>32</v>
      </c>
      <c r="F461" t="s">
        <v>36</v>
      </c>
      <c r="G461" t="s">
        <v>100</v>
      </c>
      <c r="H461">
        <v>35.89</v>
      </c>
      <c r="I461">
        <v>1</v>
      </c>
      <c r="J461">
        <v>1.7945</v>
      </c>
      <c r="K461">
        <v>35.89</v>
      </c>
      <c r="L461" s="1">
        <v>43467</v>
      </c>
      <c r="M461" s="2">
        <v>0.70277777777777772</v>
      </c>
      <c r="N461" t="s">
        <v>37</v>
      </c>
      <c r="O461">
        <v>35.89</v>
      </c>
      <c r="P461">
        <v>4.7619047620000003</v>
      </c>
      <c r="Q461">
        <v>0</v>
      </c>
      <c r="R461">
        <v>8.2949999999999999</v>
      </c>
      <c r="S461">
        <v>96.078500000000005</v>
      </c>
      <c r="T461">
        <v>19.763300000000001</v>
      </c>
    </row>
    <row r="462" spans="1:20" x14ac:dyDescent="0.3">
      <c r="A462" t="s">
        <v>811</v>
      </c>
      <c r="C462" t="s">
        <v>639</v>
      </c>
      <c r="D462" t="s">
        <v>31</v>
      </c>
      <c r="E462" t="s">
        <v>32</v>
      </c>
      <c r="F462" t="s">
        <v>36</v>
      </c>
      <c r="G462" t="s">
        <v>100</v>
      </c>
      <c r="H462">
        <v>40.520000000000003</v>
      </c>
      <c r="I462">
        <v>6</v>
      </c>
      <c r="J462">
        <v>12.156000000000001</v>
      </c>
      <c r="K462">
        <v>243.12</v>
      </c>
      <c r="L462" s="1">
        <v>43795</v>
      </c>
      <c r="M462" s="2">
        <v>0.6381944444444444</v>
      </c>
      <c r="N462" t="s">
        <v>33</v>
      </c>
      <c r="O462">
        <v>202.6</v>
      </c>
      <c r="P462">
        <v>4.7619047620000003</v>
      </c>
      <c r="Q462">
        <v>40.520000000000003</v>
      </c>
      <c r="R462">
        <v>4.7249999999999996</v>
      </c>
      <c r="S462">
        <v>96.078500000000005</v>
      </c>
      <c r="T462">
        <v>19.763300000000001</v>
      </c>
    </row>
    <row r="463" spans="1:20" x14ac:dyDescent="0.3">
      <c r="A463" t="s">
        <v>812</v>
      </c>
      <c r="C463" t="s">
        <v>629</v>
      </c>
      <c r="D463" t="s">
        <v>53</v>
      </c>
      <c r="E463" t="s">
        <v>24</v>
      </c>
      <c r="F463" t="s">
        <v>25</v>
      </c>
      <c r="G463" t="s">
        <v>100</v>
      </c>
      <c r="H463">
        <v>73.05</v>
      </c>
      <c r="I463">
        <v>20</v>
      </c>
      <c r="J463">
        <v>73.05</v>
      </c>
      <c r="K463">
        <v>1461</v>
      </c>
      <c r="L463" s="1">
        <v>43736</v>
      </c>
      <c r="M463" s="2">
        <v>0.51736111111111116</v>
      </c>
      <c r="N463" t="s">
        <v>37</v>
      </c>
      <c r="O463">
        <v>730.5</v>
      </c>
      <c r="P463">
        <v>4.7619047620000003</v>
      </c>
      <c r="Q463">
        <v>730.5</v>
      </c>
      <c r="R463">
        <v>10</v>
      </c>
      <c r="S463">
        <v>96.089100000000002</v>
      </c>
      <c r="T463">
        <v>21.9588</v>
      </c>
    </row>
    <row r="464" spans="1:20" x14ac:dyDescent="0.3">
      <c r="A464" t="s">
        <v>813</v>
      </c>
      <c r="C464" t="s">
        <v>136</v>
      </c>
      <c r="D464" t="s">
        <v>31</v>
      </c>
      <c r="E464" t="s">
        <v>32</v>
      </c>
      <c r="F464" t="s">
        <v>25</v>
      </c>
      <c r="G464" t="s">
        <v>68</v>
      </c>
      <c r="H464">
        <v>73.95</v>
      </c>
      <c r="I464">
        <v>5</v>
      </c>
      <c r="J464">
        <v>18.487500000000001</v>
      </c>
      <c r="K464">
        <v>369.75</v>
      </c>
      <c r="L464" s="1">
        <v>43764</v>
      </c>
      <c r="M464" s="2">
        <v>0.41805555555555557</v>
      </c>
      <c r="N464" t="s">
        <v>33</v>
      </c>
      <c r="O464">
        <v>295.8</v>
      </c>
      <c r="P464">
        <v>4.7619047620000003</v>
      </c>
      <c r="Q464">
        <v>73.95</v>
      </c>
      <c r="R464">
        <v>6.4050000000000002</v>
      </c>
      <c r="S464">
        <v>96.078500000000005</v>
      </c>
      <c r="T464">
        <v>19.763300000000001</v>
      </c>
    </row>
    <row r="465" spans="1:20" x14ac:dyDescent="0.3">
      <c r="A465" t="s">
        <v>814</v>
      </c>
      <c r="C465" t="s">
        <v>815</v>
      </c>
      <c r="D465" t="s">
        <v>31</v>
      </c>
      <c r="E465" t="s">
        <v>24</v>
      </c>
      <c r="F465" t="s">
        <v>25</v>
      </c>
      <c r="G465" t="s">
        <v>63</v>
      </c>
      <c r="H465">
        <v>22.62</v>
      </c>
      <c r="I465">
        <v>1</v>
      </c>
      <c r="J465">
        <v>1.131</v>
      </c>
      <c r="K465">
        <v>22.62</v>
      </c>
      <c r="L465" s="1">
        <v>43628</v>
      </c>
      <c r="M465" s="2">
        <v>0.79027777777777775</v>
      </c>
      <c r="N465" t="s">
        <v>33</v>
      </c>
      <c r="O465">
        <v>22.62</v>
      </c>
      <c r="P465">
        <v>4.7619047620000003</v>
      </c>
      <c r="Q465">
        <v>0</v>
      </c>
      <c r="R465">
        <v>6.72</v>
      </c>
      <c r="S465">
        <v>96.078500000000005</v>
      </c>
      <c r="T465">
        <v>19.763300000000001</v>
      </c>
    </row>
    <row r="466" spans="1:20" x14ac:dyDescent="0.3">
      <c r="A466" t="s">
        <v>816</v>
      </c>
      <c r="C466" t="s">
        <v>397</v>
      </c>
      <c r="D466" t="s">
        <v>23</v>
      </c>
      <c r="E466" t="s">
        <v>24</v>
      </c>
      <c r="F466" t="s">
        <v>36</v>
      </c>
      <c r="G466" t="s">
        <v>63</v>
      </c>
      <c r="H466">
        <v>51.34</v>
      </c>
      <c r="I466">
        <v>7</v>
      </c>
      <c r="J466">
        <v>17.969000000000001</v>
      </c>
      <c r="K466">
        <v>359.38</v>
      </c>
      <c r="L466" s="1">
        <v>43677</v>
      </c>
      <c r="M466" s="2">
        <v>0.64652777777777781</v>
      </c>
      <c r="N466" t="s">
        <v>37</v>
      </c>
      <c r="O466">
        <v>256.7</v>
      </c>
      <c r="P466">
        <v>4.7619047620000003</v>
      </c>
      <c r="Q466">
        <v>102.68</v>
      </c>
      <c r="R466">
        <v>9.1</v>
      </c>
      <c r="S466">
        <v>96.173500000000004</v>
      </c>
      <c r="T466">
        <v>16.840900000000001</v>
      </c>
    </row>
    <row r="467" spans="1:20" x14ac:dyDescent="0.3">
      <c r="A467" t="s">
        <v>817</v>
      </c>
      <c r="C467" t="s">
        <v>143</v>
      </c>
      <c r="D467" t="s">
        <v>31</v>
      </c>
      <c r="E467" t="s">
        <v>24</v>
      </c>
      <c r="F467" t="s">
        <v>25</v>
      </c>
      <c r="G467" t="s">
        <v>68</v>
      </c>
      <c r="H467">
        <v>54.55</v>
      </c>
      <c r="I467">
        <v>17</v>
      </c>
      <c r="J467">
        <v>46.3675</v>
      </c>
      <c r="K467">
        <v>927.35</v>
      </c>
      <c r="L467" s="1">
        <v>43604</v>
      </c>
      <c r="M467" s="2">
        <v>0.47361111111111109</v>
      </c>
      <c r="N467" t="s">
        <v>37</v>
      </c>
      <c r="O467">
        <v>545.5</v>
      </c>
      <c r="P467">
        <v>4.7619047620000003</v>
      </c>
      <c r="Q467">
        <v>381.85</v>
      </c>
      <c r="R467">
        <v>7.4550000000000001</v>
      </c>
      <c r="S467">
        <v>96.078500000000005</v>
      </c>
      <c r="T467">
        <v>19.763300000000001</v>
      </c>
    </row>
    <row r="468" spans="1:20" x14ac:dyDescent="0.3">
      <c r="A468" t="s">
        <v>818</v>
      </c>
      <c r="C468" t="s">
        <v>819</v>
      </c>
      <c r="D468" t="s">
        <v>31</v>
      </c>
      <c r="E468" t="s">
        <v>24</v>
      </c>
      <c r="F468" t="s">
        <v>25</v>
      </c>
      <c r="G468" t="s">
        <v>26</v>
      </c>
      <c r="H468">
        <v>37.15</v>
      </c>
      <c r="I468">
        <v>11</v>
      </c>
      <c r="J468">
        <v>20.432500000000001</v>
      </c>
      <c r="K468">
        <v>408.65</v>
      </c>
      <c r="L468" s="1">
        <v>43627</v>
      </c>
      <c r="M468" s="2">
        <v>0.55000000000000004</v>
      </c>
      <c r="N468" t="s">
        <v>37</v>
      </c>
      <c r="O468">
        <v>260.05</v>
      </c>
      <c r="P468">
        <v>4.7619047620000003</v>
      </c>
      <c r="Q468">
        <v>148.6</v>
      </c>
      <c r="R468">
        <v>8.0850000000000009</v>
      </c>
      <c r="S468">
        <v>96.078500000000005</v>
      </c>
      <c r="T468">
        <v>19.763300000000001</v>
      </c>
    </row>
    <row r="469" spans="1:20" x14ac:dyDescent="0.3">
      <c r="A469" t="s">
        <v>820</v>
      </c>
      <c r="C469" t="s">
        <v>821</v>
      </c>
      <c r="D469" t="s">
        <v>53</v>
      </c>
      <c r="E469" t="s">
        <v>32</v>
      </c>
      <c r="F469" t="s">
        <v>36</v>
      </c>
      <c r="G469" t="s">
        <v>68</v>
      </c>
      <c r="H469">
        <v>37.020000000000003</v>
      </c>
      <c r="I469">
        <v>8</v>
      </c>
      <c r="J469">
        <v>14.808</v>
      </c>
      <c r="K469">
        <v>296.16000000000003</v>
      </c>
      <c r="L469" s="1">
        <v>43694</v>
      </c>
      <c r="M469" s="2">
        <v>0.7729166666666667</v>
      </c>
      <c r="N469" t="s">
        <v>33</v>
      </c>
      <c r="O469">
        <v>222.12</v>
      </c>
      <c r="P469">
        <v>4.7619047620000003</v>
      </c>
      <c r="Q469">
        <v>74.040000000000006</v>
      </c>
      <c r="R469">
        <v>5.4</v>
      </c>
      <c r="S469">
        <v>96.089100000000002</v>
      </c>
      <c r="T469">
        <v>21.9588</v>
      </c>
    </row>
    <row r="470" spans="1:20" x14ac:dyDescent="0.3">
      <c r="A470" t="s">
        <v>822</v>
      </c>
      <c r="C470" t="s">
        <v>631</v>
      </c>
      <c r="D470" t="s">
        <v>31</v>
      </c>
      <c r="E470" t="s">
        <v>32</v>
      </c>
      <c r="F470" t="s">
        <v>36</v>
      </c>
      <c r="G470" t="s">
        <v>63</v>
      </c>
      <c r="H470">
        <v>21.58</v>
      </c>
      <c r="I470">
        <v>1</v>
      </c>
      <c r="J470">
        <v>1.079</v>
      </c>
      <c r="K470">
        <v>21.58</v>
      </c>
      <c r="L470" s="1">
        <v>43779</v>
      </c>
      <c r="M470" s="2">
        <v>0.41805555555555557</v>
      </c>
      <c r="N470" t="s">
        <v>27</v>
      </c>
      <c r="O470">
        <v>21.58</v>
      </c>
      <c r="P470">
        <v>4.7619047620000003</v>
      </c>
      <c r="Q470">
        <v>0</v>
      </c>
      <c r="R470">
        <v>7.56</v>
      </c>
      <c r="S470">
        <v>96.078500000000005</v>
      </c>
      <c r="T470">
        <v>19.763300000000001</v>
      </c>
    </row>
    <row r="471" spans="1:20" x14ac:dyDescent="0.3">
      <c r="A471" t="s">
        <v>823</v>
      </c>
      <c r="C471" t="s">
        <v>229</v>
      </c>
      <c r="D471" t="s">
        <v>31</v>
      </c>
      <c r="E471" t="s">
        <v>24</v>
      </c>
      <c r="F471" t="s">
        <v>25</v>
      </c>
      <c r="G471" t="s">
        <v>60</v>
      </c>
      <c r="H471">
        <v>98.84</v>
      </c>
      <c r="I471">
        <v>1</v>
      </c>
      <c r="J471">
        <v>4.9420000000000002</v>
      </c>
      <c r="K471">
        <v>98.84</v>
      </c>
      <c r="L471" s="1">
        <v>43614</v>
      </c>
      <c r="M471" s="2">
        <v>0.47291666666666665</v>
      </c>
      <c r="N471" t="s">
        <v>33</v>
      </c>
      <c r="O471">
        <v>98.84</v>
      </c>
      <c r="P471">
        <v>4.7619047620000003</v>
      </c>
      <c r="Q471">
        <v>0</v>
      </c>
      <c r="R471">
        <v>8.82</v>
      </c>
      <c r="S471">
        <v>96.078500000000005</v>
      </c>
      <c r="T471">
        <v>19.763300000000001</v>
      </c>
    </row>
    <row r="472" spans="1:20" x14ac:dyDescent="0.3">
      <c r="A472" t="s">
        <v>824</v>
      </c>
      <c r="C472" t="s">
        <v>825</v>
      </c>
      <c r="D472" t="s">
        <v>31</v>
      </c>
      <c r="E472" t="s">
        <v>24</v>
      </c>
      <c r="F472" t="s">
        <v>25</v>
      </c>
      <c r="G472" t="s">
        <v>77</v>
      </c>
      <c r="H472">
        <v>83.77</v>
      </c>
      <c r="I472">
        <v>10</v>
      </c>
      <c r="J472">
        <v>41.884999999999998</v>
      </c>
      <c r="K472">
        <v>837.7</v>
      </c>
      <c r="L472" s="1">
        <v>43703</v>
      </c>
      <c r="M472" s="2">
        <v>0.50694444444444442</v>
      </c>
      <c r="N472" t="s">
        <v>27</v>
      </c>
      <c r="O472">
        <v>502.62</v>
      </c>
      <c r="P472">
        <v>4.7619047620000003</v>
      </c>
      <c r="Q472">
        <v>335.08</v>
      </c>
      <c r="R472">
        <v>5.67</v>
      </c>
      <c r="S472">
        <v>96.078500000000005</v>
      </c>
      <c r="T472">
        <v>19.763300000000001</v>
      </c>
    </row>
    <row r="473" spans="1:20" x14ac:dyDescent="0.3">
      <c r="A473" t="s">
        <v>826</v>
      </c>
      <c r="C473" t="s">
        <v>827</v>
      </c>
      <c r="D473" t="s">
        <v>23</v>
      </c>
      <c r="E473" t="s">
        <v>24</v>
      </c>
      <c r="F473" t="s">
        <v>25</v>
      </c>
      <c r="G473" t="s">
        <v>68</v>
      </c>
      <c r="H473">
        <v>40.049999999999997</v>
      </c>
      <c r="I473">
        <v>6</v>
      </c>
      <c r="J473">
        <v>12.015000000000001</v>
      </c>
      <c r="K473">
        <v>240.3</v>
      </c>
      <c r="L473" s="1">
        <v>43659</v>
      </c>
      <c r="M473" s="2">
        <v>0.4861111111111111</v>
      </c>
      <c r="N473" t="s">
        <v>33</v>
      </c>
      <c r="O473">
        <v>160.19999999999999</v>
      </c>
      <c r="P473">
        <v>4.7619047620000003</v>
      </c>
      <c r="Q473">
        <v>80.099999999999994</v>
      </c>
      <c r="R473">
        <v>9.6999999999999993</v>
      </c>
      <c r="S473">
        <v>96.173500000000004</v>
      </c>
      <c r="T473">
        <v>16.840900000000001</v>
      </c>
    </row>
    <row r="474" spans="1:20" x14ac:dyDescent="0.3">
      <c r="A474" t="s">
        <v>828</v>
      </c>
      <c r="C474" t="s">
        <v>577</v>
      </c>
      <c r="D474" t="s">
        <v>23</v>
      </c>
      <c r="E474" t="s">
        <v>24</v>
      </c>
      <c r="F474" t="s">
        <v>36</v>
      </c>
      <c r="G474" t="s">
        <v>100</v>
      </c>
      <c r="H474">
        <v>43.13</v>
      </c>
      <c r="I474">
        <v>14</v>
      </c>
      <c r="J474">
        <v>30.190999999999999</v>
      </c>
      <c r="K474">
        <v>603.82000000000005</v>
      </c>
      <c r="L474" s="1">
        <v>43763</v>
      </c>
      <c r="M474" s="2">
        <v>0.77152777777777781</v>
      </c>
      <c r="N474" t="s">
        <v>37</v>
      </c>
      <c r="O474">
        <v>431.3</v>
      </c>
      <c r="P474">
        <v>4.7619047620000003</v>
      </c>
      <c r="Q474">
        <v>172.52</v>
      </c>
      <c r="R474">
        <v>5.5</v>
      </c>
      <c r="S474">
        <v>96.173500000000004</v>
      </c>
      <c r="T474">
        <v>16.840900000000001</v>
      </c>
    </row>
    <row r="475" spans="1:20" x14ac:dyDescent="0.3">
      <c r="A475" t="s">
        <v>829</v>
      </c>
      <c r="C475" t="s">
        <v>830</v>
      </c>
      <c r="D475" t="s">
        <v>53</v>
      </c>
      <c r="E475" t="s">
        <v>24</v>
      </c>
      <c r="F475" t="s">
        <v>36</v>
      </c>
      <c r="G475" t="s">
        <v>26</v>
      </c>
      <c r="H475">
        <v>72.569999999999993</v>
      </c>
      <c r="I475">
        <v>15</v>
      </c>
      <c r="J475">
        <v>54.427500000000002</v>
      </c>
      <c r="K475">
        <v>1088.55</v>
      </c>
      <c r="L475" s="1">
        <v>43608</v>
      </c>
      <c r="M475" s="2">
        <v>0.74861111111111112</v>
      </c>
      <c r="N475" t="s">
        <v>33</v>
      </c>
      <c r="O475">
        <v>580.55999999999995</v>
      </c>
      <c r="P475">
        <v>4.7619047620000003</v>
      </c>
      <c r="Q475">
        <v>507.99</v>
      </c>
      <c r="R475">
        <v>5.52</v>
      </c>
      <c r="S475">
        <v>96.089100000000002</v>
      </c>
      <c r="T475">
        <v>21.9588</v>
      </c>
    </row>
    <row r="476" spans="1:20" x14ac:dyDescent="0.3">
      <c r="A476" t="s">
        <v>831</v>
      </c>
      <c r="C476" t="s">
        <v>832</v>
      </c>
      <c r="D476" t="s">
        <v>23</v>
      </c>
      <c r="E476" t="s">
        <v>24</v>
      </c>
      <c r="F476" t="s">
        <v>25</v>
      </c>
      <c r="G476" t="s">
        <v>60</v>
      </c>
      <c r="H476">
        <v>64.44</v>
      </c>
      <c r="I476">
        <v>7</v>
      </c>
      <c r="J476">
        <v>22.553999999999998</v>
      </c>
      <c r="K476">
        <v>451.08</v>
      </c>
      <c r="L476" s="1">
        <v>43630</v>
      </c>
      <c r="M476" s="2">
        <v>0.71111111111111114</v>
      </c>
      <c r="N476" t="s">
        <v>33</v>
      </c>
      <c r="O476">
        <v>322.2</v>
      </c>
      <c r="P476">
        <v>4.7619047620000003</v>
      </c>
      <c r="Q476">
        <v>128.88</v>
      </c>
      <c r="R476">
        <v>6.6</v>
      </c>
      <c r="S476">
        <v>96.173500000000004</v>
      </c>
      <c r="T476">
        <v>16.840900000000001</v>
      </c>
    </row>
    <row r="477" spans="1:20" x14ac:dyDescent="0.3">
      <c r="A477" t="s">
        <v>833</v>
      </c>
      <c r="C477" t="s">
        <v>152</v>
      </c>
      <c r="D477" t="s">
        <v>23</v>
      </c>
      <c r="E477" t="s">
        <v>32</v>
      </c>
      <c r="F477" t="s">
        <v>36</v>
      </c>
      <c r="G477" t="s">
        <v>26</v>
      </c>
      <c r="H477">
        <v>65.180000000000007</v>
      </c>
      <c r="I477">
        <v>3</v>
      </c>
      <c r="J477">
        <v>9.7769999999999992</v>
      </c>
      <c r="K477">
        <v>195.54</v>
      </c>
      <c r="L477" s="1">
        <v>43711</v>
      </c>
      <c r="M477" s="2">
        <v>0.85763888888888884</v>
      </c>
      <c r="N477" t="s">
        <v>37</v>
      </c>
      <c r="O477">
        <v>195.54</v>
      </c>
      <c r="P477">
        <v>4.7619047620000003</v>
      </c>
      <c r="Q477">
        <v>0</v>
      </c>
      <c r="R477">
        <v>6.3</v>
      </c>
      <c r="S477">
        <v>96.173500000000004</v>
      </c>
      <c r="T477">
        <v>16.840900000000001</v>
      </c>
    </row>
    <row r="478" spans="1:20" x14ac:dyDescent="0.3">
      <c r="A478" t="s">
        <v>834</v>
      </c>
      <c r="C478" t="s">
        <v>835</v>
      </c>
      <c r="D478" t="s">
        <v>23</v>
      </c>
      <c r="E478" t="s">
        <v>32</v>
      </c>
      <c r="F478" t="s">
        <v>25</v>
      </c>
      <c r="G478" t="s">
        <v>26</v>
      </c>
      <c r="H478">
        <v>33.26</v>
      </c>
      <c r="I478">
        <v>5</v>
      </c>
      <c r="J478">
        <v>8.3149999999999995</v>
      </c>
      <c r="K478">
        <v>166.3</v>
      </c>
      <c r="L478" s="1">
        <v>43805</v>
      </c>
      <c r="M478" s="2">
        <v>0.67361111111111116</v>
      </c>
      <c r="N478" t="s">
        <v>37</v>
      </c>
      <c r="O478">
        <v>166.3</v>
      </c>
      <c r="P478">
        <v>4.7619047620000003</v>
      </c>
      <c r="Q478">
        <v>0</v>
      </c>
      <c r="R478">
        <v>4.2</v>
      </c>
      <c r="S478">
        <v>96.173500000000004</v>
      </c>
      <c r="T478">
        <v>16.840900000000001</v>
      </c>
    </row>
    <row r="479" spans="1:20" x14ac:dyDescent="0.3">
      <c r="A479" t="s">
        <v>836</v>
      </c>
      <c r="C479" t="s">
        <v>475</v>
      </c>
      <c r="D479" t="s">
        <v>31</v>
      </c>
      <c r="E479" t="s">
        <v>32</v>
      </c>
      <c r="F479" t="s">
        <v>36</v>
      </c>
      <c r="G479" t="s">
        <v>26</v>
      </c>
      <c r="H479">
        <v>84.07</v>
      </c>
      <c r="I479">
        <v>5</v>
      </c>
      <c r="J479">
        <v>21.017499999999998</v>
      </c>
      <c r="K479">
        <v>420.35</v>
      </c>
      <c r="L479" s="1">
        <v>43580</v>
      </c>
      <c r="M479" s="2">
        <v>0.70416666666666672</v>
      </c>
      <c r="N479" t="s">
        <v>27</v>
      </c>
      <c r="O479">
        <v>336.28</v>
      </c>
      <c r="P479">
        <v>4.7619047620000003</v>
      </c>
      <c r="Q479">
        <v>84.07</v>
      </c>
      <c r="R479">
        <v>4.62</v>
      </c>
      <c r="S479">
        <v>96.078500000000005</v>
      </c>
      <c r="T479">
        <v>19.763300000000001</v>
      </c>
    </row>
    <row r="480" spans="1:20" x14ac:dyDescent="0.3">
      <c r="A480" t="s">
        <v>837</v>
      </c>
      <c r="C480" t="s">
        <v>636</v>
      </c>
      <c r="D480" t="s">
        <v>53</v>
      </c>
      <c r="E480" t="s">
        <v>32</v>
      </c>
      <c r="F480" t="s">
        <v>36</v>
      </c>
      <c r="G480" t="s">
        <v>26</v>
      </c>
      <c r="H480">
        <v>34.369999999999997</v>
      </c>
      <c r="I480">
        <v>14</v>
      </c>
      <c r="J480">
        <v>24.059000000000001</v>
      </c>
      <c r="K480">
        <v>481.18</v>
      </c>
      <c r="L480" s="1">
        <v>43795</v>
      </c>
      <c r="M480" s="2">
        <v>0.42430555555555555</v>
      </c>
      <c r="N480" t="s">
        <v>27</v>
      </c>
      <c r="O480">
        <v>343.7</v>
      </c>
      <c r="P480">
        <v>4.7619047620000003</v>
      </c>
      <c r="Q480">
        <v>137.47999999999999</v>
      </c>
      <c r="R480">
        <v>8.0399999999999991</v>
      </c>
      <c r="S480">
        <v>96.089100000000002</v>
      </c>
      <c r="T480">
        <v>21.9588</v>
      </c>
    </row>
    <row r="481" spans="1:20" x14ac:dyDescent="0.3">
      <c r="A481" t="s">
        <v>838</v>
      </c>
      <c r="C481" t="s">
        <v>741</v>
      </c>
      <c r="D481" t="s">
        <v>23</v>
      </c>
      <c r="E481" t="s">
        <v>32</v>
      </c>
      <c r="F481" t="s">
        <v>36</v>
      </c>
      <c r="G481" t="s">
        <v>26</v>
      </c>
      <c r="H481">
        <v>38.6</v>
      </c>
      <c r="I481">
        <v>1</v>
      </c>
      <c r="J481">
        <v>1.93</v>
      </c>
      <c r="K481">
        <v>38.6</v>
      </c>
      <c r="L481" s="1">
        <v>43548</v>
      </c>
      <c r="M481" s="2">
        <v>0.47638888888888886</v>
      </c>
      <c r="N481" t="s">
        <v>27</v>
      </c>
      <c r="O481">
        <v>38.6</v>
      </c>
      <c r="P481">
        <v>4.7619047620000003</v>
      </c>
      <c r="Q481">
        <v>0</v>
      </c>
      <c r="R481">
        <v>6.7</v>
      </c>
      <c r="S481">
        <v>96.173500000000004</v>
      </c>
      <c r="T481">
        <v>16.840900000000001</v>
      </c>
    </row>
    <row r="482" spans="1:20" x14ac:dyDescent="0.3">
      <c r="A482" t="s">
        <v>839</v>
      </c>
      <c r="C482" t="s">
        <v>43</v>
      </c>
      <c r="D482" t="s">
        <v>31</v>
      </c>
      <c r="E482" t="s">
        <v>32</v>
      </c>
      <c r="F482" t="s">
        <v>36</v>
      </c>
      <c r="G482" t="s">
        <v>26</v>
      </c>
      <c r="H482">
        <v>65.97</v>
      </c>
      <c r="I482">
        <v>10</v>
      </c>
      <c r="J482">
        <v>32.984999999999999</v>
      </c>
      <c r="K482">
        <v>659.7</v>
      </c>
      <c r="L482" s="1">
        <v>43772</v>
      </c>
      <c r="M482" s="2">
        <v>0.85347222222222219</v>
      </c>
      <c r="N482" t="s">
        <v>33</v>
      </c>
      <c r="O482">
        <v>527.76</v>
      </c>
      <c r="P482">
        <v>4.7619047620000003</v>
      </c>
      <c r="Q482">
        <v>131.94</v>
      </c>
      <c r="R482">
        <v>8.82</v>
      </c>
      <c r="S482">
        <v>96.078500000000005</v>
      </c>
      <c r="T482">
        <v>19.763300000000001</v>
      </c>
    </row>
    <row r="483" spans="1:20" x14ac:dyDescent="0.3">
      <c r="A483" t="s">
        <v>840</v>
      </c>
      <c r="C483" t="s">
        <v>245</v>
      </c>
      <c r="D483" t="s">
        <v>31</v>
      </c>
      <c r="E483" t="s">
        <v>32</v>
      </c>
      <c r="F483" t="s">
        <v>25</v>
      </c>
      <c r="G483" t="s">
        <v>26</v>
      </c>
      <c r="H483">
        <v>32.799999999999997</v>
      </c>
      <c r="I483">
        <v>12</v>
      </c>
      <c r="J483">
        <v>19.68</v>
      </c>
      <c r="K483">
        <v>393.6</v>
      </c>
      <c r="L483" s="1">
        <v>43704</v>
      </c>
      <c r="M483" s="2">
        <v>0.5083333333333333</v>
      </c>
      <c r="N483" t="s">
        <v>33</v>
      </c>
      <c r="O483">
        <v>328</v>
      </c>
      <c r="P483">
        <v>4.7619047620000003</v>
      </c>
      <c r="Q483">
        <v>65.599999999999994</v>
      </c>
      <c r="R483">
        <v>6.51</v>
      </c>
      <c r="S483">
        <v>96.078500000000005</v>
      </c>
      <c r="T483">
        <v>19.763300000000001</v>
      </c>
    </row>
    <row r="484" spans="1:20" x14ac:dyDescent="0.3">
      <c r="A484" t="s">
        <v>841</v>
      </c>
      <c r="C484" t="s">
        <v>842</v>
      </c>
      <c r="D484" t="s">
        <v>23</v>
      </c>
      <c r="E484" t="s">
        <v>32</v>
      </c>
      <c r="F484" t="s">
        <v>36</v>
      </c>
      <c r="G484" t="s">
        <v>26</v>
      </c>
      <c r="H484">
        <v>37.14</v>
      </c>
      <c r="I484">
        <v>5</v>
      </c>
      <c r="J484">
        <v>9.2850000000000001</v>
      </c>
      <c r="K484">
        <v>185.7</v>
      </c>
      <c r="L484" s="1">
        <v>43527</v>
      </c>
      <c r="M484" s="2">
        <v>0.54513888888888884</v>
      </c>
      <c r="N484" t="s">
        <v>27</v>
      </c>
      <c r="O484">
        <v>185.7</v>
      </c>
      <c r="P484">
        <v>4.7619047620000003</v>
      </c>
      <c r="Q484">
        <v>0</v>
      </c>
      <c r="R484">
        <v>5</v>
      </c>
      <c r="S484">
        <v>96.173500000000004</v>
      </c>
      <c r="T484">
        <v>16.840900000000001</v>
      </c>
    </row>
    <row r="485" spans="1:20" x14ac:dyDescent="0.3">
      <c r="A485" t="s">
        <v>843</v>
      </c>
      <c r="C485" t="s">
        <v>844</v>
      </c>
      <c r="D485" t="s">
        <v>53</v>
      </c>
      <c r="E485" t="s">
        <v>24</v>
      </c>
      <c r="F485" t="s">
        <v>36</v>
      </c>
      <c r="G485" t="s">
        <v>26</v>
      </c>
      <c r="H485">
        <v>60.38</v>
      </c>
      <c r="I485">
        <v>20</v>
      </c>
      <c r="J485">
        <v>60.38</v>
      </c>
      <c r="K485">
        <v>1207.5999999999999</v>
      </c>
      <c r="L485" s="1">
        <v>43769</v>
      </c>
      <c r="M485" s="2">
        <v>0.67986111111111114</v>
      </c>
      <c r="N485" t="s">
        <v>33</v>
      </c>
      <c r="O485">
        <v>603.79999999999995</v>
      </c>
      <c r="P485">
        <v>4.7619047620000003</v>
      </c>
      <c r="Q485">
        <v>603.79999999999995</v>
      </c>
      <c r="R485">
        <v>7.2</v>
      </c>
      <c r="S485">
        <v>96.089100000000002</v>
      </c>
      <c r="T485">
        <v>21.9588</v>
      </c>
    </row>
    <row r="486" spans="1:20" x14ac:dyDescent="0.3">
      <c r="A486" t="s">
        <v>845</v>
      </c>
      <c r="C486" t="s">
        <v>600</v>
      </c>
      <c r="D486" t="s">
        <v>31</v>
      </c>
      <c r="E486" t="s">
        <v>24</v>
      </c>
      <c r="F486" t="s">
        <v>25</v>
      </c>
      <c r="G486" t="s">
        <v>26</v>
      </c>
      <c r="H486">
        <v>36.979999999999997</v>
      </c>
      <c r="I486">
        <v>17</v>
      </c>
      <c r="J486">
        <v>31.433</v>
      </c>
      <c r="K486">
        <v>628.66</v>
      </c>
      <c r="L486" s="1">
        <v>43629</v>
      </c>
      <c r="M486" s="2">
        <v>0.82499999999999996</v>
      </c>
      <c r="N486" t="s">
        <v>37</v>
      </c>
      <c r="O486">
        <v>369.8</v>
      </c>
      <c r="P486">
        <v>4.7619047620000003</v>
      </c>
      <c r="Q486">
        <v>258.86</v>
      </c>
      <c r="R486">
        <v>7.35</v>
      </c>
      <c r="S486">
        <v>96.078500000000005</v>
      </c>
      <c r="T486">
        <v>19.763300000000001</v>
      </c>
    </row>
    <row r="487" spans="1:20" x14ac:dyDescent="0.3">
      <c r="A487" t="s">
        <v>846</v>
      </c>
      <c r="C487" t="s">
        <v>280</v>
      </c>
      <c r="D487" t="s">
        <v>53</v>
      </c>
      <c r="E487" t="s">
        <v>24</v>
      </c>
      <c r="F487" t="s">
        <v>25</v>
      </c>
      <c r="G487" t="s">
        <v>26</v>
      </c>
      <c r="H487">
        <v>49.49</v>
      </c>
      <c r="I487">
        <v>8</v>
      </c>
      <c r="J487">
        <v>19.795999999999999</v>
      </c>
      <c r="K487">
        <v>395.92</v>
      </c>
      <c r="L487" s="1">
        <v>43817</v>
      </c>
      <c r="M487" s="2">
        <v>0.64236111111111116</v>
      </c>
      <c r="N487" t="s">
        <v>27</v>
      </c>
      <c r="O487">
        <v>197.96</v>
      </c>
      <c r="P487">
        <v>4.7619047620000003</v>
      </c>
      <c r="Q487">
        <v>197.96</v>
      </c>
      <c r="R487">
        <v>7.92</v>
      </c>
      <c r="S487">
        <v>96.089100000000002</v>
      </c>
      <c r="T487">
        <v>21.9588</v>
      </c>
    </row>
    <row r="488" spans="1:20" x14ac:dyDescent="0.3">
      <c r="A488" t="s">
        <v>847</v>
      </c>
      <c r="C488" t="s">
        <v>141</v>
      </c>
      <c r="D488" t="s">
        <v>53</v>
      </c>
      <c r="E488" t="s">
        <v>32</v>
      </c>
      <c r="F488" t="s">
        <v>25</v>
      </c>
      <c r="G488" t="s">
        <v>26</v>
      </c>
      <c r="H488">
        <v>41.09</v>
      </c>
      <c r="I488">
        <v>14</v>
      </c>
      <c r="J488">
        <v>28.763000000000002</v>
      </c>
      <c r="K488">
        <v>575.26</v>
      </c>
      <c r="L488" s="1">
        <v>43827</v>
      </c>
      <c r="M488" s="2">
        <v>0.61250000000000004</v>
      </c>
      <c r="N488" t="s">
        <v>33</v>
      </c>
      <c r="O488">
        <v>410.9</v>
      </c>
      <c r="P488">
        <v>4.7619047620000003</v>
      </c>
      <c r="Q488">
        <v>164.36</v>
      </c>
      <c r="R488">
        <v>8.76</v>
      </c>
      <c r="S488">
        <v>96.089100000000002</v>
      </c>
      <c r="T488">
        <v>21.9588</v>
      </c>
    </row>
    <row r="489" spans="1:20" x14ac:dyDescent="0.3">
      <c r="A489" t="s">
        <v>848</v>
      </c>
      <c r="C489" t="s">
        <v>687</v>
      </c>
      <c r="D489" t="s">
        <v>23</v>
      </c>
      <c r="E489" t="s">
        <v>32</v>
      </c>
      <c r="F489" t="s">
        <v>36</v>
      </c>
      <c r="G489" t="s">
        <v>100</v>
      </c>
      <c r="H489">
        <v>37.15</v>
      </c>
      <c r="I489">
        <v>4</v>
      </c>
      <c r="J489">
        <v>7.43</v>
      </c>
      <c r="K489">
        <v>148.6</v>
      </c>
      <c r="L489" s="1">
        <v>43798</v>
      </c>
      <c r="M489" s="2">
        <v>0.79097222222222219</v>
      </c>
      <c r="N489" t="s">
        <v>27</v>
      </c>
      <c r="O489">
        <v>148.6</v>
      </c>
      <c r="P489">
        <v>4.7619047620000003</v>
      </c>
      <c r="Q489">
        <v>0</v>
      </c>
      <c r="R489">
        <v>8.3000000000000007</v>
      </c>
      <c r="S489">
        <v>96.173500000000004</v>
      </c>
      <c r="T489">
        <v>16.840900000000001</v>
      </c>
    </row>
    <row r="490" spans="1:20" x14ac:dyDescent="0.3">
      <c r="A490" t="s">
        <v>849</v>
      </c>
      <c r="C490" t="s">
        <v>850</v>
      </c>
      <c r="D490" t="s">
        <v>31</v>
      </c>
      <c r="E490" t="s">
        <v>32</v>
      </c>
      <c r="F490" t="s">
        <v>36</v>
      </c>
      <c r="G490" t="s">
        <v>77</v>
      </c>
      <c r="H490">
        <v>22.96</v>
      </c>
      <c r="I490">
        <v>1</v>
      </c>
      <c r="J490">
        <v>1.1479999999999999</v>
      </c>
      <c r="K490">
        <v>22.96</v>
      </c>
      <c r="L490" s="1">
        <v>43620</v>
      </c>
      <c r="M490" s="2">
        <v>0.86597222222222225</v>
      </c>
      <c r="N490" t="s">
        <v>33</v>
      </c>
      <c r="O490">
        <v>22.96</v>
      </c>
      <c r="P490">
        <v>4.7619047620000003</v>
      </c>
      <c r="Q490">
        <v>0</v>
      </c>
      <c r="R490">
        <v>4.5149999999999997</v>
      </c>
      <c r="S490">
        <v>96.078500000000005</v>
      </c>
      <c r="T490">
        <v>19.763300000000001</v>
      </c>
    </row>
    <row r="491" spans="1:20" x14ac:dyDescent="0.3">
      <c r="A491" t="s">
        <v>851</v>
      </c>
      <c r="C491" t="s">
        <v>706</v>
      </c>
      <c r="D491" t="s">
        <v>53</v>
      </c>
      <c r="E491" t="s">
        <v>24</v>
      </c>
      <c r="F491" t="s">
        <v>25</v>
      </c>
      <c r="G491" t="s">
        <v>77</v>
      </c>
      <c r="H491">
        <v>77.680000000000007</v>
      </c>
      <c r="I491">
        <v>18</v>
      </c>
      <c r="J491">
        <v>69.912000000000006</v>
      </c>
      <c r="K491">
        <v>1398.24</v>
      </c>
      <c r="L491" s="1">
        <v>43628</v>
      </c>
      <c r="M491" s="2">
        <v>0.55625000000000002</v>
      </c>
      <c r="N491" t="s">
        <v>27</v>
      </c>
      <c r="O491">
        <v>699.12</v>
      </c>
      <c r="P491">
        <v>4.7619047620000003</v>
      </c>
      <c r="Q491">
        <v>699.12</v>
      </c>
      <c r="R491">
        <v>10</v>
      </c>
      <c r="S491">
        <v>96.089100000000002</v>
      </c>
      <c r="T491">
        <v>21.9588</v>
      </c>
    </row>
    <row r="492" spans="1:20" x14ac:dyDescent="0.3">
      <c r="A492" t="s">
        <v>852</v>
      </c>
      <c r="C492" t="s">
        <v>853</v>
      </c>
      <c r="D492" t="s">
        <v>53</v>
      </c>
      <c r="E492" t="s">
        <v>32</v>
      </c>
      <c r="F492" t="s">
        <v>25</v>
      </c>
      <c r="G492" t="s">
        <v>100</v>
      </c>
      <c r="H492">
        <v>34.700000000000003</v>
      </c>
      <c r="I492">
        <v>3</v>
      </c>
      <c r="J492">
        <v>5.2050000000000001</v>
      </c>
      <c r="K492">
        <v>104.1</v>
      </c>
      <c r="L492" s="1">
        <v>43542</v>
      </c>
      <c r="M492" s="2">
        <v>0.82499999999999996</v>
      </c>
      <c r="N492" t="s">
        <v>27</v>
      </c>
      <c r="O492">
        <v>69.400000000000006</v>
      </c>
      <c r="P492">
        <v>4.7619047620000003</v>
      </c>
      <c r="Q492">
        <v>34.700000000000003</v>
      </c>
      <c r="R492">
        <v>9.84</v>
      </c>
      <c r="S492">
        <v>96.089100000000002</v>
      </c>
      <c r="T492">
        <v>21.9588</v>
      </c>
    </row>
    <row r="493" spans="1:20" x14ac:dyDescent="0.3">
      <c r="A493" t="s">
        <v>854</v>
      </c>
      <c r="C493" t="s">
        <v>855</v>
      </c>
      <c r="D493" t="s">
        <v>23</v>
      </c>
      <c r="E493" t="s">
        <v>24</v>
      </c>
      <c r="F493" t="s">
        <v>25</v>
      </c>
      <c r="G493" t="s">
        <v>100</v>
      </c>
      <c r="H493">
        <v>19.66</v>
      </c>
      <c r="I493">
        <v>14</v>
      </c>
      <c r="J493">
        <v>13.762</v>
      </c>
      <c r="K493">
        <v>275.24</v>
      </c>
      <c r="L493" s="1">
        <v>43690</v>
      </c>
      <c r="M493" s="2">
        <v>0.76388888888888884</v>
      </c>
      <c r="N493" t="s">
        <v>37</v>
      </c>
      <c r="O493">
        <v>196.6</v>
      </c>
      <c r="P493">
        <v>4.7619047620000003</v>
      </c>
      <c r="Q493">
        <v>78.64</v>
      </c>
      <c r="R493">
        <v>7.2</v>
      </c>
      <c r="S493">
        <v>96.173500000000004</v>
      </c>
      <c r="T493">
        <v>16.840900000000001</v>
      </c>
    </row>
    <row r="494" spans="1:20" x14ac:dyDescent="0.3">
      <c r="A494" t="s">
        <v>856</v>
      </c>
      <c r="C494" t="s">
        <v>175</v>
      </c>
      <c r="D494" t="s">
        <v>53</v>
      </c>
      <c r="E494" t="s">
        <v>24</v>
      </c>
      <c r="F494" t="s">
        <v>25</v>
      </c>
      <c r="G494" t="s">
        <v>26</v>
      </c>
      <c r="H494">
        <v>25.32</v>
      </c>
      <c r="I494">
        <v>15</v>
      </c>
      <c r="J494">
        <v>18.989999999999998</v>
      </c>
      <c r="K494">
        <v>379.8</v>
      </c>
      <c r="L494" s="1">
        <v>43480</v>
      </c>
      <c r="M494" s="2">
        <v>0.85</v>
      </c>
      <c r="N494" t="s">
        <v>27</v>
      </c>
      <c r="O494">
        <v>202.56</v>
      </c>
      <c r="P494">
        <v>4.7619047620000003</v>
      </c>
      <c r="Q494">
        <v>177.24</v>
      </c>
      <c r="R494">
        <v>10</v>
      </c>
      <c r="S494">
        <v>96.089100000000002</v>
      </c>
      <c r="T494">
        <v>21.9588</v>
      </c>
    </row>
    <row r="495" spans="1:20" x14ac:dyDescent="0.3">
      <c r="A495" t="s">
        <v>857</v>
      </c>
      <c r="C495" t="s">
        <v>424</v>
      </c>
      <c r="D495" t="s">
        <v>31</v>
      </c>
      <c r="E495" t="s">
        <v>24</v>
      </c>
      <c r="F495" t="s">
        <v>25</v>
      </c>
      <c r="G495" t="s">
        <v>77</v>
      </c>
      <c r="H495">
        <v>12.12</v>
      </c>
      <c r="I495">
        <v>17</v>
      </c>
      <c r="J495">
        <v>10.302</v>
      </c>
      <c r="K495">
        <v>206.04</v>
      </c>
      <c r="L495" s="1">
        <v>43628</v>
      </c>
      <c r="M495" s="2">
        <v>0.57222222222222219</v>
      </c>
      <c r="N495" t="s">
        <v>37</v>
      </c>
      <c r="O495">
        <v>121.2</v>
      </c>
      <c r="P495">
        <v>4.7619047620000003</v>
      </c>
      <c r="Q495">
        <v>84.84</v>
      </c>
      <c r="R495">
        <v>8.82</v>
      </c>
      <c r="S495">
        <v>96.078500000000005</v>
      </c>
      <c r="T495">
        <v>19.763300000000001</v>
      </c>
    </row>
    <row r="496" spans="1:20" x14ac:dyDescent="0.3">
      <c r="A496" t="s">
        <v>858</v>
      </c>
      <c r="C496" t="s">
        <v>859</v>
      </c>
      <c r="D496" t="s">
        <v>53</v>
      </c>
      <c r="E496" t="s">
        <v>32</v>
      </c>
      <c r="F496" t="s">
        <v>36</v>
      </c>
      <c r="G496" t="s">
        <v>100</v>
      </c>
      <c r="H496">
        <v>99.89</v>
      </c>
      <c r="I496">
        <v>3</v>
      </c>
      <c r="J496">
        <v>14.983499999999999</v>
      </c>
      <c r="K496">
        <v>299.67</v>
      </c>
      <c r="L496" s="1">
        <v>43710</v>
      </c>
      <c r="M496" s="2">
        <v>0.49166666666666664</v>
      </c>
      <c r="N496" t="s">
        <v>27</v>
      </c>
      <c r="O496">
        <v>199.78</v>
      </c>
      <c r="P496">
        <v>4.7619047620000003</v>
      </c>
      <c r="Q496">
        <v>99.89</v>
      </c>
      <c r="R496">
        <v>8.52</v>
      </c>
      <c r="S496">
        <v>96.089100000000002</v>
      </c>
      <c r="T496">
        <v>21.9588</v>
      </c>
    </row>
    <row r="497" spans="1:20" x14ac:dyDescent="0.3">
      <c r="A497" t="s">
        <v>860</v>
      </c>
      <c r="C497" t="s">
        <v>428</v>
      </c>
      <c r="D497" t="s">
        <v>53</v>
      </c>
      <c r="E497" t="s">
        <v>32</v>
      </c>
      <c r="F497" t="s">
        <v>36</v>
      </c>
      <c r="G497" t="s">
        <v>68</v>
      </c>
      <c r="H497">
        <v>75.92</v>
      </c>
      <c r="I497">
        <v>11</v>
      </c>
      <c r="J497">
        <v>41.756</v>
      </c>
      <c r="K497">
        <v>835.12</v>
      </c>
      <c r="L497" s="1">
        <v>43783</v>
      </c>
      <c r="M497" s="2">
        <v>0.59305555555555556</v>
      </c>
      <c r="N497" t="s">
        <v>33</v>
      </c>
      <c r="O497">
        <v>607.36</v>
      </c>
      <c r="P497">
        <v>4.7619047620000003</v>
      </c>
      <c r="Q497">
        <v>227.76</v>
      </c>
      <c r="R497">
        <v>6.6</v>
      </c>
      <c r="S497">
        <v>96.089100000000002</v>
      </c>
      <c r="T497">
        <v>21.9588</v>
      </c>
    </row>
    <row r="498" spans="1:20" x14ac:dyDescent="0.3">
      <c r="A498" t="s">
        <v>861</v>
      </c>
      <c r="C498" t="s">
        <v>862</v>
      </c>
      <c r="D498" t="s">
        <v>31</v>
      </c>
      <c r="E498" t="s">
        <v>32</v>
      </c>
      <c r="F498" t="s">
        <v>25</v>
      </c>
      <c r="G498" t="s">
        <v>60</v>
      </c>
      <c r="H498">
        <v>63.22</v>
      </c>
      <c r="I498">
        <v>2</v>
      </c>
      <c r="J498">
        <v>6.3220000000000001</v>
      </c>
      <c r="K498">
        <v>126.44</v>
      </c>
      <c r="L498" s="1">
        <v>43811</v>
      </c>
      <c r="M498" s="2">
        <v>0.66041666666666665</v>
      </c>
      <c r="N498" t="s">
        <v>33</v>
      </c>
      <c r="O498">
        <v>126.44</v>
      </c>
      <c r="P498">
        <v>4.7619047620000003</v>
      </c>
      <c r="Q498">
        <v>0</v>
      </c>
      <c r="R498">
        <v>8.9250000000000007</v>
      </c>
      <c r="S498">
        <v>96.078500000000005</v>
      </c>
      <c r="T498">
        <v>19.763300000000001</v>
      </c>
    </row>
    <row r="499" spans="1:20" x14ac:dyDescent="0.3">
      <c r="A499" t="s">
        <v>863</v>
      </c>
      <c r="C499" t="s">
        <v>810</v>
      </c>
      <c r="D499" t="s">
        <v>31</v>
      </c>
      <c r="E499" t="s">
        <v>32</v>
      </c>
      <c r="F499" t="s">
        <v>25</v>
      </c>
      <c r="G499" t="s">
        <v>63</v>
      </c>
      <c r="H499">
        <v>90.24</v>
      </c>
      <c r="I499">
        <v>7</v>
      </c>
      <c r="J499">
        <v>31.584</v>
      </c>
      <c r="K499">
        <v>631.67999999999995</v>
      </c>
      <c r="L499" s="1">
        <v>43559</v>
      </c>
      <c r="M499" s="2">
        <v>0.47013888888888888</v>
      </c>
      <c r="N499" t="s">
        <v>33</v>
      </c>
      <c r="O499">
        <v>541.44000000000005</v>
      </c>
      <c r="P499">
        <v>4.7619047620000003</v>
      </c>
      <c r="Q499">
        <v>90.24</v>
      </c>
      <c r="R499">
        <v>6.51</v>
      </c>
      <c r="S499">
        <v>96.078500000000005</v>
      </c>
      <c r="T499">
        <v>19.763300000000001</v>
      </c>
    </row>
    <row r="500" spans="1:20" x14ac:dyDescent="0.3">
      <c r="A500" t="s">
        <v>864</v>
      </c>
      <c r="C500" t="s">
        <v>385</v>
      </c>
      <c r="D500" t="s">
        <v>53</v>
      </c>
      <c r="E500" t="s">
        <v>24</v>
      </c>
      <c r="F500" t="s">
        <v>25</v>
      </c>
      <c r="G500" t="s">
        <v>68</v>
      </c>
      <c r="H500">
        <v>98.13</v>
      </c>
      <c r="I500">
        <v>1</v>
      </c>
      <c r="J500">
        <v>4.9065000000000003</v>
      </c>
      <c r="K500">
        <v>98.13</v>
      </c>
      <c r="L500" s="1">
        <v>43596</v>
      </c>
      <c r="M500" s="2">
        <v>0.73333333333333328</v>
      </c>
      <c r="N500" t="s">
        <v>33</v>
      </c>
      <c r="O500">
        <v>98.13</v>
      </c>
      <c r="P500">
        <v>4.7619047620000003</v>
      </c>
      <c r="Q500">
        <v>0</v>
      </c>
      <c r="S500">
        <v>96.089100000000002</v>
      </c>
      <c r="T500">
        <v>21.9588</v>
      </c>
    </row>
    <row r="501" spans="1:20" x14ac:dyDescent="0.3">
      <c r="A501" t="s">
        <v>865</v>
      </c>
      <c r="C501" t="s">
        <v>326</v>
      </c>
      <c r="D501" t="s">
        <v>23</v>
      </c>
      <c r="E501" t="s">
        <v>24</v>
      </c>
      <c r="F501" t="s">
        <v>25</v>
      </c>
      <c r="G501" t="s">
        <v>68</v>
      </c>
      <c r="H501">
        <v>51.52</v>
      </c>
      <c r="I501">
        <v>11</v>
      </c>
      <c r="J501">
        <v>28.335999999999999</v>
      </c>
      <c r="K501">
        <v>566.72</v>
      </c>
      <c r="L501" s="1">
        <v>43616</v>
      </c>
      <c r="M501" s="2">
        <v>0.65763888888888888</v>
      </c>
      <c r="N501" t="s">
        <v>33</v>
      </c>
      <c r="O501">
        <v>412.16</v>
      </c>
      <c r="P501">
        <v>4.7619047620000003</v>
      </c>
      <c r="Q501">
        <v>154.56</v>
      </c>
      <c r="S501">
        <v>96.173500000000004</v>
      </c>
      <c r="T501">
        <v>16.840900000000001</v>
      </c>
    </row>
    <row r="502" spans="1:20" x14ac:dyDescent="0.3">
      <c r="A502" t="s">
        <v>866</v>
      </c>
      <c r="C502" t="s">
        <v>258</v>
      </c>
      <c r="D502" t="s">
        <v>53</v>
      </c>
      <c r="E502" t="s">
        <v>24</v>
      </c>
      <c r="F502" t="s">
        <v>36</v>
      </c>
      <c r="G502" t="s">
        <v>68</v>
      </c>
      <c r="H502">
        <v>73.97</v>
      </c>
      <c r="I502">
        <v>1</v>
      </c>
      <c r="J502">
        <v>3.6985000000000001</v>
      </c>
      <c r="K502">
        <v>73.97</v>
      </c>
      <c r="L502" s="1">
        <v>43659</v>
      </c>
      <c r="M502" s="2">
        <v>0.66180555555555554</v>
      </c>
      <c r="N502" t="s">
        <v>37</v>
      </c>
      <c r="O502">
        <v>73.97</v>
      </c>
      <c r="P502">
        <v>4.7619047620000003</v>
      </c>
      <c r="Q502">
        <v>0</v>
      </c>
      <c r="S502">
        <v>96.089100000000002</v>
      </c>
      <c r="T502">
        <v>21.9588</v>
      </c>
    </row>
    <row r="503" spans="1:20" x14ac:dyDescent="0.3">
      <c r="A503" t="s">
        <v>867</v>
      </c>
      <c r="C503" t="s">
        <v>868</v>
      </c>
      <c r="D503" t="s">
        <v>31</v>
      </c>
      <c r="E503" t="s">
        <v>24</v>
      </c>
      <c r="F503" t="s">
        <v>25</v>
      </c>
      <c r="G503" t="s">
        <v>100</v>
      </c>
      <c r="H503">
        <v>31.9</v>
      </c>
      <c r="I503">
        <v>1</v>
      </c>
      <c r="J503">
        <v>1.595</v>
      </c>
      <c r="K503">
        <v>31.9</v>
      </c>
      <c r="L503" s="1">
        <v>43676</v>
      </c>
      <c r="M503" s="2">
        <v>0.52777777777777779</v>
      </c>
      <c r="N503" t="s">
        <v>27</v>
      </c>
      <c r="O503">
        <v>31.9</v>
      </c>
      <c r="P503">
        <v>4.7619047620000003</v>
      </c>
      <c r="Q503">
        <v>0</v>
      </c>
      <c r="S503">
        <v>96.078500000000005</v>
      </c>
      <c r="T503">
        <v>19.763300000000001</v>
      </c>
    </row>
    <row r="504" spans="1:20" x14ac:dyDescent="0.3">
      <c r="A504" t="s">
        <v>869</v>
      </c>
      <c r="B504" t="s">
        <v>29</v>
      </c>
      <c r="C504" t="s">
        <v>173</v>
      </c>
      <c r="D504" t="s">
        <v>31</v>
      </c>
      <c r="E504" t="s">
        <v>32</v>
      </c>
      <c r="F504" t="s">
        <v>36</v>
      </c>
      <c r="G504" t="s">
        <v>77</v>
      </c>
      <c r="H504">
        <v>69.400000000000006</v>
      </c>
      <c r="I504">
        <v>2</v>
      </c>
      <c r="J504">
        <v>6.94</v>
      </c>
      <c r="K504">
        <v>138.80000000000001</v>
      </c>
      <c r="L504" s="1">
        <v>43707</v>
      </c>
      <c r="M504" s="2">
        <v>0.82499999999999996</v>
      </c>
      <c r="N504" t="s">
        <v>27</v>
      </c>
      <c r="O504">
        <v>138.80000000000001</v>
      </c>
      <c r="P504">
        <v>4.7619047620000003</v>
      </c>
      <c r="Q504">
        <v>0</v>
      </c>
      <c r="S504">
        <v>96.078500000000005</v>
      </c>
      <c r="T504">
        <v>19.763300000000001</v>
      </c>
    </row>
    <row r="505" spans="1:20" x14ac:dyDescent="0.3">
      <c r="A505" t="s">
        <v>870</v>
      </c>
      <c r="B505" t="s">
        <v>51</v>
      </c>
      <c r="C505" t="s">
        <v>129</v>
      </c>
      <c r="D505" t="s">
        <v>53</v>
      </c>
      <c r="E505" t="s">
        <v>32</v>
      </c>
      <c r="F505" t="s">
        <v>25</v>
      </c>
      <c r="G505" t="s">
        <v>68</v>
      </c>
      <c r="H505">
        <v>93.31</v>
      </c>
      <c r="I505">
        <v>3</v>
      </c>
      <c r="J505">
        <v>13.996499999999999</v>
      </c>
      <c r="K505">
        <v>279.93</v>
      </c>
      <c r="L505" s="1">
        <v>43681</v>
      </c>
      <c r="M505" s="2">
        <v>0.74513888888888891</v>
      </c>
      <c r="N505" t="s">
        <v>33</v>
      </c>
      <c r="O505">
        <v>186.62</v>
      </c>
      <c r="P505">
        <v>4.7619047620000003</v>
      </c>
      <c r="Q505">
        <v>93.31</v>
      </c>
      <c r="S505">
        <v>96.089100000000002</v>
      </c>
      <c r="T505">
        <v>21.9588</v>
      </c>
    </row>
    <row r="506" spans="1:20" x14ac:dyDescent="0.3">
      <c r="A506" t="s">
        <v>871</v>
      </c>
      <c r="B506" t="s">
        <v>51</v>
      </c>
      <c r="C506" t="s">
        <v>872</v>
      </c>
      <c r="D506" t="s">
        <v>53</v>
      </c>
      <c r="E506" t="s">
        <v>32</v>
      </c>
      <c r="F506" t="s">
        <v>36</v>
      </c>
      <c r="G506" t="s">
        <v>68</v>
      </c>
      <c r="H506">
        <v>88.45</v>
      </c>
      <c r="I506">
        <v>1</v>
      </c>
      <c r="J506">
        <v>4.4225000000000003</v>
      </c>
      <c r="K506">
        <v>88.45</v>
      </c>
      <c r="L506" s="1">
        <v>43663</v>
      </c>
      <c r="M506" s="2">
        <v>0.69166666666666665</v>
      </c>
      <c r="N506" t="s">
        <v>37</v>
      </c>
      <c r="O506">
        <v>88.45</v>
      </c>
      <c r="P506">
        <v>4.7619047620000003</v>
      </c>
      <c r="Q506">
        <v>0</v>
      </c>
      <c r="S506">
        <v>96.089100000000002</v>
      </c>
      <c r="T506">
        <v>21.9588</v>
      </c>
    </row>
    <row r="507" spans="1:20" x14ac:dyDescent="0.3">
      <c r="A507" t="s">
        <v>873</v>
      </c>
      <c r="B507" t="s">
        <v>21</v>
      </c>
      <c r="C507" t="s">
        <v>874</v>
      </c>
      <c r="D507" t="s">
        <v>23</v>
      </c>
      <c r="E507" t="s">
        <v>24</v>
      </c>
      <c r="F507" t="s">
        <v>36</v>
      </c>
      <c r="G507" t="s">
        <v>60</v>
      </c>
      <c r="H507">
        <v>24.18</v>
      </c>
      <c r="I507">
        <v>11</v>
      </c>
      <c r="J507">
        <v>13.298999999999999</v>
      </c>
      <c r="K507">
        <v>265.98</v>
      </c>
      <c r="L507" s="1">
        <v>43758</v>
      </c>
      <c r="M507" s="2">
        <v>0.87083333333333335</v>
      </c>
      <c r="N507" t="s">
        <v>27</v>
      </c>
      <c r="O507">
        <v>193.44</v>
      </c>
      <c r="P507">
        <v>4.7619047620000003</v>
      </c>
      <c r="Q507">
        <v>72.540000000000006</v>
      </c>
      <c r="S507">
        <v>96.173500000000004</v>
      </c>
      <c r="T507">
        <v>16.840900000000001</v>
      </c>
    </row>
    <row r="508" spans="1:20" x14ac:dyDescent="0.3">
      <c r="A508" t="s">
        <v>875</v>
      </c>
      <c r="B508" t="s">
        <v>51</v>
      </c>
      <c r="C508" t="s">
        <v>117</v>
      </c>
      <c r="D508" t="s">
        <v>53</v>
      </c>
      <c r="E508" t="s">
        <v>24</v>
      </c>
      <c r="F508" t="s">
        <v>25</v>
      </c>
      <c r="G508" t="s">
        <v>68</v>
      </c>
      <c r="H508">
        <v>48.5</v>
      </c>
      <c r="I508">
        <v>6</v>
      </c>
      <c r="J508">
        <v>14.55</v>
      </c>
      <c r="K508">
        <v>291</v>
      </c>
      <c r="L508" s="1">
        <v>43820</v>
      </c>
      <c r="M508" s="2">
        <v>0.53472222222222221</v>
      </c>
      <c r="N508" t="s">
        <v>33</v>
      </c>
      <c r="O508">
        <v>145.5</v>
      </c>
      <c r="P508">
        <v>4.7619047620000003</v>
      </c>
      <c r="Q508">
        <v>145.5</v>
      </c>
      <c r="S508">
        <v>96.089100000000002</v>
      </c>
      <c r="T508">
        <v>21.9588</v>
      </c>
    </row>
    <row r="509" spans="1:20" x14ac:dyDescent="0.3">
      <c r="A509" t="s">
        <v>876</v>
      </c>
      <c r="B509" t="s">
        <v>51</v>
      </c>
      <c r="C509" t="s">
        <v>175</v>
      </c>
      <c r="D509" t="s">
        <v>53</v>
      </c>
      <c r="E509" t="s">
        <v>32</v>
      </c>
      <c r="F509" t="s">
        <v>25</v>
      </c>
      <c r="G509" t="s">
        <v>63</v>
      </c>
      <c r="H509">
        <v>84.05</v>
      </c>
      <c r="I509">
        <v>8</v>
      </c>
      <c r="J509">
        <v>33.619999999999997</v>
      </c>
      <c r="K509">
        <v>672.4</v>
      </c>
      <c r="L509" s="1">
        <v>43584</v>
      </c>
      <c r="M509" s="2">
        <v>0.45</v>
      </c>
      <c r="N509" t="s">
        <v>37</v>
      </c>
      <c r="O509">
        <v>504.3</v>
      </c>
      <c r="P509">
        <v>4.7619047620000003</v>
      </c>
      <c r="Q509">
        <v>168.1</v>
      </c>
      <c r="S509">
        <v>96.089100000000002</v>
      </c>
      <c r="T509">
        <v>21.9588</v>
      </c>
    </row>
    <row r="510" spans="1:20" x14ac:dyDescent="0.3">
      <c r="A510" t="s">
        <v>877</v>
      </c>
      <c r="B510" t="s">
        <v>51</v>
      </c>
      <c r="C510" t="s">
        <v>771</v>
      </c>
      <c r="D510" t="s">
        <v>53</v>
      </c>
      <c r="E510" t="s">
        <v>24</v>
      </c>
      <c r="F510" t="s">
        <v>36</v>
      </c>
      <c r="G510" t="s">
        <v>68</v>
      </c>
      <c r="H510">
        <v>61.29</v>
      </c>
      <c r="I510">
        <v>10</v>
      </c>
      <c r="J510">
        <v>30.645</v>
      </c>
      <c r="K510">
        <v>612.9</v>
      </c>
      <c r="L510" s="1">
        <v>43762</v>
      </c>
      <c r="M510" s="2">
        <v>0.60277777777777775</v>
      </c>
      <c r="N510" t="s">
        <v>33</v>
      </c>
      <c r="O510">
        <v>306.45</v>
      </c>
      <c r="P510">
        <v>4.7619047620000003</v>
      </c>
      <c r="Q510">
        <v>306.45</v>
      </c>
      <c r="R510">
        <v>8.4</v>
      </c>
      <c r="S510">
        <v>96.089100000000002</v>
      </c>
      <c r="T510">
        <v>21.9588</v>
      </c>
    </row>
    <row r="511" spans="1:20" x14ac:dyDescent="0.3">
      <c r="A511" t="s">
        <v>878</v>
      </c>
      <c r="B511" t="s">
        <v>29</v>
      </c>
      <c r="C511" t="s">
        <v>407</v>
      </c>
      <c r="D511" t="s">
        <v>31</v>
      </c>
      <c r="E511" t="s">
        <v>24</v>
      </c>
      <c r="F511" t="s">
        <v>25</v>
      </c>
      <c r="G511" t="s">
        <v>68</v>
      </c>
      <c r="H511">
        <v>15.95</v>
      </c>
      <c r="I511">
        <v>10</v>
      </c>
      <c r="J511">
        <v>7.9749999999999996</v>
      </c>
      <c r="K511">
        <v>159.5</v>
      </c>
      <c r="L511" s="1">
        <v>43720</v>
      </c>
      <c r="M511" s="2">
        <v>0.71875</v>
      </c>
      <c r="N511" t="s">
        <v>37</v>
      </c>
      <c r="O511">
        <v>95.7</v>
      </c>
      <c r="P511">
        <v>4.7619047620000003</v>
      </c>
      <c r="Q511">
        <v>63.8</v>
      </c>
      <c r="R511">
        <v>5.3550000000000004</v>
      </c>
      <c r="S511">
        <v>96.078500000000005</v>
      </c>
      <c r="T511">
        <v>19.763300000000001</v>
      </c>
    </row>
    <row r="512" spans="1:20" x14ac:dyDescent="0.3">
      <c r="A512" t="s">
        <v>879</v>
      </c>
      <c r="B512" t="s">
        <v>51</v>
      </c>
      <c r="C512" t="s">
        <v>706</v>
      </c>
      <c r="D512" t="s">
        <v>53</v>
      </c>
      <c r="E512" t="s">
        <v>24</v>
      </c>
      <c r="F512" t="s">
        <v>25</v>
      </c>
      <c r="G512" t="s">
        <v>68</v>
      </c>
      <c r="H512">
        <v>90.74</v>
      </c>
      <c r="I512">
        <v>14</v>
      </c>
      <c r="J512">
        <v>63.518000000000001</v>
      </c>
      <c r="K512">
        <v>1270.3599999999999</v>
      </c>
      <c r="L512" s="1">
        <v>43537</v>
      </c>
      <c r="M512" s="2">
        <v>0.75208333333333333</v>
      </c>
      <c r="N512" t="s">
        <v>37</v>
      </c>
      <c r="O512">
        <v>635.17999999999995</v>
      </c>
      <c r="P512">
        <v>4.7619047620000003</v>
      </c>
      <c r="Q512">
        <v>635.17999999999995</v>
      </c>
      <c r="R512">
        <v>7.44</v>
      </c>
      <c r="S512">
        <v>96.089100000000002</v>
      </c>
      <c r="T512">
        <v>21.9588</v>
      </c>
    </row>
    <row r="513" spans="1:20" x14ac:dyDescent="0.3">
      <c r="A513" t="s">
        <v>880</v>
      </c>
      <c r="B513" t="s">
        <v>21</v>
      </c>
      <c r="C513" t="s">
        <v>881</v>
      </c>
      <c r="D513" t="s">
        <v>23</v>
      </c>
      <c r="E513" t="s">
        <v>32</v>
      </c>
      <c r="F513" t="s">
        <v>25</v>
      </c>
      <c r="G513" t="s">
        <v>68</v>
      </c>
      <c r="H513">
        <v>42.91</v>
      </c>
      <c r="I513">
        <v>5</v>
      </c>
      <c r="J513">
        <v>10.727499999999999</v>
      </c>
      <c r="K513">
        <v>214.55</v>
      </c>
      <c r="L513" s="1">
        <v>43724</v>
      </c>
      <c r="M513" s="2">
        <v>0.72847222222222219</v>
      </c>
      <c r="N513" t="s">
        <v>27</v>
      </c>
      <c r="O513">
        <v>214.55</v>
      </c>
      <c r="P513">
        <v>4.7619047620000003</v>
      </c>
      <c r="Q513">
        <v>0</v>
      </c>
      <c r="R513">
        <v>6.1</v>
      </c>
      <c r="S513">
        <v>96.173500000000004</v>
      </c>
      <c r="T513">
        <v>16.840900000000001</v>
      </c>
    </row>
    <row r="514" spans="1:20" x14ac:dyDescent="0.3">
      <c r="A514" t="s">
        <v>882</v>
      </c>
      <c r="B514" t="s">
        <v>21</v>
      </c>
      <c r="C514" t="s">
        <v>883</v>
      </c>
      <c r="D514" t="s">
        <v>23</v>
      </c>
      <c r="E514" t="s">
        <v>32</v>
      </c>
      <c r="F514" t="s">
        <v>25</v>
      </c>
      <c r="G514" t="s">
        <v>68</v>
      </c>
      <c r="H514">
        <v>54.28</v>
      </c>
      <c r="I514">
        <v>7</v>
      </c>
      <c r="J514">
        <v>18.998000000000001</v>
      </c>
      <c r="K514">
        <v>379.96</v>
      </c>
      <c r="L514" s="1">
        <v>43749</v>
      </c>
      <c r="M514" s="2">
        <v>0.75347222222222221</v>
      </c>
      <c r="N514" t="s">
        <v>27</v>
      </c>
      <c r="O514">
        <v>379.96</v>
      </c>
      <c r="P514">
        <v>4.7619047620000003</v>
      </c>
      <c r="Q514">
        <v>0</v>
      </c>
      <c r="R514">
        <v>9.3000000000000007</v>
      </c>
      <c r="S514">
        <v>96.173500000000004</v>
      </c>
      <c r="T514">
        <v>16.840900000000001</v>
      </c>
    </row>
    <row r="515" spans="1:20" x14ac:dyDescent="0.3">
      <c r="A515" t="s">
        <v>884</v>
      </c>
      <c r="B515" t="s">
        <v>21</v>
      </c>
      <c r="C515" t="s">
        <v>885</v>
      </c>
      <c r="D515" t="s">
        <v>23</v>
      </c>
      <c r="E515" t="s">
        <v>32</v>
      </c>
      <c r="F515" t="s">
        <v>36</v>
      </c>
      <c r="G515" t="s">
        <v>60</v>
      </c>
      <c r="H515">
        <v>99.55</v>
      </c>
      <c r="I515">
        <v>7</v>
      </c>
      <c r="J515">
        <v>34.842500000000001</v>
      </c>
      <c r="K515">
        <v>696.85</v>
      </c>
      <c r="L515" s="1">
        <v>43588</v>
      </c>
      <c r="M515" s="2">
        <v>0.50486111111111109</v>
      </c>
      <c r="N515" t="s">
        <v>33</v>
      </c>
      <c r="O515">
        <v>696.85</v>
      </c>
      <c r="P515">
        <v>4.7619047620000003</v>
      </c>
      <c r="Q515">
        <v>0</v>
      </c>
      <c r="R515">
        <v>7.6</v>
      </c>
      <c r="S515">
        <v>96.173500000000004</v>
      </c>
      <c r="T515">
        <v>16.840900000000001</v>
      </c>
    </row>
    <row r="516" spans="1:20" x14ac:dyDescent="0.3">
      <c r="A516" t="s">
        <v>886</v>
      </c>
      <c r="B516" t="s">
        <v>29</v>
      </c>
      <c r="C516" t="s">
        <v>696</v>
      </c>
      <c r="D516" t="s">
        <v>31</v>
      </c>
      <c r="E516" t="s">
        <v>24</v>
      </c>
      <c r="F516" t="s">
        <v>36</v>
      </c>
      <c r="G516" t="s">
        <v>68</v>
      </c>
      <c r="H516">
        <v>58.39</v>
      </c>
      <c r="I516">
        <v>11</v>
      </c>
      <c r="J516">
        <v>32.1145</v>
      </c>
      <c r="K516">
        <v>642.29</v>
      </c>
      <c r="L516" s="1">
        <v>43684</v>
      </c>
      <c r="M516" s="2">
        <v>0.8256944444444444</v>
      </c>
      <c r="N516" t="s">
        <v>37</v>
      </c>
      <c r="O516">
        <v>408.73</v>
      </c>
      <c r="P516">
        <v>4.7619047620000003</v>
      </c>
      <c r="Q516">
        <v>233.56</v>
      </c>
      <c r="R516">
        <v>8.61</v>
      </c>
      <c r="S516">
        <v>96.078500000000005</v>
      </c>
      <c r="T516">
        <v>19.763300000000001</v>
      </c>
    </row>
    <row r="517" spans="1:20" x14ac:dyDescent="0.3">
      <c r="A517" t="s">
        <v>887</v>
      </c>
      <c r="B517" t="s">
        <v>29</v>
      </c>
      <c r="C517" t="s">
        <v>181</v>
      </c>
      <c r="D517" t="s">
        <v>31</v>
      </c>
      <c r="E517" t="s">
        <v>24</v>
      </c>
      <c r="F517" t="s">
        <v>25</v>
      </c>
      <c r="G517" t="s">
        <v>100</v>
      </c>
      <c r="H517">
        <v>51.47</v>
      </c>
      <c r="I517">
        <v>1</v>
      </c>
      <c r="J517">
        <v>2.5735000000000001</v>
      </c>
      <c r="K517">
        <v>51.47</v>
      </c>
      <c r="L517" s="1">
        <v>43622</v>
      </c>
      <c r="M517" s="2">
        <v>0.66111111111111109</v>
      </c>
      <c r="N517" t="s">
        <v>27</v>
      </c>
      <c r="O517">
        <v>51.47</v>
      </c>
      <c r="P517">
        <v>4.7619047620000003</v>
      </c>
      <c r="Q517">
        <v>0</v>
      </c>
      <c r="R517">
        <v>8.9250000000000007</v>
      </c>
      <c r="S517">
        <v>96.078500000000005</v>
      </c>
      <c r="T517">
        <v>19.763300000000001</v>
      </c>
    </row>
    <row r="518" spans="1:20" x14ac:dyDescent="0.3">
      <c r="A518" t="s">
        <v>888</v>
      </c>
      <c r="B518" t="s">
        <v>51</v>
      </c>
      <c r="C518" t="s">
        <v>889</v>
      </c>
      <c r="D518" t="s">
        <v>53</v>
      </c>
      <c r="E518" t="s">
        <v>24</v>
      </c>
      <c r="F518" t="s">
        <v>36</v>
      </c>
      <c r="G518" t="s">
        <v>26</v>
      </c>
      <c r="H518">
        <v>54.86</v>
      </c>
      <c r="I518">
        <v>10</v>
      </c>
      <c r="J518">
        <v>27.43</v>
      </c>
      <c r="K518">
        <v>548.6</v>
      </c>
      <c r="L518" s="1">
        <v>43714</v>
      </c>
      <c r="M518" s="2">
        <v>0.7</v>
      </c>
      <c r="N518" t="s">
        <v>27</v>
      </c>
      <c r="O518">
        <v>274.3</v>
      </c>
      <c r="P518">
        <v>4.7619047620000003</v>
      </c>
      <c r="Q518">
        <v>274.3</v>
      </c>
      <c r="R518">
        <v>10</v>
      </c>
      <c r="S518">
        <v>96.089100000000002</v>
      </c>
      <c r="T518">
        <v>21.9588</v>
      </c>
    </row>
    <row r="519" spans="1:20" x14ac:dyDescent="0.3">
      <c r="A519" t="s">
        <v>890</v>
      </c>
      <c r="B519" t="s">
        <v>29</v>
      </c>
      <c r="C519" t="s">
        <v>270</v>
      </c>
      <c r="D519" t="s">
        <v>31</v>
      </c>
      <c r="E519" t="s">
        <v>24</v>
      </c>
      <c r="F519" t="s">
        <v>36</v>
      </c>
      <c r="G519" t="s">
        <v>77</v>
      </c>
      <c r="H519">
        <v>39.39</v>
      </c>
      <c r="I519">
        <v>8</v>
      </c>
      <c r="J519">
        <v>15.756</v>
      </c>
      <c r="K519">
        <v>315.12</v>
      </c>
      <c r="L519" s="1">
        <v>43539</v>
      </c>
      <c r="M519" s="2">
        <v>0.86527777777777781</v>
      </c>
      <c r="N519" t="s">
        <v>37</v>
      </c>
      <c r="O519">
        <v>196.95</v>
      </c>
      <c r="P519">
        <v>4.7619047620000003</v>
      </c>
      <c r="Q519">
        <v>118.17</v>
      </c>
      <c r="R519">
        <v>9.1349999999999998</v>
      </c>
      <c r="S519">
        <v>96.078500000000005</v>
      </c>
      <c r="T519">
        <v>19.763300000000001</v>
      </c>
    </row>
    <row r="520" spans="1:20" x14ac:dyDescent="0.3">
      <c r="A520" t="s">
        <v>891</v>
      </c>
      <c r="B520" t="s">
        <v>21</v>
      </c>
      <c r="C520" t="s">
        <v>557</v>
      </c>
      <c r="D520" t="s">
        <v>23</v>
      </c>
      <c r="E520" t="s">
        <v>32</v>
      </c>
      <c r="F520" t="s">
        <v>36</v>
      </c>
      <c r="G520" t="s">
        <v>77</v>
      </c>
      <c r="H520">
        <v>34.729999999999997</v>
      </c>
      <c r="I520">
        <v>2</v>
      </c>
      <c r="J520">
        <v>3.4729999999999999</v>
      </c>
      <c r="K520">
        <v>69.459999999999994</v>
      </c>
      <c r="L520" s="1">
        <v>43686</v>
      </c>
      <c r="M520" s="2">
        <v>0.75972222222222219</v>
      </c>
      <c r="N520" t="s">
        <v>27</v>
      </c>
      <c r="O520">
        <v>69.459999999999994</v>
      </c>
      <c r="P520">
        <v>4.7619047620000003</v>
      </c>
      <c r="Q520">
        <v>0</v>
      </c>
      <c r="R520">
        <v>9.6999999999999993</v>
      </c>
      <c r="S520">
        <v>96.173500000000004</v>
      </c>
      <c r="T520">
        <v>16.840900000000001</v>
      </c>
    </row>
    <row r="521" spans="1:20" x14ac:dyDescent="0.3">
      <c r="A521" t="s">
        <v>892</v>
      </c>
      <c r="B521" t="s">
        <v>29</v>
      </c>
      <c r="C521" t="s">
        <v>893</v>
      </c>
      <c r="D521" t="s">
        <v>31</v>
      </c>
      <c r="E521" t="s">
        <v>24</v>
      </c>
      <c r="F521" t="s">
        <v>36</v>
      </c>
      <c r="G521" t="s">
        <v>68</v>
      </c>
      <c r="H521">
        <v>71.92</v>
      </c>
      <c r="I521">
        <v>8</v>
      </c>
      <c r="J521">
        <v>28.768000000000001</v>
      </c>
      <c r="K521">
        <v>575.36</v>
      </c>
      <c r="L521" s="1">
        <v>43764</v>
      </c>
      <c r="M521" s="2">
        <v>0.62847222222222221</v>
      </c>
      <c r="N521" t="s">
        <v>37</v>
      </c>
      <c r="O521">
        <v>359.6</v>
      </c>
      <c r="P521">
        <v>4.7619047620000003</v>
      </c>
      <c r="Q521">
        <v>215.76</v>
      </c>
      <c r="R521">
        <v>4.5149999999999997</v>
      </c>
      <c r="S521">
        <v>96.078500000000005</v>
      </c>
      <c r="T521">
        <v>19.763300000000001</v>
      </c>
    </row>
    <row r="522" spans="1:20" x14ac:dyDescent="0.3">
      <c r="A522" t="s">
        <v>894</v>
      </c>
      <c r="B522" t="s">
        <v>51</v>
      </c>
      <c r="C522" t="s">
        <v>895</v>
      </c>
      <c r="D522" t="s">
        <v>53</v>
      </c>
      <c r="E522" t="s">
        <v>32</v>
      </c>
      <c r="F522" t="s">
        <v>25</v>
      </c>
      <c r="G522" t="s">
        <v>60</v>
      </c>
      <c r="H522">
        <v>45.71</v>
      </c>
      <c r="I522">
        <v>4</v>
      </c>
      <c r="J522">
        <v>9.1419999999999995</v>
      </c>
      <c r="K522">
        <v>182.84</v>
      </c>
      <c r="L522" s="1">
        <v>43470</v>
      </c>
      <c r="M522" s="2">
        <v>0.44027777777777777</v>
      </c>
      <c r="N522" t="s">
        <v>37</v>
      </c>
      <c r="O522">
        <v>137.13</v>
      </c>
      <c r="P522">
        <v>4.7619047620000003</v>
      </c>
      <c r="Q522">
        <v>45.71</v>
      </c>
      <c r="R522">
        <v>9.24</v>
      </c>
      <c r="S522">
        <v>96.089100000000002</v>
      </c>
      <c r="T522">
        <v>21.9588</v>
      </c>
    </row>
    <row r="523" spans="1:20" x14ac:dyDescent="0.3">
      <c r="A523" t="s">
        <v>896</v>
      </c>
      <c r="B523" t="s">
        <v>29</v>
      </c>
      <c r="C523" t="s">
        <v>897</v>
      </c>
      <c r="D523" t="s">
        <v>31</v>
      </c>
      <c r="E523" t="s">
        <v>24</v>
      </c>
      <c r="F523" t="s">
        <v>25</v>
      </c>
      <c r="G523" t="s">
        <v>77</v>
      </c>
      <c r="H523">
        <v>83.17</v>
      </c>
      <c r="I523">
        <v>10</v>
      </c>
      <c r="J523">
        <v>41.585000000000001</v>
      </c>
      <c r="K523">
        <v>831.7</v>
      </c>
      <c r="L523" s="1">
        <v>43771</v>
      </c>
      <c r="M523" s="2">
        <v>0.47430555555555554</v>
      </c>
      <c r="N523" t="s">
        <v>33</v>
      </c>
      <c r="O523">
        <v>499.02</v>
      </c>
      <c r="P523">
        <v>4.7619047620000003</v>
      </c>
      <c r="Q523">
        <v>332.68</v>
      </c>
      <c r="R523">
        <v>7.665</v>
      </c>
      <c r="S523">
        <v>96.078500000000005</v>
      </c>
      <c r="T523">
        <v>19.763300000000001</v>
      </c>
    </row>
    <row r="524" spans="1:20" x14ac:dyDescent="0.3">
      <c r="A524" t="s">
        <v>898</v>
      </c>
      <c r="B524" t="s">
        <v>21</v>
      </c>
      <c r="C524" t="s">
        <v>899</v>
      </c>
      <c r="D524" t="s">
        <v>23</v>
      </c>
      <c r="E524" t="s">
        <v>24</v>
      </c>
      <c r="F524" t="s">
        <v>25</v>
      </c>
      <c r="G524" t="s">
        <v>77</v>
      </c>
      <c r="H524">
        <v>37.44</v>
      </c>
      <c r="I524">
        <v>8</v>
      </c>
      <c r="J524">
        <v>14.976000000000001</v>
      </c>
      <c r="K524">
        <v>299.52</v>
      </c>
      <c r="L524" s="1">
        <v>43630</v>
      </c>
      <c r="M524" s="2">
        <v>0.57986111111111116</v>
      </c>
      <c r="N524" t="s">
        <v>37</v>
      </c>
      <c r="O524">
        <v>224.64</v>
      </c>
      <c r="P524">
        <v>4.7619047620000003</v>
      </c>
      <c r="Q524">
        <v>74.88</v>
      </c>
      <c r="R524">
        <v>5.9</v>
      </c>
      <c r="S524">
        <v>96.173500000000004</v>
      </c>
      <c r="T524">
        <v>16.840900000000001</v>
      </c>
    </row>
    <row r="525" spans="1:20" x14ac:dyDescent="0.3">
      <c r="A525" t="s">
        <v>900</v>
      </c>
      <c r="B525" t="s">
        <v>29</v>
      </c>
      <c r="C525" t="s">
        <v>598</v>
      </c>
      <c r="D525" t="s">
        <v>31</v>
      </c>
      <c r="E525" t="s">
        <v>32</v>
      </c>
      <c r="F525" t="s">
        <v>36</v>
      </c>
      <c r="G525" t="s">
        <v>26</v>
      </c>
      <c r="H525">
        <v>62.87</v>
      </c>
      <c r="I525">
        <v>2</v>
      </c>
      <c r="J525">
        <v>6.2869999999999999</v>
      </c>
      <c r="K525">
        <v>125.74</v>
      </c>
      <c r="L525" s="1">
        <v>43566</v>
      </c>
      <c r="M525" s="2">
        <v>0.48819444444444443</v>
      </c>
      <c r="N525" t="s">
        <v>33</v>
      </c>
      <c r="O525">
        <v>125.74</v>
      </c>
      <c r="P525">
        <v>4.7619047620000003</v>
      </c>
      <c r="Q525">
        <v>0</v>
      </c>
      <c r="R525">
        <v>5.25</v>
      </c>
      <c r="S525">
        <v>96.078500000000005</v>
      </c>
      <c r="T525">
        <v>19.763300000000001</v>
      </c>
    </row>
    <row r="526" spans="1:20" x14ac:dyDescent="0.3">
      <c r="A526" t="s">
        <v>901</v>
      </c>
      <c r="B526" t="s">
        <v>21</v>
      </c>
      <c r="C526" t="s">
        <v>902</v>
      </c>
      <c r="D526" t="s">
        <v>23</v>
      </c>
      <c r="E526" t="s">
        <v>32</v>
      </c>
      <c r="F526" t="s">
        <v>36</v>
      </c>
      <c r="G526" t="s">
        <v>63</v>
      </c>
      <c r="H526">
        <v>81.709999999999994</v>
      </c>
      <c r="I526">
        <v>6</v>
      </c>
      <c r="J526">
        <v>24.513000000000002</v>
      </c>
      <c r="K526">
        <v>490.26</v>
      </c>
      <c r="L526" s="1">
        <v>43799</v>
      </c>
      <c r="M526" s="2">
        <v>0.60833333333333328</v>
      </c>
      <c r="N526" t="s">
        <v>37</v>
      </c>
      <c r="O526">
        <v>490.26</v>
      </c>
      <c r="P526">
        <v>4.7619047620000003</v>
      </c>
      <c r="Q526">
        <v>0</v>
      </c>
      <c r="R526">
        <v>8</v>
      </c>
      <c r="S526">
        <v>96.173500000000004</v>
      </c>
      <c r="T526">
        <v>16.840900000000001</v>
      </c>
    </row>
    <row r="527" spans="1:20" x14ac:dyDescent="0.3">
      <c r="A527" t="s">
        <v>903</v>
      </c>
      <c r="B527" t="s">
        <v>21</v>
      </c>
      <c r="C527" t="s">
        <v>786</v>
      </c>
      <c r="D527" t="s">
        <v>23</v>
      </c>
      <c r="E527" t="s">
        <v>24</v>
      </c>
      <c r="F527" t="s">
        <v>25</v>
      </c>
      <c r="G527" t="s">
        <v>68</v>
      </c>
      <c r="H527">
        <v>91.41</v>
      </c>
      <c r="I527">
        <v>7</v>
      </c>
      <c r="J527">
        <v>31.993500000000001</v>
      </c>
      <c r="K527">
        <v>639.87</v>
      </c>
      <c r="L527" s="1">
        <v>43735</v>
      </c>
      <c r="M527" s="2">
        <v>0.66874999999999996</v>
      </c>
      <c r="N527" t="s">
        <v>27</v>
      </c>
      <c r="O527">
        <v>457.05</v>
      </c>
      <c r="P527">
        <v>4.7619047620000003</v>
      </c>
      <c r="Q527">
        <v>182.82</v>
      </c>
      <c r="R527">
        <v>7.1</v>
      </c>
      <c r="S527">
        <v>96.173500000000004</v>
      </c>
      <c r="T527">
        <v>16.840900000000001</v>
      </c>
    </row>
    <row r="528" spans="1:20" x14ac:dyDescent="0.3">
      <c r="A528" t="s">
        <v>904</v>
      </c>
      <c r="B528" t="s">
        <v>51</v>
      </c>
      <c r="C528" t="s">
        <v>430</v>
      </c>
      <c r="D528" t="s">
        <v>53</v>
      </c>
      <c r="E528" t="s">
        <v>32</v>
      </c>
      <c r="F528" t="s">
        <v>36</v>
      </c>
      <c r="G528" t="s">
        <v>100</v>
      </c>
      <c r="H528">
        <v>39.21</v>
      </c>
      <c r="I528">
        <v>6</v>
      </c>
      <c r="J528">
        <v>11.763</v>
      </c>
      <c r="K528">
        <v>235.26</v>
      </c>
      <c r="L528" s="1">
        <v>43516</v>
      </c>
      <c r="M528" s="2">
        <v>0.8354166666666667</v>
      </c>
      <c r="N528" t="s">
        <v>37</v>
      </c>
      <c r="O528">
        <v>156.84</v>
      </c>
      <c r="P528">
        <v>4.7619047620000003</v>
      </c>
      <c r="Q528">
        <v>78.42</v>
      </c>
      <c r="R528">
        <v>10</v>
      </c>
      <c r="S528">
        <v>96.089100000000002</v>
      </c>
      <c r="T528">
        <v>21.9588</v>
      </c>
    </row>
    <row r="529" spans="1:20" x14ac:dyDescent="0.3">
      <c r="A529" t="s">
        <v>905</v>
      </c>
      <c r="B529" t="s">
        <v>51</v>
      </c>
      <c r="C529" t="s">
        <v>805</v>
      </c>
      <c r="D529" t="s">
        <v>53</v>
      </c>
      <c r="E529" t="s">
        <v>24</v>
      </c>
      <c r="F529" t="s">
        <v>36</v>
      </c>
      <c r="G529" t="s">
        <v>100</v>
      </c>
      <c r="H529">
        <v>59.86</v>
      </c>
      <c r="I529">
        <v>4</v>
      </c>
      <c r="J529">
        <v>11.972</v>
      </c>
      <c r="K529">
        <v>239.44</v>
      </c>
      <c r="L529" s="1">
        <v>43700</v>
      </c>
      <c r="M529" s="2">
        <v>0.62152777777777779</v>
      </c>
      <c r="N529" t="s">
        <v>27</v>
      </c>
      <c r="O529">
        <v>119.72</v>
      </c>
      <c r="P529">
        <v>4.7619047620000003</v>
      </c>
      <c r="Q529">
        <v>119.72</v>
      </c>
      <c r="R529">
        <v>8.0399999999999991</v>
      </c>
      <c r="S529">
        <v>96.089100000000002</v>
      </c>
      <c r="T529">
        <v>21.9588</v>
      </c>
    </row>
    <row r="530" spans="1:20" x14ac:dyDescent="0.3">
      <c r="A530" t="s">
        <v>906</v>
      </c>
      <c r="B530" t="s">
        <v>51</v>
      </c>
      <c r="C530" t="s">
        <v>134</v>
      </c>
      <c r="D530" t="s">
        <v>53</v>
      </c>
      <c r="E530" t="s">
        <v>24</v>
      </c>
      <c r="F530" t="s">
        <v>25</v>
      </c>
      <c r="G530" t="s">
        <v>63</v>
      </c>
      <c r="H530">
        <v>54.36</v>
      </c>
      <c r="I530">
        <v>20</v>
      </c>
      <c r="J530">
        <v>54.36</v>
      </c>
      <c r="K530">
        <v>1087.2</v>
      </c>
      <c r="L530" s="1">
        <v>43587</v>
      </c>
      <c r="M530" s="2">
        <v>0.4777777777777778</v>
      </c>
      <c r="N530" t="s">
        <v>37</v>
      </c>
      <c r="O530">
        <v>543.6</v>
      </c>
      <c r="P530">
        <v>4.7619047620000003</v>
      </c>
      <c r="Q530">
        <v>543.6</v>
      </c>
      <c r="R530">
        <v>7.32</v>
      </c>
      <c r="S530">
        <v>96.089100000000002</v>
      </c>
      <c r="T530">
        <v>21.9588</v>
      </c>
    </row>
    <row r="531" spans="1:20" x14ac:dyDescent="0.3">
      <c r="A531" t="s">
        <v>907</v>
      </c>
      <c r="B531" t="s">
        <v>21</v>
      </c>
      <c r="C531" t="s">
        <v>326</v>
      </c>
      <c r="D531" t="s">
        <v>23</v>
      </c>
      <c r="E531" t="s">
        <v>32</v>
      </c>
      <c r="F531" t="s">
        <v>36</v>
      </c>
      <c r="G531" t="s">
        <v>68</v>
      </c>
      <c r="H531">
        <v>98.09</v>
      </c>
      <c r="I531">
        <v>9</v>
      </c>
      <c r="J531">
        <v>44.140500000000003</v>
      </c>
      <c r="K531">
        <v>882.81</v>
      </c>
      <c r="L531" s="1">
        <v>43474</v>
      </c>
      <c r="M531" s="2">
        <v>0.82013888888888886</v>
      </c>
      <c r="N531" t="s">
        <v>33</v>
      </c>
      <c r="O531">
        <v>882.81</v>
      </c>
      <c r="P531">
        <v>4.7619047620000003</v>
      </c>
      <c r="Q531">
        <v>0</v>
      </c>
      <c r="R531">
        <v>9.3000000000000007</v>
      </c>
      <c r="S531">
        <v>96.173500000000004</v>
      </c>
      <c r="T531">
        <v>16.840900000000001</v>
      </c>
    </row>
    <row r="532" spans="1:20" x14ac:dyDescent="0.3">
      <c r="A532" t="s">
        <v>908</v>
      </c>
      <c r="B532" t="s">
        <v>21</v>
      </c>
      <c r="C532" t="s">
        <v>543</v>
      </c>
      <c r="D532" t="s">
        <v>23</v>
      </c>
      <c r="E532" t="s">
        <v>32</v>
      </c>
      <c r="F532" t="s">
        <v>36</v>
      </c>
      <c r="G532" t="s">
        <v>26</v>
      </c>
      <c r="H532">
        <v>25.43</v>
      </c>
      <c r="I532">
        <v>6</v>
      </c>
      <c r="J532">
        <v>7.6289999999999996</v>
      </c>
      <c r="K532">
        <v>152.58000000000001</v>
      </c>
      <c r="L532" s="1">
        <v>43772</v>
      </c>
      <c r="M532" s="2">
        <v>0.79236111111111107</v>
      </c>
      <c r="N532" t="s">
        <v>27</v>
      </c>
      <c r="O532">
        <v>152.58000000000001</v>
      </c>
      <c r="P532">
        <v>4.7619047620000003</v>
      </c>
      <c r="Q532">
        <v>0</v>
      </c>
      <c r="R532">
        <v>7</v>
      </c>
      <c r="S532">
        <v>96.173500000000004</v>
      </c>
      <c r="T532">
        <v>16.840900000000001</v>
      </c>
    </row>
    <row r="533" spans="1:20" x14ac:dyDescent="0.3">
      <c r="A533" t="s">
        <v>909</v>
      </c>
      <c r="B533" t="s">
        <v>21</v>
      </c>
      <c r="C533" t="s">
        <v>65</v>
      </c>
      <c r="D533" t="s">
        <v>23</v>
      </c>
      <c r="E533" t="s">
        <v>24</v>
      </c>
      <c r="F533" t="s">
        <v>36</v>
      </c>
      <c r="G533" t="s">
        <v>100</v>
      </c>
      <c r="H533">
        <v>86.68</v>
      </c>
      <c r="I533">
        <v>11</v>
      </c>
      <c r="J533">
        <v>47.673999999999999</v>
      </c>
      <c r="K533">
        <v>953.48</v>
      </c>
      <c r="L533" s="1">
        <v>43528</v>
      </c>
      <c r="M533" s="2">
        <v>0.75277777777777777</v>
      </c>
      <c r="N533" t="s">
        <v>37</v>
      </c>
      <c r="O533">
        <v>693.44</v>
      </c>
      <c r="P533">
        <v>4.7619047620000003</v>
      </c>
      <c r="Q533">
        <v>260.04000000000002</v>
      </c>
      <c r="R533">
        <v>7.2</v>
      </c>
      <c r="S533">
        <v>96.173500000000004</v>
      </c>
      <c r="T533">
        <v>16.840900000000001</v>
      </c>
    </row>
    <row r="534" spans="1:20" x14ac:dyDescent="0.3">
      <c r="A534" t="s">
        <v>910</v>
      </c>
      <c r="B534" t="s">
        <v>51</v>
      </c>
      <c r="C534" t="s">
        <v>629</v>
      </c>
      <c r="D534" t="s">
        <v>53</v>
      </c>
      <c r="E534" t="s">
        <v>32</v>
      </c>
      <c r="F534" t="s">
        <v>36</v>
      </c>
      <c r="G534" t="s">
        <v>60</v>
      </c>
      <c r="H534">
        <v>22.95</v>
      </c>
      <c r="I534">
        <v>14</v>
      </c>
      <c r="J534">
        <v>16.065000000000001</v>
      </c>
      <c r="K534">
        <v>321.3</v>
      </c>
      <c r="L534" s="1">
        <v>43519</v>
      </c>
      <c r="M534" s="2">
        <v>0.80555555555555558</v>
      </c>
      <c r="N534" t="s">
        <v>27</v>
      </c>
      <c r="O534">
        <v>229.5</v>
      </c>
      <c r="P534">
        <v>4.7619047620000003</v>
      </c>
      <c r="Q534">
        <v>91.8</v>
      </c>
      <c r="R534">
        <v>9.84</v>
      </c>
      <c r="S534">
        <v>96.089100000000002</v>
      </c>
      <c r="T534">
        <v>21.9588</v>
      </c>
    </row>
    <row r="535" spans="1:20" x14ac:dyDescent="0.3">
      <c r="A535" t="s">
        <v>911</v>
      </c>
      <c r="B535" t="s">
        <v>29</v>
      </c>
      <c r="C535" t="s">
        <v>109</v>
      </c>
      <c r="D535" t="s">
        <v>31</v>
      </c>
      <c r="E535" t="s">
        <v>32</v>
      </c>
      <c r="F535" t="s">
        <v>25</v>
      </c>
      <c r="G535" t="s">
        <v>63</v>
      </c>
      <c r="H535">
        <v>16.309999999999999</v>
      </c>
      <c r="I535">
        <v>11</v>
      </c>
      <c r="J535">
        <v>8.9704999999999995</v>
      </c>
      <c r="K535">
        <v>179.41</v>
      </c>
      <c r="L535" s="1">
        <v>43500</v>
      </c>
      <c r="M535" s="2">
        <v>0.43819444444444444</v>
      </c>
      <c r="N535" t="s">
        <v>27</v>
      </c>
      <c r="O535">
        <v>146.79</v>
      </c>
      <c r="P535">
        <v>4.7619047620000003</v>
      </c>
      <c r="Q535">
        <v>32.619999999999997</v>
      </c>
      <c r="R535">
        <v>8.82</v>
      </c>
      <c r="S535">
        <v>96.078500000000005</v>
      </c>
      <c r="T535">
        <v>19.763300000000001</v>
      </c>
    </row>
    <row r="536" spans="1:20" x14ac:dyDescent="0.3">
      <c r="A536" t="s">
        <v>912</v>
      </c>
      <c r="B536" t="s">
        <v>21</v>
      </c>
      <c r="C536" t="s">
        <v>913</v>
      </c>
      <c r="D536" t="s">
        <v>23</v>
      </c>
      <c r="E536" t="s">
        <v>32</v>
      </c>
      <c r="F536" t="s">
        <v>25</v>
      </c>
      <c r="G536" t="s">
        <v>77</v>
      </c>
      <c r="H536">
        <v>28.32</v>
      </c>
      <c r="I536">
        <v>5</v>
      </c>
      <c r="J536">
        <v>7.08</v>
      </c>
      <c r="K536">
        <v>141.6</v>
      </c>
      <c r="L536" s="1">
        <v>43696</v>
      </c>
      <c r="M536" s="2">
        <v>0.56111111111111112</v>
      </c>
      <c r="N536" t="s">
        <v>27</v>
      </c>
      <c r="O536">
        <v>141.6</v>
      </c>
      <c r="P536">
        <v>4.7619047620000003</v>
      </c>
      <c r="Q536">
        <v>0</v>
      </c>
      <c r="R536">
        <v>6.2</v>
      </c>
      <c r="S536">
        <v>96.173500000000004</v>
      </c>
      <c r="T536">
        <v>16.840900000000001</v>
      </c>
    </row>
    <row r="537" spans="1:20" x14ac:dyDescent="0.3">
      <c r="A537" t="s">
        <v>914</v>
      </c>
      <c r="B537" t="s">
        <v>29</v>
      </c>
      <c r="C537" t="s">
        <v>915</v>
      </c>
      <c r="D537" t="s">
        <v>31</v>
      </c>
      <c r="E537" t="s">
        <v>32</v>
      </c>
      <c r="F537" t="s">
        <v>36</v>
      </c>
      <c r="G537" t="s">
        <v>77</v>
      </c>
      <c r="H537">
        <v>16.670000000000002</v>
      </c>
      <c r="I537">
        <v>8</v>
      </c>
      <c r="J537">
        <v>6.6680000000000001</v>
      </c>
      <c r="K537">
        <v>133.36000000000001</v>
      </c>
      <c r="L537" s="1">
        <v>43753</v>
      </c>
      <c r="M537" s="2">
        <v>0.48333333333333334</v>
      </c>
      <c r="N537" t="s">
        <v>27</v>
      </c>
      <c r="O537">
        <v>116.69</v>
      </c>
      <c r="P537">
        <v>4.7619047620000003</v>
      </c>
      <c r="Q537">
        <v>16.670000000000002</v>
      </c>
      <c r="R537">
        <v>7.77</v>
      </c>
      <c r="S537">
        <v>96.078500000000005</v>
      </c>
      <c r="T537">
        <v>19.763300000000001</v>
      </c>
    </row>
    <row r="538" spans="1:20" x14ac:dyDescent="0.3">
      <c r="A538" t="s">
        <v>916</v>
      </c>
      <c r="B538" t="s">
        <v>51</v>
      </c>
      <c r="C538" t="s">
        <v>629</v>
      </c>
      <c r="D538" t="s">
        <v>53</v>
      </c>
      <c r="E538" t="s">
        <v>24</v>
      </c>
      <c r="F538" t="s">
        <v>25</v>
      </c>
      <c r="G538" t="s">
        <v>100</v>
      </c>
      <c r="H538">
        <v>73.959999999999994</v>
      </c>
      <c r="I538">
        <v>1</v>
      </c>
      <c r="J538">
        <v>3.698</v>
      </c>
      <c r="K538">
        <v>73.959999999999994</v>
      </c>
      <c r="L538" s="1">
        <v>43513</v>
      </c>
      <c r="M538" s="2">
        <v>0.48055555555555557</v>
      </c>
      <c r="N538" t="s">
        <v>37</v>
      </c>
      <c r="O538">
        <v>73.959999999999994</v>
      </c>
      <c r="P538">
        <v>4.7619047620000003</v>
      </c>
      <c r="Q538">
        <v>0</v>
      </c>
      <c r="R538">
        <v>6</v>
      </c>
      <c r="S538">
        <v>96.089100000000002</v>
      </c>
      <c r="T538">
        <v>21.9588</v>
      </c>
    </row>
    <row r="539" spans="1:20" x14ac:dyDescent="0.3">
      <c r="A539" t="s">
        <v>917</v>
      </c>
      <c r="B539" t="s">
        <v>21</v>
      </c>
      <c r="C539" t="s">
        <v>918</v>
      </c>
      <c r="D539" t="s">
        <v>23</v>
      </c>
      <c r="E539" t="s">
        <v>32</v>
      </c>
      <c r="F539" t="s">
        <v>36</v>
      </c>
      <c r="G539" t="s">
        <v>77</v>
      </c>
      <c r="H539">
        <v>97.94</v>
      </c>
      <c r="I539">
        <v>1</v>
      </c>
      <c r="J539">
        <v>4.8970000000000002</v>
      </c>
      <c r="K539">
        <v>97.94</v>
      </c>
      <c r="L539" s="1">
        <v>43468</v>
      </c>
      <c r="M539" s="2">
        <v>0.48888888888888887</v>
      </c>
      <c r="N539" t="s">
        <v>27</v>
      </c>
      <c r="O539">
        <v>97.94</v>
      </c>
      <c r="P539">
        <v>4.7619047620000003</v>
      </c>
      <c r="Q539">
        <v>0</v>
      </c>
      <c r="R539">
        <v>6.9</v>
      </c>
      <c r="S539">
        <v>96.173500000000004</v>
      </c>
      <c r="T539">
        <v>16.840900000000001</v>
      </c>
    </row>
    <row r="540" spans="1:20" x14ac:dyDescent="0.3">
      <c r="A540" t="s">
        <v>919</v>
      </c>
      <c r="B540" t="s">
        <v>21</v>
      </c>
      <c r="C540" t="s">
        <v>920</v>
      </c>
      <c r="D540" t="s">
        <v>23</v>
      </c>
      <c r="E540" t="s">
        <v>32</v>
      </c>
      <c r="F540" t="s">
        <v>25</v>
      </c>
      <c r="G540" t="s">
        <v>100</v>
      </c>
      <c r="H540">
        <v>73.05</v>
      </c>
      <c r="I540">
        <v>4</v>
      </c>
      <c r="J540">
        <v>14.61</v>
      </c>
      <c r="K540">
        <v>292.2</v>
      </c>
      <c r="L540" s="1">
        <v>43811</v>
      </c>
      <c r="M540" s="2">
        <v>0.71944444444444444</v>
      </c>
      <c r="N540" t="s">
        <v>37</v>
      </c>
      <c r="O540">
        <v>292.2</v>
      </c>
      <c r="P540">
        <v>4.7619047620000003</v>
      </c>
      <c r="Q540">
        <v>0</v>
      </c>
      <c r="R540">
        <v>4.9000000000000004</v>
      </c>
      <c r="S540">
        <v>96.173500000000004</v>
      </c>
      <c r="T540">
        <v>16.840900000000001</v>
      </c>
    </row>
    <row r="541" spans="1:20" x14ac:dyDescent="0.3">
      <c r="A541" t="s">
        <v>921</v>
      </c>
      <c r="B541" t="s">
        <v>29</v>
      </c>
      <c r="C541" t="s">
        <v>156</v>
      </c>
      <c r="D541" t="s">
        <v>31</v>
      </c>
      <c r="E541" t="s">
        <v>24</v>
      </c>
      <c r="F541" t="s">
        <v>25</v>
      </c>
      <c r="G541" t="s">
        <v>63</v>
      </c>
      <c r="H541">
        <v>87.48</v>
      </c>
      <c r="I541">
        <v>10</v>
      </c>
      <c r="J541">
        <v>43.74</v>
      </c>
      <c r="K541">
        <v>874.8</v>
      </c>
      <c r="L541" s="1">
        <v>43576</v>
      </c>
      <c r="M541" s="2">
        <v>0.77986111111111112</v>
      </c>
      <c r="N541" t="s">
        <v>27</v>
      </c>
      <c r="O541">
        <v>524.88</v>
      </c>
      <c r="P541">
        <v>4.7619047620000003</v>
      </c>
      <c r="Q541">
        <v>349.92</v>
      </c>
      <c r="R541">
        <v>5.3550000000000004</v>
      </c>
      <c r="S541">
        <v>96.078500000000005</v>
      </c>
      <c r="T541">
        <v>19.763300000000001</v>
      </c>
    </row>
    <row r="542" spans="1:20" x14ac:dyDescent="0.3">
      <c r="A542" t="s">
        <v>922</v>
      </c>
      <c r="B542" t="s">
        <v>21</v>
      </c>
      <c r="C542" t="s">
        <v>786</v>
      </c>
      <c r="D542" t="s">
        <v>23</v>
      </c>
      <c r="E542" t="s">
        <v>32</v>
      </c>
      <c r="F542" t="s">
        <v>36</v>
      </c>
      <c r="G542" t="s">
        <v>77</v>
      </c>
      <c r="H542">
        <v>30.68</v>
      </c>
      <c r="I542">
        <v>3</v>
      </c>
      <c r="J542">
        <v>4.6020000000000003</v>
      </c>
      <c r="K542">
        <v>92.04</v>
      </c>
      <c r="L542" s="1">
        <v>43717</v>
      </c>
      <c r="M542" s="2">
        <v>0.45833333333333331</v>
      </c>
      <c r="N542" t="s">
        <v>27</v>
      </c>
      <c r="O542">
        <v>92.04</v>
      </c>
      <c r="P542">
        <v>4.7619047620000003</v>
      </c>
      <c r="Q542">
        <v>0</v>
      </c>
      <c r="R542">
        <v>9.1</v>
      </c>
      <c r="S542">
        <v>96.173500000000004</v>
      </c>
      <c r="T542">
        <v>16.840900000000001</v>
      </c>
    </row>
    <row r="543" spans="1:20" x14ac:dyDescent="0.3">
      <c r="A543" t="s">
        <v>923</v>
      </c>
      <c r="B543" t="s">
        <v>29</v>
      </c>
      <c r="C543" t="s">
        <v>924</v>
      </c>
      <c r="D543" t="s">
        <v>31</v>
      </c>
      <c r="E543" t="s">
        <v>24</v>
      </c>
      <c r="F543" t="s">
        <v>36</v>
      </c>
      <c r="G543" t="s">
        <v>26</v>
      </c>
      <c r="H543">
        <v>75.88</v>
      </c>
      <c r="I543">
        <v>1</v>
      </c>
      <c r="J543">
        <v>3.794</v>
      </c>
      <c r="K543">
        <v>75.88</v>
      </c>
      <c r="L543" s="1">
        <v>43796</v>
      </c>
      <c r="M543" s="2">
        <v>0.4375</v>
      </c>
      <c r="N543" t="s">
        <v>37</v>
      </c>
      <c r="O543">
        <v>75.88</v>
      </c>
      <c r="P543">
        <v>4.7619047620000003</v>
      </c>
      <c r="Q543">
        <v>0</v>
      </c>
      <c r="R543">
        <v>7.4550000000000001</v>
      </c>
      <c r="S543">
        <v>96.078500000000005</v>
      </c>
      <c r="T543">
        <v>19.763300000000001</v>
      </c>
    </row>
    <row r="544" spans="1:20" x14ac:dyDescent="0.3">
      <c r="A544" t="s">
        <v>925</v>
      </c>
      <c r="B544" t="s">
        <v>51</v>
      </c>
      <c r="C544" t="s">
        <v>926</v>
      </c>
      <c r="D544" t="s">
        <v>53</v>
      </c>
      <c r="E544" t="s">
        <v>24</v>
      </c>
      <c r="F544" t="s">
        <v>25</v>
      </c>
      <c r="G544" t="s">
        <v>68</v>
      </c>
      <c r="H544">
        <v>20.18</v>
      </c>
      <c r="I544">
        <v>8</v>
      </c>
      <c r="J544">
        <v>8.0719999999999992</v>
      </c>
      <c r="K544">
        <v>161.44</v>
      </c>
      <c r="L544" s="1">
        <v>43656</v>
      </c>
      <c r="M544" s="2">
        <v>0.50972222222222219</v>
      </c>
      <c r="N544" t="s">
        <v>37</v>
      </c>
      <c r="O544">
        <v>80.72</v>
      </c>
      <c r="P544">
        <v>4.7619047620000003</v>
      </c>
      <c r="Q544">
        <v>80.72</v>
      </c>
      <c r="R544">
        <v>6</v>
      </c>
      <c r="S544">
        <v>96.089100000000002</v>
      </c>
      <c r="T544">
        <v>21.9588</v>
      </c>
    </row>
    <row r="545" spans="1:20" x14ac:dyDescent="0.3">
      <c r="A545" t="s">
        <v>927</v>
      </c>
      <c r="B545" t="s">
        <v>29</v>
      </c>
      <c r="C545" t="s">
        <v>209</v>
      </c>
      <c r="D545" t="s">
        <v>31</v>
      </c>
      <c r="E545" t="s">
        <v>24</v>
      </c>
      <c r="F545" t="s">
        <v>36</v>
      </c>
      <c r="G545" t="s">
        <v>60</v>
      </c>
      <c r="H545">
        <v>18.77</v>
      </c>
      <c r="I545">
        <v>10</v>
      </c>
      <c r="J545">
        <v>9.3849999999999998</v>
      </c>
      <c r="K545">
        <v>187.7</v>
      </c>
      <c r="L545" s="1">
        <v>43548</v>
      </c>
      <c r="M545" s="2">
        <v>0.69652777777777775</v>
      </c>
      <c r="N545" t="s">
        <v>37</v>
      </c>
      <c r="O545">
        <v>112.62</v>
      </c>
      <c r="P545">
        <v>4.7619047620000003</v>
      </c>
      <c r="Q545">
        <v>75.08</v>
      </c>
      <c r="R545">
        <v>5.7750000000000004</v>
      </c>
      <c r="S545">
        <v>96.078500000000005</v>
      </c>
      <c r="T545">
        <v>19.763300000000001</v>
      </c>
    </row>
    <row r="546" spans="1:20" x14ac:dyDescent="0.3">
      <c r="A546" t="s">
        <v>928</v>
      </c>
      <c r="B546" t="s">
        <v>51</v>
      </c>
      <c r="C546" t="s">
        <v>469</v>
      </c>
      <c r="D546" t="s">
        <v>53</v>
      </c>
      <c r="E546" t="s">
        <v>32</v>
      </c>
      <c r="F546" t="s">
        <v>25</v>
      </c>
      <c r="G546" t="s">
        <v>63</v>
      </c>
      <c r="H546">
        <v>71.2</v>
      </c>
      <c r="I546">
        <v>1</v>
      </c>
      <c r="J546">
        <v>3.56</v>
      </c>
      <c r="K546">
        <v>71.2</v>
      </c>
      <c r="L546" s="1">
        <v>43617</v>
      </c>
      <c r="M546" s="2">
        <v>0.86111111111111116</v>
      </c>
      <c r="N546" t="s">
        <v>37</v>
      </c>
      <c r="O546">
        <v>71.2</v>
      </c>
      <c r="P546">
        <v>4.7619047620000003</v>
      </c>
      <c r="Q546">
        <v>0</v>
      </c>
      <c r="R546">
        <v>10</v>
      </c>
      <c r="S546">
        <v>96.089100000000002</v>
      </c>
      <c r="T546">
        <v>21.9588</v>
      </c>
    </row>
    <row r="547" spans="1:20" x14ac:dyDescent="0.3">
      <c r="A547" t="s">
        <v>929</v>
      </c>
      <c r="B547" t="s">
        <v>51</v>
      </c>
      <c r="C547" t="s">
        <v>221</v>
      </c>
      <c r="D547" t="s">
        <v>53</v>
      </c>
      <c r="E547" t="s">
        <v>24</v>
      </c>
      <c r="F547" t="s">
        <v>36</v>
      </c>
      <c r="G547" t="s">
        <v>68</v>
      </c>
      <c r="H547">
        <v>38.81</v>
      </c>
      <c r="I547">
        <v>8</v>
      </c>
      <c r="J547">
        <v>15.523999999999999</v>
      </c>
      <c r="K547">
        <v>310.48</v>
      </c>
      <c r="L547" s="1">
        <v>43764</v>
      </c>
      <c r="M547" s="2">
        <v>0.56944444444444442</v>
      </c>
      <c r="N547" t="s">
        <v>27</v>
      </c>
      <c r="O547">
        <v>155.24</v>
      </c>
      <c r="P547">
        <v>4.7619047620000003</v>
      </c>
      <c r="Q547">
        <v>155.24</v>
      </c>
      <c r="R547">
        <v>5.88</v>
      </c>
      <c r="S547">
        <v>96.089100000000002</v>
      </c>
      <c r="T547">
        <v>21.9588</v>
      </c>
    </row>
    <row r="548" spans="1:20" x14ac:dyDescent="0.3">
      <c r="A548" t="s">
        <v>930</v>
      </c>
      <c r="B548" t="s">
        <v>21</v>
      </c>
      <c r="C548" t="s">
        <v>213</v>
      </c>
      <c r="D548" t="s">
        <v>23</v>
      </c>
      <c r="E548" t="s">
        <v>32</v>
      </c>
      <c r="F548" t="s">
        <v>25</v>
      </c>
      <c r="G548" t="s">
        <v>68</v>
      </c>
      <c r="H548">
        <v>29.42</v>
      </c>
      <c r="I548">
        <v>10</v>
      </c>
      <c r="J548">
        <v>14.71</v>
      </c>
      <c r="K548">
        <v>294.2</v>
      </c>
      <c r="L548" s="1">
        <v>43713</v>
      </c>
      <c r="M548" s="2">
        <v>0.68263888888888891</v>
      </c>
      <c r="N548" t="s">
        <v>27</v>
      </c>
      <c r="O548">
        <v>294.2</v>
      </c>
      <c r="P548">
        <v>4.7619047620000003</v>
      </c>
      <c r="Q548">
        <v>0</v>
      </c>
      <c r="R548">
        <v>8.9</v>
      </c>
      <c r="S548">
        <v>96.173500000000004</v>
      </c>
      <c r="T548">
        <v>16.840900000000001</v>
      </c>
    </row>
    <row r="549" spans="1:20" x14ac:dyDescent="0.3">
      <c r="A549" t="s">
        <v>931</v>
      </c>
      <c r="B549" t="s">
        <v>21</v>
      </c>
      <c r="C549" t="s">
        <v>472</v>
      </c>
      <c r="D549" t="s">
        <v>23</v>
      </c>
      <c r="E549" t="s">
        <v>32</v>
      </c>
      <c r="F549" t="s">
        <v>36</v>
      </c>
      <c r="G549" t="s">
        <v>68</v>
      </c>
      <c r="H549">
        <v>60.95</v>
      </c>
      <c r="I549">
        <v>9</v>
      </c>
      <c r="J549">
        <v>27.427499999999998</v>
      </c>
      <c r="K549">
        <v>548.54999999999995</v>
      </c>
      <c r="L549" s="1">
        <v>43674</v>
      </c>
      <c r="M549" s="2">
        <v>0.50555555555555554</v>
      </c>
      <c r="N549" t="s">
        <v>37</v>
      </c>
      <c r="O549">
        <v>548.54999999999995</v>
      </c>
      <c r="P549">
        <v>4.7619047620000003</v>
      </c>
      <c r="Q549">
        <v>0</v>
      </c>
      <c r="R549">
        <v>6</v>
      </c>
      <c r="S549">
        <v>96.173500000000004</v>
      </c>
      <c r="T549">
        <v>16.840900000000001</v>
      </c>
    </row>
    <row r="550" spans="1:20" x14ac:dyDescent="0.3">
      <c r="A550" t="s">
        <v>932</v>
      </c>
      <c r="B550" t="s">
        <v>51</v>
      </c>
      <c r="C550" t="s">
        <v>734</v>
      </c>
      <c r="D550" t="s">
        <v>53</v>
      </c>
      <c r="E550" t="s">
        <v>32</v>
      </c>
      <c r="F550" t="s">
        <v>25</v>
      </c>
      <c r="G550" t="s">
        <v>68</v>
      </c>
      <c r="H550">
        <v>51.54</v>
      </c>
      <c r="I550">
        <v>7</v>
      </c>
      <c r="J550">
        <v>18.039000000000001</v>
      </c>
      <c r="K550">
        <v>360.78</v>
      </c>
      <c r="L550" s="1">
        <v>43583</v>
      </c>
      <c r="M550" s="2">
        <v>0.73958333333333337</v>
      </c>
      <c r="N550" t="s">
        <v>33</v>
      </c>
      <c r="O550">
        <v>257.7</v>
      </c>
      <c r="P550">
        <v>4.7619047620000003</v>
      </c>
      <c r="Q550">
        <v>103.08</v>
      </c>
      <c r="R550">
        <v>5.04</v>
      </c>
      <c r="S550">
        <v>96.089100000000002</v>
      </c>
      <c r="T550">
        <v>21.9588</v>
      </c>
    </row>
    <row r="551" spans="1:20" x14ac:dyDescent="0.3">
      <c r="A551" t="s">
        <v>933</v>
      </c>
      <c r="B551" t="s">
        <v>21</v>
      </c>
      <c r="C551" t="s">
        <v>934</v>
      </c>
      <c r="D551" t="s">
        <v>23</v>
      </c>
      <c r="E551" t="s">
        <v>32</v>
      </c>
      <c r="F551" t="s">
        <v>25</v>
      </c>
      <c r="G551" t="s">
        <v>68</v>
      </c>
      <c r="H551">
        <v>66.06</v>
      </c>
      <c r="I551">
        <v>6</v>
      </c>
      <c r="J551">
        <v>19.818000000000001</v>
      </c>
      <c r="K551">
        <v>396.36</v>
      </c>
      <c r="L551" s="1">
        <v>43483</v>
      </c>
      <c r="M551" s="2">
        <v>0.43611111111111112</v>
      </c>
      <c r="N551" t="s">
        <v>33</v>
      </c>
      <c r="O551">
        <v>396.36</v>
      </c>
      <c r="P551">
        <v>4.7619047620000003</v>
      </c>
      <c r="Q551">
        <v>0</v>
      </c>
      <c r="R551">
        <v>7.3</v>
      </c>
      <c r="S551">
        <v>96.173500000000004</v>
      </c>
      <c r="T551">
        <v>16.840900000000001</v>
      </c>
    </row>
    <row r="552" spans="1:20" x14ac:dyDescent="0.3">
      <c r="A552" t="s">
        <v>935</v>
      </c>
      <c r="B552" t="s">
        <v>51</v>
      </c>
      <c r="C552" t="s">
        <v>440</v>
      </c>
      <c r="D552" t="s">
        <v>53</v>
      </c>
      <c r="E552" t="s">
        <v>32</v>
      </c>
      <c r="F552" t="s">
        <v>36</v>
      </c>
      <c r="G552" t="s">
        <v>68</v>
      </c>
      <c r="H552">
        <v>57.27</v>
      </c>
      <c r="I552">
        <v>4</v>
      </c>
      <c r="J552">
        <v>11.454000000000001</v>
      </c>
      <c r="K552">
        <v>229.08</v>
      </c>
      <c r="L552" s="1">
        <v>43512</v>
      </c>
      <c r="M552" s="2">
        <v>0.85486111111111107</v>
      </c>
      <c r="N552" t="s">
        <v>27</v>
      </c>
      <c r="O552">
        <v>171.81</v>
      </c>
      <c r="P552">
        <v>4.7619047620000003</v>
      </c>
      <c r="Q552">
        <v>57.27</v>
      </c>
      <c r="R552">
        <v>7.8</v>
      </c>
      <c r="S552">
        <v>96.089100000000002</v>
      </c>
      <c r="T552">
        <v>21.9588</v>
      </c>
    </row>
    <row r="553" spans="1:20" x14ac:dyDescent="0.3">
      <c r="A553" t="s">
        <v>936</v>
      </c>
      <c r="B553" t="s">
        <v>51</v>
      </c>
      <c r="C553" t="s">
        <v>102</v>
      </c>
      <c r="D553" t="s">
        <v>53</v>
      </c>
      <c r="E553" t="s">
        <v>32</v>
      </c>
      <c r="F553" t="s">
        <v>25</v>
      </c>
      <c r="G553" t="s">
        <v>68</v>
      </c>
      <c r="H553">
        <v>54.31</v>
      </c>
      <c r="I553">
        <v>13</v>
      </c>
      <c r="J553">
        <v>35.301499999999997</v>
      </c>
      <c r="K553">
        <v>706.03</v>
      </c>
      <c r="L553" s="1">
        <v>43738</v>
      </c>
      <c r="M553" s="2">
        <v>0.45069444444444445</v>
      </c>
      <c r="N553" t="s">
        <v>33</v>
      </c>
      <c r="O553">
        <v>488.79</v>
      </c>
      <c r="P553">
        <v>4.7619047620000003</v>
      </c>
      <c r="Q553">
        <v>217.24</v>
      </c>
      <c r="R553">
        <v>10</v>
      </c>
      <c r="S553">
        <v>96.089100000000002</v>
      </c>
      <c r="T553">
        <v>21.9588</v>
      </c>
    </row>
    <row r="554" spans="1:20" x14ac:dyDescent="0.3">
      <c r="A554" t="s">
        <v>937</v>
      </c>
      <c r="B554" t="s">
        <v>51</v>
      </c>
      <c r="C554" t="s">
        <v>343</v>
      </c>
      <c r="D554" t="s">
        <v>53</v>
      </c>
      <c r="E554" t="s">
        <v>32</v>
      </c>
      <c r="F554" t="s">
        <v>25</v>
      </c>
      <c r="G554" t="s">
        <v>68</v>
      </c>
      <c r="H554">
        <v>58.24</v>
      </c>
      <c r="I554">
        <v>13</v>
      </c>
      <c r="J554">
        <v>37.856000000000002</v>
      </c>
      <c r="K554">
        <v>757.12</v>
      </c>
      <c r="L554" s="1">
        <v>43827</v>
      </c>
      <c r="M554" s="2">
        <v>0.52361111111111114</v>
      </c>
      <c r="N554" t="s">
        <v>33</v>
      </c>
      <c r="O554">
        <v>524.16</v>
      </c>
      <c r="P554">
        <v>4.7619047620000003</v>
      </c>
      <c r="Q554">
        <v>232.96</v>
      </c>
      <c r="R554">
        <v>10</v>
      </c>
      <c r="S554">
        <v>96.089100000000002</v>
      </c>
      <c r="T554">
        <v>21.9588</v>
      </c>
    </row>
    <row r="555" spans="1:20" x14ac:dyDescent="0.3">
      <c r="A555" t="s">
        <v>938</v>
      </c>
      <c r="B555" t="s">
        <v>29</v>
      </c>
      <c r="C555" t="s">
        <v>939</v>
      </c>
      <c r="D555" t="s">
        <v>31</v>
      </c>
      <c r="E555" t="s">
        <v>32</v>
      </c>
      <c r="F555" t="s">
        <v>36</v>
      </c>
      <c r="G555" t="s">
        <v>68</v>
      </c>
      <c r="H555">
        <v>22.21</v>
      </c>
      <c r="I555">
        <v>7</v>
      </c>
      <c r="J555">
        <v>7.7735000000000003</v>
      </c>
      <c r="K555">
        <v>155.47</v>
      </c>
      <c r="L555" s="1">
        <v>43489</v>
      </c>
      <c r="M555" s="2">
        <v>0.43263888888888891</v>
      </c>
      <c r="N555" t="s">
        <v>37</v>
      </c>
      <c r="O555">
        <v>133.26</v>
      </c>
      <c r="P555">
        <v>4.7619047620000003</v>
      </c>
      <c r="Q555">
        <v>22.21</v>
      </c>
      <c r="R555">
        <v>9.0299999999999994</v>
      </c>
      <c r="S555">
        <v>96.078500000000005</v>
      </c>
      <c r="T555">
        <v>19.763300000000001</v>
      </c>
    </row>
    <row r="556" spans="1:20" x14ac:dyDescent="0.3">
      <c r="A556" t="s">
        <v>940</v>
      </c>
      <c r="B556" t="s">
        <v>21</v>
      </c>
      <c r="C556" t="s">
        <v>351</v>
      </c>
      <c r="D556" t="s">
        <v>23</v>
      </c>
      <c r="E556" t="s">
        <v>24</v>
      </c>
      <c r="F556" t="s">
        <v>36</v>
      </c>
      <c r="G556" t="s">
        <v>68</v>
      </c>
      <c r="H556">
        <v>19.32</v>
      </c>
      <c r="I556">
        <v>10</v>
      </c>
      <c r="J556">
        <v>9.66</v>
      </c>
      <c r="K556">
        <v>193.2</v>
      </c>
      <c r="L556" s="1">
        <v>43555</v>
      </c>
      <c r="M556" s="2">
        <v>0.78541666666666665</v>
      </c>
      <c r="N556" t="s">
        <v>33</v>
      </c>
      <c r="O556">
        <v>135.24</v>
      </c>
      <c r="P556">
        <v>4.7619047620000003</v>
      </c>
      <c r="Q556">
        <v>57.96</v>
      </c>
      <c r="R556">
        <v>6.9</v>
      </c>
      <c r="S556">
        <v>96.173500000000004</v>
      </c>
      <c r="T556">
        <v>16.840900000000001</v>
      </c>
    </row>
    <row r="557" spans="1:20" x14ac:dyDescent="0.3">
      <c r="A557" t="s">
        <v>941</v>
      </c>
      <c r="B557" t="s">
        <v>51</v>
      </c>
      <c r="C557" t="s">
        <v>361</v>
      </c>
      <c r="D557" t="s">
        <v>53</v>
      </c>
      <c r="E557" t="s">
        <v>32</v>
      </c>
      <c r="F557" t="s">
        <v>36</v>
      </c>
      <c r="G557" t="s">
        <v>77</v>
      </c>
      <c r="H557">
        <v>37.479999999999997</v>
      </c>
      <c r="I557">
        <v>4</v>
      </c>
      <c r="J557">
        <v>7.4960000000000004</v>
      </c>
      <c r="K557">
        <v>149.91999999999999</v>
      </c>
      <c r="L557" s="1">
        <v>43611</v>
      </c>
      <c r="M557" s="2">
        <v>0.57291666666666663</v>
      </c>
      <c r="N557" t="s">
        <v>37</v>
      </c>
      <c r="O557">
        <v>112.44</v>
      </c>
      <c r="P557">
        <v>4.7619047620000003</v>
      </c>
      <c r="Q557">
        <v>37.479999999999997</v>
      </c>
      <c r="R557">
        <v>9.24</v>
      </c>
      <c r="S557">
        <v>96.089100000000002</v>
      </c>
      <c r="T557">
        <v>21.9588</v>
      </c>
    </row>
    <row r="558" spans="1:20" x14ac:dyDescent="0.3">
      <c r="A558" t="s">
        <v>942</v>
      </c>
      <c r="B558" t="s">
        <v>51</v>
      </c>
      <c r="C558" t="s">
        <v>95</v>
      </c>
      <c r="D558" t="s">
        <v>53</v>
      </c>
      <c r="E558" t="s">
        <v>24</v>
      </c>
      <c r="F558" t="s">
        <v>25</v>
      </c>
      <c r="G558" t="s">
        <v>100</v>
      </c>
      <c r="H558">
        <v>72.040000000000006</v>
      </c>
      <c r="I558">
        <v>4</v>
      </c>
      <c r="J558">
        <v>14.407999999999999</v>
      </c>
      <c r="K558">
        <v>288.16000000000003</v>
      </c>
      <c r="L558" s="1">
        <v>43639</v>
      </c>
      <c r="M558" s="2">
        <v>0.81805555555555554</v>
      </c>
      <c r="N558" t="s">
        <v>33</v>
      </c>
      <c r="O558">
        <v>144.08000000000001</v>
      </c>
      <c r="P558">
        <v>4.7619047620000003</v>
      </c>
      <c r="Q558">
        <v>144.08000000000001</v>
      </c>
      <c r="R558">
        <v>10</v>
      </c>
      <c r="S558">
        <v>96.089100000000002</v>
      </c>
      <c r="T558">
        <v>21.9588</v>
      </c>
    </row>
    <row r="559" spans="1:20" x14ac:dyDescent="0.3">
      <c r="A559" t="s">
        <v>943</v>
      </c>
      <c r="B559" t="s">
        <v>29</v>
      </c>
      <c r="C559" t="s">
        <v>47</v>
      </c>
      <c r="D559" t="s">
        <v>31</v>
      </c>
      <c r="E559" t="s">
        <v>24</v>
      </c>
      <c r="F559" t="s">
        <v>25</v>
      </c>
      <c r="G559" t="s">
        <v>63</v>
      </c>
      <c r="H559">
        <v>98.52</v>
      </c>
      <c r="I559">
        <v>17</v>
      </c>
      <c r="J559">
        <v>83.742000000000004</v>
      </c>
      <c r="K559">
        <v>1674.84</v>
      </c>
      <c r="L559" s="1">
        <v>43512</v>
      </c>
      <c r="M559" s="2">
        <v>0.84930555555555554</v>
      </c>
      <c r="N559" t="s">
        <v>27</v>
      </c>
      <c r="O559">
        <v>985.2</v>
      </c>
      <c r="P559">
        <v>4.7619047620000003</v>
      </c>
      <c r="Q559">
        <v>689.64</v>
      </c>
      <c r="R559">
        <v>4.7249999999999996</v>
      </c>
      <c r="S559">
        <v>96.078500000000005</v>
      </c>
      <c r="T559">
        <v>19.763300000000001</v>
      </c>
    </row>
    <row r="560" spans="1:20" x14ac:dyDescent="0.3">
      <c r="A560" t="s">
        <v>944</v>
      </c>
      <c r="B560" t="s">
        <v>21</v>
      </c>
      <c r="C560" t="s">
        <v>680</v>
      </c>
      <c r="D560" t="s">
        <v>23</v>
      </c>
      <c r="E560" t="s">
        <v>24</v>
      </c>
      <c r="F560" t="s">
        <v>36</v>
      </c>
      <c r="G560" t="s">
        <v>63</v>
      </c>
      <c r="H560">
        <v>41.66</v>
      </c>
      <c r="I560">
        <v>8</v>
      </c>
      <c r="J560">
        <v>16.664000000000001</v>
      </c>
      <c r="K560">
        <v>333.28</v>
      </c>
      <c r="L560" s="1">
        <v>43564</v>
      </c>
      <c r="M560" s="2">
        <v>0.64166666666666672</v>
      </c>
      <c r="N560" t="s">
        <v>27</v>
      </c>
      <c r="O560">
        <v>249.96</v>
      </c>
      <c r="P560">
        <v>4.7619047620000003</v>
      </c>
      <c r="Q560">
        <v>83.32</v>
      </c>
      <c r="R560">
        <v>5.6</v>
      </c>
      <c r="S560">
        <v>96.173500000000004</v>
      </c>
      <c r="T560">
        <v>16.840900000000001</v>
      </c>
    </row>
    <row r="561" spans="1:20" x14ac:dyDescent="0.3">
      <c r="A561" t="s">
        <v>945</v>
      </c>
      <c r="B561" t="s">
        <v>21</v>
      </c>
      <c r="C561" t="s">
        <v>946</v>
      </c>
      <c r="D561" t="s">
        <v>23</v>
      </c>
      <c r="E561" t="s">
        <v>24</v>
      </c>
      <c r="F561" t="s">
        <v>25</v>
      </c>
      <c r="G561" t="s">
        <v>77</v>
      </c>
      <c r="H561">
        <v>72.42</v>
      </c>
      <c r="I561">
        <v>4</v>
      </c>
      <c r="J561">
        <v>14.484</v>
      </c>
      <c r="K561">
        <v>289.68</v>
      </c>
      <c r="L561" s="1">
        <v>43648</v>
      </c>
      <c r="M561" s="2">
        <v>0.70416666666666672</v>
      </c>
      <c r="N561" t="s">
        <v>27</v>
      </c>
      <c r="O561">
        <v>217.26</v>
      </c>
      <c r="P561">
        <v>4.7619047620000003</v>
      </c>
      <c r="Q561">
        <v>72.42</v>
      </c>
      <c r="R561">
        <v>8.1999999999999993</v>
      </c>
      <c r="S561">
        <v>96.173500000000004</v>
      </c>
      <c r="T561">
        <v>16.840900000000001</v>
      </c>
    </row>
    <row r="562" spans="1:20" x14ac:dyDescent="0.3">
      <c r="A562" t="s">
        <v>947</v>
      </c>
      <c r="B562" t="s">
        <v>51</v>
      </c>
      <c r="C562" t="s">
        <v>948</v>
      </c>
      <c r="D562" t="s">
        <v>53</v>
      </c>
      <c r="E562" t="s">
        <v>32</v>
      </c>
      <c r="F562" t="s">
        <v>36</v>
      </c>
      <c r="G562" t="s">
        <v>60</v>
      </c>
      <c r="H562">
        <v>21.58</v>
      </c>
      <c r="I562">
        <v>13</v>
      </c>
      <c r="J562">
        <v>14.026999999999999</v>
      </c>
      <c r="K562">
        <v>280.54000000000002</v>
      </c>
      <c r="L562" s="1">
        <v>43671</v>
      </c>
      <c r="M562" s="2">
        <v>0.52222222222222225</v>
      </c>
      <c r="N562" t="s">
        <v>33</v>
      </c>
      <c r="O562">
        <v>194.22</v>
      </c>
      <c r="P562">
        <v>4.7619047620000003</v>
      </c>
      <c r="Q562">
        <v>86.32</v>
      </c>
      <c r="R562">
        <v>8.76</v>
      </c>
      <c r="S562">
        <v>96.089100000000002</v>
      </c>
      <c r="T562">
        <v>21.9588</v>
      </c>
    </row>
    <row r="563" spans="1:20" x14ac:dyDescent="0.3">
      <c r="A563" t="s">
        <v>949</v>
      </c>
      <c r="B563" t="s">
        <v>29</v>
      </c>
      <c r="C563" t="s">
        <v>950</v>
      </c>
      <c r="D563" t="s">
        <v>31</v>
      </c>
      <c r="E563" t="s">
        <v>32</v>
      </c>
      <c r="F563" t="s">
        <v>36</v>
      </c>
      <c r="G563" t="s">
        <v>63</v>
      </c>
      <c r="H563">
        <v>89.2</v>
      </c>
      <c r="I563">
        <v>12</v>
      </c>
      <c r="J563">
        <v>53.52</v>
      </c>
      <c r="K563">
        <v>1070.4000000000001</v>
      </c>
      <c r="L563" s="1">
        <v>43722</v>
      </c>
      <c r="M563" s="2">
        <v>0.65416666666666667</v>
      </c>
      <c r="N563" t="s">
        <v>37</v>
      </c>
      <c r="O563">
        <v>892</v>
      </c>
      <c r="P563">
        <v>4.7619047620000003</v>
      </c>
      <c r="Q563">
        <v>178.4</v>
      </c>
      <c r="R563">
        <v>4.62</v>
      </c>
      <c r="S563">
        <v>96.078500000000005</v>
      </c>
      <c r="T563">
        <v>19.763300000000001</v>
      </c>
    </row>
    <row r="564" spans="1:20" x14ac:dyDescent="0.3">
      <c r="A564" t="s">
        <v>951</v>
      </c>
      <c r="B564" t="s">
        <v>51</v>
      </c>
      <c r="C564" t="s">
        <v>57</v>
      </c>
      <c r="D564" t="s">
        <v>53</v>
      </c>
      <c r="E564" t="s">
        <v>32</v>
      </c>
      <c r="F564" t="s">
        <v>25</v>
      </c>
      <c r="G564" t="s">
        <v>60</v>
      </c>
      <c r="H564">
        <v>42.42</v>
      </c>
      <c r="I564">
        <v>11</v>
      </c>
      <c r="J564">
        <v>23.331</v>
      </c>
      <c r="K564">
        <v>466.62</v>
      </c>
      <c r="L564" s="1">
        <v>43528</v>
      </c>
      <c r="M564" s="2">
        <v>0.58194444444444449</v>
      </c>
      <c r="N564" t="s">
        <v>27</v>
      </c>
      <c r="O564">
        <v>339.36</v>
      </c>
      <c r="P564">
        <v>4.7619047620000003</v>
      </c>
      <c r="Q564">
        <v>127.26</v>
      </c>
      <c r="R564">
        <v>6.84</v>
      </c>
      <c r="S564">
        <v>96.089100000000002</v>
      </c>
      <c r="T564">
        <v>21.9588</v>
      </c>
    </row>
    <row r="565" spans="1:20" x14ac:dyDescent="0.3">
      <c r="A565" t="s">
        <v>952</v>
      </c>
      <c r="B565" t="s">
        <v>21</v>
      </c>
      <c r="C565" t="s">
        <v>769</v>
      </c>
      <c r="D565" t="s">
        <v>23</v>
      </c>
      <c r="E565" t="s">
        <v>24</v>
      </c>
      <c r="F565" t="s">
        <v>36</v>
      </c>
      <c r="G565" t="s">
        <v>60</v>
      </c>
      <c r="H565">
        <v>74.510000000000005</v>
      </c>
      <c r="I565">
        <v>8</v>
      </c>
      <c r="J565">
        <v>29.803999999999998</v>
      </c>
      <c r="K565">
        <v>596.08000000000004</v>
      </c>
      <c r="L565" s="1">
        <v>43671</v>
      </c>
      <c r="M565" s="2">
        <v>0.63055555555555554</v>
      </c>
      <c r="N565" t="s">
        <v>27</v>
      </c>
      <c r="O565">
        <v>447.06</v>
      </c>
      <c r="P565">
        <v>4.7619047620000003</v>
      </c>
      <c r="Q565">
        <v>149.02000000000001</v>
      </c>
      <c r="R565">
        <v>5</v>
      </c>
      <c r="S565">
        <v>96.173500000000004</v>
      </c>
      <c r="T565">
        <v>16.840900000000001</v>
      </c>
    </row>
    <row r="566" spans="1:20" x14ac:dyDescent="0.3">
      <c r="A566" t="s">
        <v>953</v>
      </c>
      <c r="B566" t="s">
        <v>51</v>
      </c>
      <c r="C566" t="s">
        <v>954</v>
      </c>
      <c r="D566" t="s">
        <v>53</v>
      </c>
      <c r="E566" t="s">
        <v>32</v>
      </c>
      <c r="F566" t="s">
        <v>36</v>
      </c>
      <c r="G566" t="s">
        <v>100</v>
      </c>
      <c r="H566">
        <v>99.25</v>
      </c>
      <c r="I566">
        <v>3</v>
      </c>
      <c r="J566">
        <v>14.887499999999999</v>
      </c>
      <c r="K566">
        <v>297.75</v>
      </c>
      <c r="L566" s="1">
        <v>43754</v>
      </c>
      <c r="M566" s="2">
        <v>0.54305555555555551</v>
      </c>
      <c r="N566" t="s">
        <v>33</v>
      </c>
      <c r="O566">
        <v>198.5</v>
      </c>
      <c r="P566">
        <v>4.7619047620000003</v>
      </c>
      <c r="Q566">
        <v>99.25</v>
      </c>
      <c r="R566">
        <v>10</v>
      </c>
      <c r="S566">
        <v>96.089100000000002</v>
      </c>
      <c r="T566">
        <v>21.9588</v>
      </c>
    </row>
    <row r="567" spans="1:20" x14ac:dyDescent="0.3">
      <c r="A567" t="s">
        <v>955</v>
      </c>
      <c r="B567" t="s">
        <v>21</v>
      </c>
      <c r="C567" t="s">
        <v>526</v>
      </c>
      <c r="D567" t="s">
        <v>23</v>
      </c>
      <c r="E567" t="s">
        <v>32</v>
      </c>
      <c r="F567" t="s">
        <v>25</v>
      </c>
      <c r="G567" t="s">
        <v>63</v>
      </c>
      <c r="H567">
        <v>81.209999999999994</v>
      </c>
      <c r="I567">
        <v>10</v>
      </c>
      <c r="J567">
        <v>40.604999999999997</v>
      </c>
      <c r="K567">
        <v>812.1</v>
      </c>
      <c r="L567" s="1">
        <v>43564</v>
      </c>
      <c r="M567" s="2">
        <v>0.54236111111111107</v>
      </c>
      <c r="N567" t="s">
        <v>37</v>
      </c>
      <c r="O567">
        <v>812.1</v>
      </c>
      <c r="P567">
        <v>4.7619047620000003</v>
      </c>
      <c r="Q567">
        <v>0</v>
      </c>
      <c r="R567">
        <v>6.3</v>
      </c>
      <c r="S567">
        <v>96.173500000000004</v>
      </c>
      <c r="T567">
        <v>16.840900000000001</v>
      </c>
    </row>
    <row r="568" spans="1:20" x14ac:dyDescent="0.3">
      <c r="A568" t="s">
        <v>956</v>
      </c>
      <c r="B568" t="s">
        <v>29</v>
      </c>
      <c r="C568" t="s">
        <v>313</v>
      </c>
      <c r="D568" t="s">
        <v>31</v>
      </c>
      <c r="E568" t="s">
        <v>32</v>
      </c>
      <c r="F568" t="s">
        <v>25</v>
      </c>
      <c r="G568" t="s">
        <v>68</v>
      </c>
      <c r="H568">
        <v>49.33</v>
      </c>
      <c r="I568">
        <v>12</v>
      </c>
      <c r="J568">
        <v>29.597999999999999</v>
      </c>
      <c r="K568">
        <v>591.96</v>
      </c>
      <c r="L568" s="1">
        <v>43798</v>
      </c>
      <c r="M568" s="2">
        <v>0.69444444444444442</v>
      </c>
      <c r="N568" t="s">
        <v>37</v>
      </c>
      <c r="O568">
        <v>493.3</v>
      </c>
      <c r="P568">
        <v>4.7619047620000003</v>
      </c>
      <c r="Q568">
        <v>98.66</v>
      </c>
      <c r="R568">
        <v>9.8699999999999992</v>
      </c>
      <c r="S568">
        <v>96.078500000000005</v>
      </c>
      <c r="T568">
        <v>19.763300000000001</v>
      </c>
    </row>
    <row r="569" spans="1:20" x14ac:dyDescent="0.3">
      <c r="A569" t="s">
        <v>957</v>
      </c>
      <c r="B569" t="s">
        <v>21</v>
      </c>
      <c r="C569" t="s">
        <v>958</v>
      </c>
      <c r="D569" t="s">
        <v>23</v>
      </c>
      <c r="E569" t="s">
        <v>32</v>
      </c>
      <c r="F569" t="s">
        <v>25</v>
      </c>
      <c r="G569" t="s">
        <v>100</v>
      </c>
      <c r="H569">
        <v>65.739999999999995</v>
      </c>
      <c r="I569">
        <v>9</v>
      </c>
      <c r="J569">
        <v>29.582999999999998</v>
      </c>
      <c r="K569">
        <v>591.66</v>
      </c>
      <c r="L569" s="1">
        <v>43810</v>
      </c>
      <c r="M569" s="2">
        <v>0.57986111111111116</v>
      </c>
      <c r="N569" t="s">
        <v>33</v>
      </c>
      <c r="O569">
        <v>591.66</v>
      </c>
      <c r="P569">
        <v>4.7619047620000003</v>
      </c>
      <c r="Q569">
        <v>0</v>
      </c>
      <c r="R569">
        <v>7.7</v>
      </c>
      <c r="S569">
        <v>96.173500000000004</v>
      </c>
      <c r="T569">
        <v>16.840900000000001</v>
      </c>
    </row>
    <row r="570" spans="1:20" x14ac:dyDescent="0.3">
      <c r="A570" t="s">
        <v>959</v>
      </c>
      <c r="B570" t="s">
        <v>51</v>
      </c>
      <c r="C570" t="s">
        <v>333</v>
      </c>
      <c r="D570" t="s">
        <v>53</v>
      </c>
      <c r="E570" t="s">
        <v>32</v>
      </c>
      <c r="F570" t="s">
        <v>25</v>
      </c>
      <c r="G570" t="s">
        <v>100</v>
      </c>
      <c r="H570">
        <v>79.86</v>
      </c>
      <c r="I570">
        <v>10</v>
      </c>
      <c r="J570">
        <v>39.93</v>
      </c>
      <c r="K570">
        <v>798.6</v>
      </c>
      <c r="L570" s="1">
        <v>43575</v>
      </c>
      <c r="M570" s="2">
        <v>0.43958333333333333</v>
      </c>
      <c r="N570" t="s">
        <v>37</v>
      </c>
      <c r="O570">
        <v>559.02</v>
      </c>
      <c r="P570">
        <v>4.7619047620000003</v>
      </c>
      <c r="Q570">
        <v>239.58</v>
      </c>
      <c r="R570">
        <v>6.6</v>
      </c>
      <c r="S570">
        <v>96.089100000000002</v>
      </c>
      <c r="T570">
        <v>21.9588</v>
      </c>
    </row>
    <row r="571" spans="1:20" x14ac:dyDescent="0.3">
      <c r="A571" t="s">
        <v>960</v>
      </c>
      <c r="B571" t="s">
        <v>29</v>
      </c>
      <c r="C571" t="s">
        <v>190</v>
      </c>
      <c r="D571" t="s">
        <v>31</v>
      </c>
      <c r="E571" t="s">
        <v>32</v>
      </c>
      <c r="F571" t="s">
        <v>25</v>
      </c>
      <c r="G571" t="s">
        <v>68</v>
      </c>
      <c r="H571">
        <v>73.98</v>
      </c>
      <c r="I571">
        <v>8</v>
      </c>
      <c r="J571">
        <v>29.591999999999999</v>
      </c>
      <c r="K571">
        <v>591.84</v>
      </c>
      <c r="L571" s="1">
        <v>43614</v>
      </c>
      <c r="M571" s="2">
        <v>0.6958333333333333</v>
      </c>
      <c r="N571" t="s">
        <v>27</v>
      </c>
      <c r="O571">
        <v>517.86</v>
      </c>
      <c r="P571">
        <v>4.7619047620000003</v>
      </c>
      <c r="Q571">
        <v>73.98</v>
      </c>
      <c r="R571">
        <v>4.3049999999999997</v>
      </c>
      <c r="S571">
        <v>96.078500000000005</v>
      </c>
      <c r="T571">
        <v>19.763300000000001</v>
      </c>
    </row>
    <row r="572" spans="1:20" x14ac:dyDescent="0.3">
      <c r="A572" t="s">
        <v>961</v>
      </c>
      <c r="B572" t="s">
        <v>51</v>
      </c>
      <c r="C572" t="s">
        <v>859</v>
      </c>
      <c r="D572" t="s">
        <v>53</v>
      </c>
      <c r="E572" t="s">
        <v>24</v>
      </c>
      <c r="F572" t="s">
        <v>25</v>
      </c>
      <c r="G572" t="s">
        <v>77</v>
      </c>
      <c r="H572">
        <v>82.04</v>
      </c>
      <c r="I572">
        <v>10</v>
      </c>
      <c r="J572">
        <v>41.02</v>
      </c>
      <c r="K572">
        <v>820.4</v>
      </c>
      <c r="L572" s="1">
        <v>43721</v>
      </c>
      <c r="M572" s="2">
        <v>0.71944444444444444</v>
      </c>
      <c r="N572" t="s">
        <v>37</v>
      </c>
      <c r="O572">
        <v>410.2</v>
      </c>
      <c r="P572">
        <v>4.7619047620000003</v>
      </c>
      <c r="Q572">
        <v>410.2</v>
      </c>
      <c r="R572">
        <v>9.1199999999999992</v>
      </c>
      <c r="S572">
        <v>96.089100000000002</v>
      </c>
      <c r="T572">
        <v>21.9588</v>
      </c>
    </row>
    <row r="573" spans="1:20" x14ac:dyDescent="0.3">
      <c r="A573" t="s">
        <v>962</v>
      </c>
      <c r="B573" t="s">
        <v>51</v>
      </c>
      <c r="C573" t="s">
        <v>633</v>
      </c>
      <c r="D573" t="s">
        <v>53</v>
      </c>
      <c r="E573" t="s">
        <v>24</v>
      </c>
      <c r="F573" t="s">
        <v>36</v>
      </c>
      <c r="G573" t="s">
        <v>100</v>
      </c>
      <c r="H573">
        <v>26.67</v>
      </c>
      <c r="I573">
        <v>20</v>
      </c>
      <c r="J573">
        <v>26.67</v>
      </c>
      <c r="K573">
        <v>533.4</v>
      </c>
      <c r="L573" s="1">
        <v>43728</v>
      </c>
      <c r="M573" s="2">
        <v>0.49166666666666664</v>
      </c>
      <c r="N573" t="s">
        <v>33</v>
      </c>
      <c r="O573">
        <v>266.7</v>
      </c>
      <c r="P573">
        <v>4.7619047620000003</v>
      </c>
      <c r="Q573">
        <v>266.7</v>
      </c>
      <c r="R573">
        <v>10</v>
      </c>
      <c r="S573">
        <v>96.089100000000002</v>
      </c>
      <c r="T573">
        <v>21.9588</v>
      </c>
    </row>
    <row r="574" spans="1:20" x14ac:dyDescent="0.3">
      <c r="A574" t="s">
        <v>963</v>
      </c>
      <c r="B574" t="s">
        <v>21</v>
      </c>
      <c r="C574" t="s">
        <v>964</v>
      </c>
      <c r="D574" t="s">
        <v>23</v>
      </c>
      <c r="E574" t="s">
        <v>24</v>
      </c>
      <c r="F574" t="s">
        <v>36</v>
      </c>
      <c r="G574" t="s">
        <v>100</v>
      </c>
      <c r="H574">
        <v>10.130000000000001</v>
      </c>
      <c r="I574">
        <v>10</v>
      </c>
      <c r="J574">
        <v>5.0650000000000004</v>
      </c>
      <c r="K574">
        <v>101.3</v>
      </c>
      <c r="L574" s="1">
        <v>43681</v>
      </c>
      <c r="M574" s="2">
        <v>0.81597222222222221</v>
      </c>
      <c r="N574" t="s">
        <v>27</v>
      </c>
      <c r="O574">
        <v>70.91</v>
      </c>
      <c r="P574">
        <v>4.7619047620000003</v>
      </c>
      <c r="Q574">
        <v>30.39</v>
      </c>
      <c r="R574">
        <v>8.3000000000000007</v>
      </c>
      <c r="S574">
        <v>96.173500000000004</v>
      </c>
      <c r="T574">
        <v>16.840900000000001</v>
      </c>
    </row>
    <row r="575" spans="1:20" x14ac:dyDescent="0.3">
      <c r="A575" t="s">
        <v>965</v>
      </c>
      <c r="B575" t="s">
        <v>51</v>
      </c>
      <c r="C575" t="s">
        <v>791</v>
      </c>
      <c r="D575" t="s">
        <v>53</v>
      </c>
      <c r="E575" t="s">
        <v>32</v>
      </c>
      <c r="F575" t="s">
        <v>36</v>
      </c>
      <c r="G575" t="s">
        <v>100</v>
      </c>
      <c r="H575">
        <v>72.39</v>
      </c>
      <c r="I575">
        <v>3</v>
      </c>
      <c r="J575">
        <v>10.858499999999999</v>
      </c>
      <c r="K575">
        <v>217.17</v>
      </c>
      <c r="L575" s="1">
        <v>43580</v>
      </c>
      <c r="M575" s="2">
        <v>0.82986111111111116</v>
      </c>
      <c r="N575" t="s">
        <v>37</v>
      </c>
      <c r="O575">
        <v>144.78</v>
      </c>
      <c r="P575">
        <v>4.7619047620000003</v>
      </c>
      <c r="Q575">
        <v>72.39</v>
      </c>
      <c r="S575">
        <v>96.089100000000002</v>
      </c>
      <c r="T575">
        <v>21.9588</v>
      </c>
    </row>
    <row r="576" spans="1:20" x14ac:dyDescent="0.3">
      <c r="A576" t="s">
        <v>966</v>
      </c>
      <c r="B576" t="s">
        <v>21</v>
      </c>
      <c r="C576" t="s">
        <v>504</v>
      </c>
      <c r="D576" t="s">
        <v>23</v>
      </c>
      <c r="E576" t="s">
        <v>32</v>
      </c>
      <c r="F576" t="s">
        <v>36</v>
      </c>
      <c r="G576" t="s">
        <v>100</v>
      </c>
      <c r="H576">
        <v>85.91</v>
      </c>
      <c r="I576">
        <v>5</v>
      </c>
      <c r="J576">
        <v>21.477499999999999</v>
      </c>
      <c r="K576">
        <v>429.55</v>
      </c>
      <c r="L576" s="1">
        <v>43486</v>
      </c>
      <c r="M576" s="2">
        <v>0.60624999999999996</v>
      </c>
      <c r="N576" t="s">
        <v>37</v>
      </c>
      <c r="O576">
        <v>429.55</v>
      </c>
      <c r="P576">
        <v>4.7619047620000003</v>
      </c>
      <c r="Q576">
        <v>0</v>
      </c>
      <c r="S576">
        <v>96.173500000000004</v>
      </c>
      <c r="T576">
        <v>16.840900000000001</v>
      </c>
    </row>
    <row r="577" spans="1:20" x14ac:dyDescent="0.3">
      <c r="A577" t="s">
        <v>967</v>
      </c>
      <c r="B577" t="s">
        <v>51</v>
      </c>
      <c r="C577" t="s">
        <v>221</v>
      </c>
      <c r="D577" t="s">
        <v>53</v>
      </c>
      <c r="E577" t="s">
        <v>24</v>
      </c>
      <c r="F577" t="s">
        <v>36</v>
      </c>
      <c r="G577" t="s">
        <v>100</v>
      </c>
      <c r="H577">
        <v>81.31</v>
      </c>
      <c r="I577">
        <v>14</v>
      </c>
      <c r="J577">
        <v>56.917000000000002</v>
      </c>
      <c r="K577">
        <v>1138.3399999999999</v>
      </c>
      <c r="L577" s="1">
        <v>43815</v>
      </c>
      <c r="M577" s="2">
        <v>0.8256944444444444</v>
      </c>
      <c r="N577" t="s">
        <v>27</v>
      </c>
      <c r="O577">
        <v>569.16999999999996</v>
      </c>
      <c r="P577">
        <v>4.7619047620000003</v>
      </c>
      <c r="Q577">
        <v>569.16999999999996</v>
      </c>
      <c r="S577">
        <v>96.089100000000002</v>
      </c>
      <c r="T577">
        <v>21.9588</v>
      </c>
    </row>
    <row r="578" spans="1:20" x14ac:dyDescent="0.3">
      <c r="A578" t="s">
        <v>968</v>
      </c>
      <c r="B578" t="s">
        <v>51</v>
      </c>
      <c r="C578" t="s">
        <v>751</v>
      </c>
      <c r="D578" t="s">
        <v>53</v>
      </c>
      <c r="E578" t="s">
        <v>32</v>
      </c>
      <c r="F578" t="s">
        <v>36</v>
      </c>
      <c r="G578" t="s">
        <v>100</v>
      </c>
      <c r="H578">
        <v>60.3</v>
      </c>
      <c r="I578">
        <v>6</v>
      </c>
      <c r="J578">
        <v>18.09</v>
      </c>
      <c r="K578">
        <v>361.8</v>
      </c>
      <c r="L578" s="1">
        <v>43635</v>
      </c>
      <c r="M578" s="2">
        <v>0.77986111111111112</v>
      </c>
      <c r="N578" t="s">
        <v>33</v>
      </c>
      <c r="O578">
        <v>241.2</v>
      </c>
      <c r="P578">
        <v>4.7619047620000003</v>
      </c>
      <c r="Q578">
        <v>120.6</v>
      </c>
      <c r="S578">
        <v>96.089100000000002</v>
      </c>
      <c r="T578">
        <v>21.9588</v>
      </c>
    </row>
    <row r="579" spans="1:20" x14ac:dyDescent="0.3">
      <c r="A579" t="s">
        <v>969</v>
      </c>
      <c r="B579" t="s">
        <v>29</v>
      </c>
      <c r="C579" t="s">
        <v>209</v>
      </c>
      <c r="D579" t="s">
        <v>31</v>
      </c>
      <c r="E579" t="s">
        <v>32</v>
      </c>
      <c r="F579" t="s">
        <v>36</v>
      </c>
      <c r="G579" t="s">
        <v>100</v>
      </c>
      <c r="H579">
        <v>31.77</v>
      </c>
      <c r="I579">
        <v>5</v>
      </c>
      <c r="J579">
        <v>7.9424999999999999</v>
      </c>
      <c r="K579">
        <v>158.85</v>
      </c>
      <c r="L579" s="1">
        <v>43475</v>
      </c>
      <c r="M579" s="2">
        <v>0.61319444444444449</v>
      </c>
      <c r="N579" t="s">
        <v>27</v>
      </c>
      <c r="O579">
        <v>127.08</v>
      </c>
      <c r="P579">
        <v>4.7619047620000003</v>
      </c>
      <c r="Q579">
        <v>31.77</v>
      </c>
      <c r="S579">
        <v>96.078500000000005</v>
      </c>
      <c r="T579">
        <v>19.763300000000001</v>
      </c>
    </row>
    <row r="580" spans="1:20" x14ac:dyDescent="0.3">
      <c r="A580" t="s">
        <v>970</v>
      </c>
      <c r="B580" t="s">
        <v>21</v>
      </c>
      <c r="C580" t="s">
        <v>971</v>
      </c>
      <c r="D580" t="s">
        <v>23</v>
      </c>
      <c r="E580" t="s">
        <v>32</v>
      </c>
      <c r="F580" t="s">
        <v>25</v>
      </c>
      <c r="G580" t="s">
        <v>100</v>
      </c>
      <c r="H580">
        <v>64.27</v>
      </c>
      <c r="I580">
        <v>4</v>
      </c>
      <c r="J580">
        <v>12.853999999999999</v>
      </c>
      <c r="K580">
        <v>257.08</v>
      </c>
      <c r="L580" s="1">
        <v>43811</v>
      </c>
      <c r="M580" s="2">
        <v>0.57916666666666672</v>
      </c>
      <c r="N580" t="s">
        <v>33</v>
      </c>
      <c r="O580">
        <v>257.08</v>
      </c>
      <c r="P580">
        <v>4.7619047620000003</v>
      </c>
      <c r="Q580">
        <v>0</v>
      </c>
      <c r="S580">
        <v>96.173500000000004</v>
      </c>
      <c r="T580">
        <v>16.840900000000001</v>
      </c>
    </row>
    <row r="581" spans="1:20" x14ac:dyDescent="0.3">
      <c r="A581" t="s">
        <v>972</v>
      </c>
      <c r="B581" t="s">
        <v>51</v>
      </c>
      <c r="C581" t="s">
        <v>498</v>
      </c>
      <c r="D581" t="s">
        <v>53</v>
      </c>
      <c r="E581" t="s">
        <v>32</v>
      </c>
      <c r="F581" t="s">
        <v>36</v>
      </c>
      <c r="G581" t="s">
        <v>100</v>
      </c>
      <c r="H581">
        <v>69.510000000000005</v>
      </c>
      <c r="I581">
        <v>3</v>
      </c>
      <c r="J581">
        <v>10.426500000000001</v>
      </c>
      <c r="K581">
        <v>208.53</v>
      </c>
      <c r="L581" s="1">
        <v>43780</v>
      </c>
      <c r="M581" s="2">
        <v>0.51041666666666663</v>
      </c>
      <c r="N581" t="s">
        <v>27</v>
      </c>
      <c r="O581">
        <v>139.02000000000001</v>
      </c>
      <c r="P581">
        <v>4.7619047620000003</v>
      </c>
      <c r="Q581">
        <v>69.510000000000005</v>
      </c>
      <c r="S581">
        <v>96.089100000000002</v>
      </c>
      <c r="T581">
        <v>21.9588</v>
      </c>
    </row>
    <row r="582" spans="1:20" x14ac:dyDescent="0.3">
      <c r="A582" t="s">
        <v>973</v>
      </c>
      <c r="B582" t="s">
        <v>29</v>
      </c>
      <c r="C582" t="s">
        <v>974</v>
      </c>
      <c r="D582" t="s">
        <v>31</v>
      </c>
      <c r="E582" t="s">
        <v>32</v>
      </c>
      <c r="F582" t="s">
        <v>36</v>
      </c>
      <c r="G582" t="s">
        <v>63</v>
      </c>
      <c r="H582">
        <v>27.22</v>
      </c>
      <c r="I582">
        <v>4</v>
      </c>
      <c r="J582">
        <v>5.444</v>
      </c>
      <c r="K582">
        <v>108.88</v>
      </c>
      <c r="L582" s="1">
        <v>43736</v>
      </c>
      <c r="M582" s="2">
        <v>0.52569444444444446</v>
      </c>
      <c r="N582" t="s">
        <v>33</v>
      </c>
      <c r="O582">
        <v>81.66</v>
      </c>
      <c r="P582">
        <v>4.7619047620000003</v>
      </c>
      <c r="Q582">
        <v>27.22</v>
      </c>
      <c r="S582">
        <v>96.078500000000005</v>
      </c>
      <c r="T582">
        <v>19.763300000000001</v>
      </c>
    </row>
    <row r="583" spans="1:20" x14ac:dyDescent="0.3">
      <c r="A583" t="s">
        <v>975</v>
      </c>
      <c r="B583" t="s">
        <v>21</v>
      </c>
      <c r="C583" t="s">
        <v>976</v>
      </c>
      <c r="D583" t="s">
        <v>23</v>
      </c>
      <c r="E583" t="s">
        <v>24</v>
      </c>
      <c r="F583" t="s">
        <v>25</v>
      </c>
      <c r="G583" t="s">
        <v>26</v>
      </c>
      <c r="H583">
        <v>77.680000000000007</v>
      </c>
      <c r="I583">
        <v>6</v>
      </c>
      <c r="J583">
        <v>23.303999999999998</v>
      </c>
      <c r="K583">
        <v>466.08</v>
      </c>
      <c r="L583" s="1">
        <v>43602</v>
      </c>
      <c r="M583" s="2">
        <v>0.82916666666666672</v>
      </c>
      <c r="N583" t="s">
        <v>33</v>
      </c>
      <c r="O583">
        <v>310.72000000000003</v>
      </c>
      <c r="P583">
        <v>4.7619047620000003</v>
      </c>
      <c r="Q583">
        <v>155.36000000000001</v>
      </c>
      <c r="R583">
        <v>8.4</v>
      </c>
      <c r="S583">
        <v>96.173500000000004</v>
      </c>
      <c r="T583">
        <v>16.840900000000001</v>
      </c>
    </row>
    <row r="584" spans="1:20" x14ac:dyDescent="0.3">
      <c r="A584" t="s">
        <v>977</v>
      </c>
      <c r="B584" t="s">
        <v>29</v>
      </c>
      <c r="C584" t="s">
        <v>195</v>
      </c>
      <c r="D584" t="s">
        <v>31</v>
      </c>
      <c r="E584" t="s">
        <v>24</v>
      </c>
      <c r="F584" t="s">
        <v>25</v>
      </c>
      <c r="G584" t="s">
        <v>100</v>
      </c>
      <c r="H584">
        <v>92.98</v>
      </c>
      <c r="I584">
        <v>3</v>
      </c>
      <c r="J584">
        <v>13.946999999999999</v>
      </c>
      <c r="K584">
        <v>278.94</v>
      </c>
      <c r="L584" s="1">
        <v>43714</v>
      </c>
      <c r="M584" s="2">
        <v>0.62916666666666665</v>
      </c>
      <c r="N584" t="s">
        <v>37</v>
      </c>
      <c r="O584">
        <v>185.96</v>
      </c>
      <c r="P584">
        <v>4.7619047620000003</v>
      </c>
      <c r="Q584">
        <v>92.98</v>
      </c>
      <c r="R584">
        <v>8.4</v>
      </c>
      <c r="S584">
        <v>96.078500000000005</v>
      </c>
      <c r="T584">
        <v>19.763300000000001</v>
      </c>
    </row>
    <row r="585" spans="1:20" x14ac:dyDescent="0.3">
      <c r="A585" t="s">
        <v>978</v>
      </c>
      <c r="B585" t="s">
        <v>51</v>
      </c>
      <c r="C585" t="s">
        <v>132</v>
      </c>
      <c r="D585" t="s">
        <v>53</v>
      </c>
      <c r="E585" t="s">
        <v>24</v>
      </c>
      <c r="F585" t="s">
        <v>25</v>
      </c>
      <c r="G585" t="s">
        <v>68</v>
      </c>
      <c r="H585">
        <v>18.079999999999998</v>
      </c>
      <c r="I585">
        <v>8</v>
      </c>
      <c r="J585">
        <v>7.2320000000000002</v>
      </c>
      <c r="K585">
        <v>144.63999999999999</v>
      </c>
      <c r="L585" s="1">
        <v>43587</v>
      </c>
      <c r="M585" s="2">
        <v>0.75208333333333333</v>
      </c>
      <c r="N585" t="s">
        <v>37</v>
      </c>
      <c r="O585">
        <v>72.319999999999993</v>
      </c>
      <c r="P585">
        <v>4.7619047620000003</v>
      </c>
      <c r="Q585">
        <v>72.319999999999993</v>
      </c>
      <c r="R585">
        <v>10</v>
      </c>
      <c r="S585">
        <v>96.089100000000002</v>
      </c>
      <c r="T585">
        <v>21.9588</v>
      </c>
    </row>
    <row r="586" spans="1:20" x14ac:dyDescent="0.3">
      <c r="A586" t="s">
        <v>979</v>
      </c>
      <c r="B586" t="s">
        <v>51</v>
      </c>
      <c r="C586" t="s">
        <v>980</v>
      </c>
      <c r="D586" t="s">
        <v>53</v>
      </c>
      <c r="E586" t="s">
        <v>32</v>
      </c>
      <c r="F586" t="s">
        <v>36</v>
      </c>
      <c r="G586" t="s">
        <v>68</v>
      </c>
      <c r="H586">
        <v>63.06</v>
      </c>
      <c r="I586">
        <v>4</v>
      </c>
      <c r="J586">
        <v>12.612</v>
      </c>
      <c r="K586">
        <v>252.24</v>
      </c>
      <c r="L586" s="1">
        <v>43662</v>
      </c>
      <c r="M586" s="2">
        <v>0.66527777777777775</v>
      </c>
      <c r="N586" t="s">
        <v>27</v>
      </c>
      <c r="O586">
        <v>189.18</v>
      </c>
      <c r="P586">
        <v>4.7619047620000003</v>
      </c>
      <c r="Q586">
        <v>63.06</v>
      </c>
      <c r="R586">
        <v>8.4</v>
      </c>
      <c r="S586">
        <v>96.089100000000002</v>
      </c>
      <c r="T586">
        <v>21.9588</v>
      </c>
    </row>
    <row r="587" spans="1:20" x14ac:dyDescent="0.3">
      <c r="A587" t="s">
        <v>981</v>
      </c>
      <c r="B587" t="s">
        <v>21</v>
      </c>
      <c r="C587" t="s">
        <v>982</v>
      </c>
      <c r="D587" t="s">
        <v>23</v>
      </c>
      <c r="E587" t="s">
        <v>32</v>
      </c>
      <c r="F587" t="s">
        <v>36</v>
      </c>
      <c r="G587" t="s">
        <v>68</v>
      </c>
      <c r="H587">
        <v>51.71</v>
      </c>
      <c r="I587">
        <v>4</v>
      </c>
      <c r="J587">
        <v>10.342000000000001</v>
      </c>
      <c r="K587">
        <v>206.84</v>
      </c>
      <c r="L587" s="1">
        <v>43773</v>
      </c>
      <c r="M587" s="2">
        <v>0.57847222222222228</v>
      </c>
      <c r="N587" t="s">
        <v>37</v>
      </c>
      <c r="O587">
        <v>206.84</v>
      </c>
      <c r="P587">
        <v>4.7619047620000003</v>
      </c>
      <c r="Q587">
        <v>0</v>
      </c>
      <c r="R587">
        <v>9.8000000000000007</v>
      </c>
      <c r="S587">
        <v>96.173500000000004</v>
      </c>
      <c r="T587">
        <v>16.840900000000001</v>
      </c>
    </row>
    <row r="588" spans="1:20" x14ac:dyDescent="0.3">
      <c r="A588" t="s">
        <v>983</v>
      </c>
      <c r="B588" t="s">
        <v>21</v>
      </c>
      <c r="C588" t="s">
        <v>984</v>
      </c>
      <c r="D588" t="s">
        <v>23</v>
      </c>
      <c r="E588" t="s">
        <v>32</v>
      </c>
      <c r="F588" t="s">
        <v>25</v>
      </c>
      <c r="G588" t="s">
        <v>68</v>
      </c>
      <c r="H588">
        <v>52.34</v>
      </c>
      <c r="I588">
        <v>3</v>
      </c>
      <c r="J588">
        <v>7.851</v>
      </c>
      <c r="K588">
        <v>157.02000000000001</v>
      </c>
      <c r="L588" s="1">
        <v>43531</v>
      </c>
      <c r="M588" s="2">
        <v>0.5854166666666667</v>
      </c>
      <c r="N588" t="s">
        <v>33</v>
      </c>
      <c r="O588">
        <v>157.02000000000001</v>
      </c>
      <c r="P588">
        <v>4.7619047620000003</v>
      </c>
      <c r="Q588">
        <v>0</v>
      </c>
      <c r="R588">
        <v>9.1999999999999993</v>
      </c>
      <c r="S588">
        <v>96.173500000000004</v>
      </c>
      <c r="T588">
        <v>16.840900000000001</v>
      </c>
    </row>
    <row r="589" spans="1:20" x14ac:dyDescent="0.3">
      <c r="A589" t="s">
        <v>985</v>
      </c>
      <c r="B589" t="s">
        <v>21</v>
      </c>
      <c r="C589" t="s">
        <v>687</v>
      </c>
      <c r="D589" t="s">
        <v>23</v>
      </c>
      <c r="E589" t="s">
        <v>32</v>
      </c>
      <c r="F589" t="s">
        <v>25</v>
      </c>
      <c r="G589" t="s">
        <v>68</v>
      </c>
      <c r="H589">
        <v>43.06</v>
      </c>
      <c r="I589">
        <v>5</v>
      </c>
      <c r="J589">
        <v>10.765000000000001</v>
      </c>
      <c r="K589">
        <v>215.3</v>
      </c>
      <c r="L589" s="1">
        <v>43484</v>
      </c>
      <c r="M589" s="2">
        <v>0.69305555555555554</v>
      </c>
      <c r="N589" t="s">
        <v>27</v>
      </c>
      <c r="O589">
        <v>215.3</v>
      </c>
      <c r="P589">
        <v>4.7619047620000003</v>
      </c>
      <c r="Q589">
        <v>0</v>
      </c>
      <c r="R589">
        <v>7.7</v>
      </c>
      <c r="S589">
        <v>96.173500000000004</v>
      </c>
      <c r="T589">
        <v>16.840900000000001</v>
      </c>
    </row>
    <row r="590" spans="1:20" x14ac:dyDescent="0.3">
      <c r="A590" t="s">
        <v>986</v>
      </c>
      <c r="B590" t="s">
        <v>29</v>
      </c>
      <c r="C590" t="s">
        <v>506</v>
      </c>
      <c r="D590" t="s">
        <v>31</v>
      </c>
      <c r="E590" t="s">
        <v>32</v>
      </c>
      <c r="F590" t="s">
        <v>36</v>
      </c>
      <c r="G590" t="s">
        <v>68</v>
      </c>
      <c r="H590">
        <v>59.61</v>
      </c>
      <c r="I590">
        <v>12</v>
      </c>
      <c r="J590">
        <v>35.765999999999998</v>
      </c>
      <c r="K590">
        <v>715.32</v>
      </c>
      <c r="L590" s="1">
        <v>43542</v>
      </c>
      <c r="M590" s="2">
        <v>0.46319444444444446</v>
      </c>
      <c r="N590" t="s">
        <v>33</v>
      </c>
      <c r="O590">
        <v>596.1</v>
      </c>
      <c r="P590">
        <v>4.7619047620000003</v>
      </c>
      <c r="Q590">
        <v>119.22</v>
      </c>
      <c r="R590">
        <v>5.5650000000000004</v>
      </c>
      <c r="S590">
        <v>96.078500000000005</v>
      </c>
      <c r="T590">
        <v>19.763300000000001</v>
      </c>
    </row>
    <row r="591" spans="1:20" x14ac:dyDescent="0.3">
      <c r="A591" t="s">
        <v>987</v>
      </c>
      <c r="B591" t="s">
        <v>21</v>
      </c>
      <c r="C591" t="s">
        <v>988</v>
      </c>
      <c r="D591" t="s">
        <v>23</v>
      </c>
      <c r="E591" t="s">
        <v>32</v>
      </c>
      <c r="F591" t="s">
        <v>36</v>
      </c>
      <c r="G591" t="s">
        <v>68</v>
      </c>
      <c r="H591">
        <v>14.62</v>
      </c>
      <c r="I591">
        <v>5</v>
      </c>
      <c r="J591">
        <v>3.6549999999999998</v>
      </c>
      <c r="K591">
        <v>73.099999999999994</v>
      </c>
      <c r="L591" s="1">
        <v>43675</v>
      </c>
      <c r="M591" s="2">
        <v>0.51597222222222228</v>
      </c>
      <c r="N591" t="s">
        <v>33</v>
      </c>
      <c r="O591">
        <v>73.099999999999994</v>
      </c>
      <c r="P591">
        <v>4.7619047620000003</v>
      </c>
      <c r="Q591">
        <v>0</v>
      </c>
      <c r="R591">
        <v>4.4000000000000004</v>
      </c>
      <c r="S591">
        <v>96.173500000000004</v>
      </c>
      <c r="T591">
        <v>16.840900000000001</v>
      </c>
    </row>
    <row r="592" spans="1:20" x14ac:dyDescent="0.3">
      <c r="A592" t="s">
        <v>989</v>
      </c>
      <c r="B592" t="s">
        <v>29</v>
      </c>
      <c r="C592" t="s">
        <v>990</v>
      </c>
      <c r="D592" t="s">
        <v>31</v>
      </c>
      <c r="E592" t="s">
        <v>24</v>
      </c>
      <c r="F592" t="s">
        <v>36</v>
      </c>
      <c r="G592" t="s">
        <v>26</v>
      </c>
      <c r="H592">
        <v>46.53</v>
      </c>
      <c r="I592">
        <v>10</v>
      </c>
      <c r="J592">
        <v>23.265000000000001</v>
      </c>
      <c r="K592">
        <v>465.3</v>
      </c>
      <c r="L592" s="1">
        <v>43578</v>
      </c>
      <c r="M592" s="2">
        <v>0.45416666666666666</v>
      </c>
      <c r="N592" t="s">
        <v>37</v>
      </c>
      <c r="O592">
        <v>279.18</v>
      </c>
      <c r="P592">
        <v>4.7619047620000003</v>
      </c>
      <c r="Q592">
        <v>186.12</v>
      </c>
      <c r="R592">
        <v>4.5149999999999997</v>
      </c>
      <c r="S592">
        <v>96.078500000000005</v>
      </c>
      <c r="T592">
        <v>19.763300000000001</v>
      </c>
    </row>
    <row r="593" spans="1:20" x14ac:dyDescent="0.3">
      <c r="A593" t="s">
        <v>991</v>
      </c>
      <c r="B593" t="s">
        <v>29</v>
      </c>
      <c r="C593" t="s">
        <v>303</v>
      </c>
      <c r="D593" t="s">
        <v>31</v>
      </c>
      <c r="E593" t="s">
        <v>24</v>
      </c>
      <c r="F593" t="s">
        <v>25</v>
      </c>
      <c r="G593" t="s">
        <v>77</v>
      </c>
      <c r="H593">
        <v>24.24</v>
      </c>
      <c r="I593">
        <v>11</v>
      </c>
      <c r="J593">
        <v>13.332000000000001</v>
      </c>
      <c r="K593">
        <v>266.64</v>
      </c>
      <c r="L593" s="1">
        <v>43789</v>
      </c>
      <c r="M593" s="2">
        <v>0.73472222222222228</v>
      </c>
      <c r="N593" t="s">
        <v>27</v>
      </c>
      <c r="O593">
        <v>169.68</v>
      </c>
      <c r="P593">
        <v>4.7619047620000003</v>
      </c>
      <c r="Q593">
        <v>96.96</v>
      </c>
      <c r="R593">
        <v>9.8699999999999992</v>
      </c>
      <c r="S593">
        <v>96.078500000000005</v>
      </c>
      <c r="T593">
        <v>19.763300000000001</v>
      </c>
    </row>
    <row r="594" spans="1:20" x14ac:dyDescent="0.3">
      <c r="A594" t="s">
        <v>992</v>
      </c>
      <c r="B594" t="s">
        <v>21</v>
      </c>
      <c r="C594" t="s">
        <v>689</v>
      </c>
      <c r="D594" t="s">
        <v>23</v>
      </c>
      <c r="E594" t="s">
        <v>24</v>
      </c>
      <c r="F594" t="s">
        <v>25</v>
      </c>
      <c r="G594" t="s">
        <v>68</v>
      </c>
      <c r="H594">
        <v>45.58</v>
      </c>
      <c r="I594">
        <v>1</v>
      </c>
      <c r="J594">
        <v>2.2789999999999999</v>
      </c>
      <c r="K594">
        <v>45.58</v>
      </c>
      <c r="L594" s="1">
        <v>43672</v>
      </c>
      <c r="M594" s="2">
        <v>0.59236111111111112</v>
      </c>
      <c r="N594" t="s">
        <v>33</v>
      </c>
      <c r="O594">
        <v>45.58</v>
      </c>
      <c r="P594">
        <v>4.7619047620000003</v>
      </c>
      <c r="Q594">
        <v>0</v>
      </c>
      <c r="R594">
        <v>9.8000000000000007</v>
      </c>
      <c r="S594">
        <v>96.173500000000004</v>
      </c>
      <c r="T594">
        <v>16.840900000000001</v>
      </c>
    </row>
    <row r="595" spans="1:20" x14ac:dyDescent="0.3">
      <c r="A595" t="s">
        <v>993</v>
      </c>
      <c r="B595" t="s">
        <v>21</v>
      </c>
      <c r="C595" t="s">
        <v>994</v>
      </c>
      <c r="D595" t="s">
        <v>23</v>
      </c>
      <c r="E595" t="s">
        <v>24</v>
      </c>
      <c r="F595" t="s">
        <v>25</v>
      </c>
      <c r="G595" t="s">
        <v>68</v>
      </c>
      <c r="H595">
        <v>75.2</v>
      </c>
      <c r="I595">
        <v>4</v>
      </c>
      <c r="J595">
        <v>15.04</v>
      </c>
      <c r="K595">
        <v>300.8</v>
      </c>
      <c r="L595" s="1">
        <v>43536</v>
      </c>
      <c r="M595" s="2">
        <v>0.49375000000000002</v>
      </c>
      <c r="N595" t="s">
        <v>27</v>
      </c>
      <c r="O595">
        <v>225.6</v>
      </c>
      <c r="P595">
        <v>4.7619047620000003</v>
      </c>
      <c r="Q595">
        <v>75.2</v>
      </c>
      <c r="R595">
        <v>4.8</v>
      </c>
      <c r="S595">
        <v>96.173500000000004</v>
      </c>
      <c r="T595">
        <v>16.840900000000001</v>
      </c>
    </row>
    <row r="596" spans="1:20" x14ac:dyDescent="0.3">
      <c r="A596" t="s">
        <v>995</v>
      </c>
      <c r="B596" t="s">
        <v>51</v>
      </c>
      <c r="C596" t="s">
        <v>288</v>
      </c>
      <c r="D596" t="s">
        <v>53</v>
      </c>
      <c r="E596" t="s">
        <v>24</v>
      </c>
      <c r="F596" t="s">
        <v>36</v>
      </c>
      <c r="G596" t="s">
        <v>68</v>
      </c>
      <c r="H596">
        <v>96.8</v>
      </c>
      <c r="I596">
        <v>6</v>
      </c>
      <c r="J596">
        <v>29.04</v>
      </c>
      <c r="K596">
        <v>580.79999999999995</v>
      </c>
      <c r="L596" s="1">
        <v>43741</v>
      </c>
      <c r="M596" s="2">
        <v>0.54513888888888884</v>
      </c>
      <c r="N596" t="s">
        <v>33</v>
      </c>
      <c r="O596">
        <v>290.39999999999998</v>
      </c>
      <c r="P596">
        <v>4.7619047620000003</v>
      </c>
      <c r="Q596">
        <v>290.39999999999998</v>
      </c>
      <c r="R596">
        <v>6.36</v>
      </c>
      <c r="S596">
        <v>96.089100000000002</v>
      </c>
      <c r="T596">
        <v>21.9588</v>
      </c>
    </row>
    <row r="597" spans="1:20" x14ac:dyDescent="0.3">
      <c r="A597" t="s">
        <v>996</v>
      </c>
      <c r="B597" t="s">
        <v>51</v>
      </c>
      <c r="C597" t="s">
        <v>830</v>
      </c>
      <c r="D597" t="s">
        <v>53</v>
      </c>
      <c r="E597" t="s">
        <v>32</v>
      </c>
      <c r="F597" t="s">
        <v>36</v>
      </c>
      <c r="G597" t="s">
        <v>26</v>
      </c>
      <c r="H597">
        <v>14.82</v>
      </c>
      <c r="I597">
        <v>4</v>
      </c>
      <c r="J597">
        <v>2.964</v>
      </c>
      <c r="K597">
        <v>59.28</v>
      </c>
      <c r="L597" s="1">
        <v>43630</v>
      </c>
      <c r="M597" s="2">
        <v>0.47916666666666669</v>
      </c>
      <c r="N597" t="s">
        <v>37</v>
      </c>
      <c r="O597">
        <v>44.46</v>
      </c>
      <c r="P597">
        <v>4.7619047620000003</v>
      </c>
      <c r="Q597">
        <v>14.82</v>
      </c>
      <c r="R597">
        <v>10</v>
      </c>
      <c r="S597">
        <v>96.089100000000002</v>
      </c>
      <c r="T597">
        <v>21.9588</v>
      </c>
    </row>
    <row r="598" spans="1:20" x14ac:dyDescent="0.3">
      <c r="A598" t="s">
        <v>997</v>
      </c>
      <c r="B598" t="s">
        <v>21</v>
      </c>
      <c r="C598" t="s">
        <v>265</v>
      </c>
      <c r="D598" t="s">
        <v>23</v>
      </c>
      <c r="E598" t="s">
        <v>32</v>
      </c>
      <c r="F598" t="s">
        <v>36</v>
      </c>
      <c r="G598" t="s">
        <v>63</v>
      </c>
      <c r="H598">
        <v>52.2</v>
      </c>
      <c r="I598">
        <v>3</v>
      </c>
      <c r="J598">
        <v>7.83</v>
      </c>
      <c r="K598">
        <v>156.6</v>
      </c>
      <c r="L598" s="1">
        <v>43814</v>
      </c>
      <c r="M598" s="2">
        <v>0.5625</v>
      </c>
      <c r="N598" t="s">
        <v>37</v>
      </c>
      <c r="O598">
        <v>156.6</v>
      </c>
      <c r="P598">
        <v>4.7619047620000003</v>
      </c>
      <c r="Q598">
        <v>0</v>
      </c>
      <c r="R598">
        <v>9.5</v>
      </c>
      <c r="S598">
        <v>96.173500000000004</v>
      </c>
      <c r="T598">
        <v>16.840900000000001</v>
      </c>
    </row>
    <row r="599" spans="1:20" x14ac:dyDescent="0.3">
      <c r="A599" t="s">
        <v>998</v>
      </c>
      <c r="B599" t="s">
        <v>29</v>
      </c>
      <c r="C599" t="s">
        <v>999</v>
      </c>
      <c r="D599" t="s">
        <v>31</v>
      </c>
      <c r="E599" t="s">
        <v>32</v>
      </c>
      <c r="F599" t="s">
        <v>25</v>
      </c>
      <c r="G599" t="s">
        <v>68</v>
      </c>
      <c r="H599">
        <v>46.66</v>
      </c>
      <c r="I599">
        <v>11</v>
      </c>
      <c r="J599">
        <v>25.663</v>
      </c>
      <c r="K599">
        <v>513.26</v>
      </c>
      <c r="L599" s="1">
        <v>43738</v>
      </c>
      <c r="M599" s="2">
        <v>0.7993055555555556</v>
      </c>
      <c r="N599" t="s">
        <v>27</v>
      </c>
      <c r="O599">
        <v>419.94</v>
      </c>
      <c r="P599">
        <v>4.7619047620000003</v>
      </c>
      <c r="Q599">
        <v>93.32</v>
      </c>
      <c r="R599">
        <v>5.5650000000000004</v>
      </c>
      <c r="S599">
        <v>96.078500000000005</v>
      </c>
      <c r="T599">
        <v>19.763300000000001</v>
      </c>
    </row>
    <row r="600" spans="1:20" x14ac:dyDescent="0.3">
      <c r="A600" t="s">
        <v>1000</v>
      </c>
      <c r="B600" t="s">
        <v>29</v>
      </c>
      <c r="C600" t="s">
        <v>685</v>
      </c>
      <c r="D600" t="s">
        <v>31</v>
      </c>
      <c r="E600" t="s">
        <v>32</v>
      </c>
      <c r="F600" t="s">
        <v>25</v>
      </c>
      <c r="G600" t="s">
        <v>100</v>
      </c>
      <c r="H600">
        <v>36.85</v>
      </c>
      <c r="I600">
        <v>6</v>
      </c>
      <c r="J600">
        <v>11.055</v>
      </c>
      <c r="K600">
        <v>221.1</v>
      </c>
      <c r="L600" s="1">
        <v>43498</v>
      </c>
      <c r="M600" s="2">
        <v>0.78680555555555554</v>
      </c>
      <c r="N600" t="s">
        <v>33</v>
      </c>
      <c r="O600">
        <v>184.25</v>
      </c>
      <c r="P600">
        <v>4.7619047620000003</v>
      </c>
      <c r="Q600">
        <v>36.85</v>
      </c>
      <c r="R600">
        <v>9.66</v>
      </c>
      <c r="S600">
        <v>96.078500000000005</v>
      </c>
      <c r="T600">
        <v>19.763300000000001</v>
      </c>
    </row>
    <row r="601" spans="1:20" x14ac:dyDescent="0.3">
      <c r="A601" t="s">
        <v>1001</v>
      </c>
      <c r="B601" t="s">
        <v>21</v>
      </c>
      <c r="C601" t="s">
        <v>1002</v>
      </c>
      <c r="D601" t="s">
        <v>23</v>
      </c>
      <c r="E601" t="s">
        <v>24</v>
      </c>
      <c r="F601" t="s">
        <v>25</v>
      </c>
      <c r="G601" t="s">
        <v>77</v>
      </c>
      <c r="H601">
        <v>70.319999999999993</v>
      </c>
      <c r="I601">
        <v>3</v>
      </c>
      <c r="J601">
        <v>10.548</v>
      </c>
      <c r="K601">
        <v>210.96</v>
      </c>
      <c r="L601" s="1">
        <v>43613</v>
      </c>
      <c r="M601" s="2">
        <v>0.59861111111111109</v>
      </c>
      <c r="N601" t="s">
        <v>27</v>
      </c>
      <c r="O601">
        <v>140.63999999999999</v>
      </c>
      <c r="P601">
        <v>4.7619047620000003</v>
      </c>
      <c r="Q601">
        <v>70.319999999999993</v>
      </c>
      <c r="R601">
        <v>9.6</v>
      </c>
      <c r="S601">
        <v>96.173500000000004</v>
      </c>
      <c r="T601">
        <v>16.840900000000001</v>
      </c>
    </row>
    <row r="602" spans="1:20" x14ac:dyDescent="0.3">
      <c r="A602" t="s">
        <v>1003</v>
      </c>
      <c r="B602" t="s">
        <v>29</v>
      </c>
      <c r="C602" t="s">
        <v>1004</v>
      </c>
      <c r="D602" t="s">
        <v>31</v>
      </c>
      <c r="E602" t="s">
        <v>32</v>
      </c>
      <c r="F602" t="s">
        <v>36</v>
      </c>
      <c r="G602" t="s">
        <v>60</v>
      </c>
      <c r="H602">
        <v>83.08</v>
      </c>
      <c r="I602">
        <v>1</v>
      </c>
      <c r="J602">
        <v>4.1539999999999999</v>
      </c>
      <c r="K602">
        <v>83.08</v>
      </c>
      <c r="L602" s="1">
        <v>43537</v>
      </c>
      <c r="M602" s="2">
        <v>0.71944444444444444</v>
      </c>
      <c r="N602" t="s">
        <v>27</v>
      </c>
      <c r="O602">
        <v>83.08</v>
      </c>
      <c r="P602">
        <v>4.7619047620000003</v>
      </c>
      <c r="Q602">
        <v>0</v>
      </c>
      <c r="R602">
        <v>6.72</v>
      </c>
      <c r="S602">
        <v>96.078500000000005</v>
      </c>
      <c r="T602">
        <v>19.763300000000001</v>
      </c>
    </row>
    <row r="603" spans="1:20" x14ac:dyDescent="0.3">
      <c r="A603" t="s">
        <v>1005</v>
      </c>
      <c r="B603" t="s">
        <v>29</v>
      </c>
      <c r="C603" t="s">
        <v>1006</v>
      </c>
      <c r="D603" t="s">
        <v>31</v>
      </c>
      <c r="E603" t="s">
        <v>32</v>
      </c>
      <c r="F603" t="s">
        <v>25</v>
      </c>
      <c r="G603" t="s">
        <v>100</v>
      </c>
      <c r="H603">
        <v>64.989999999999995</v>
      </c>
      <c r="I603">
        <v>1</v>
      </c>
      <c r="J603">
        <v>3.2494999999999998</v>
      </c>
      <c r="K603">
        <v>64.989999999999995</v>
      </c>
      <c r="L603" s="1">
        <v>43673</v>
      </c>
      <c r="M603" s="2">
        <v>0.42083333333333334</v>
      </c>
      <c r="N603" t="s">
        <v>37</v>
      </c>
      <c r="O603">
        <v>64.989999999999995</v>
      </c>
      <c r="P603">
        <v>4.7619047620000003</v>
      </c>
      <c r="Q603">
        <v>0</v>
      </c>
      <c r="R603">
        <v>4.7249999999999996</v>
      </c>
      <c r="S603">
        <v>96.078500000000005</v>
      </c>
      <c r="T603">
        <v>19.763300000000001</v>
      </c>
    </row>
    <row r="604" spans="1:20" x14ac:dyDescent="0.3">
      <c r="A604" t="s">
        <v>1007</v>
      </c>
      <c r="B604" t="s">
        <v>29</v>
      </c>
      <c r="C604" t="s">
        <v>592</v>
      </c>
      <c r="D604" t="s">
        <v>31</v>
      </c>
      <c r="E604" t="s">
        <v>32</v>
      </c>
      <c r="F604" t="s">
        <v>36</v>
      </c>
      <c r="G604" t="s">
        <v>63</v>
      </c>
      <c r="H604">
        <v>77.56</v>
      </c>
      <c r="I604">
        <v>12</v>
      </c>
      <c r="J604">
        <v>46.536000000000001</v>
      </c>
      <c r="K604">
        <v>930.72</v>
      </c>
      <c r="L604" s="1">
        <v>43759</v>
      </c>
      <c r="M604" s="2">
        <v>0.85763888888888884</v>
      </c>
      <c r="N604" t="s">
        <v>27</v>
      </c>
      <c r="O604">
        <v>775.6</v>
      </c>
      <c r="P604">
        <v>4.7619047620000003</v>
      </c>
      <c r="Q604">
        <v>155.12</v>
      </c>
      <c r="R604">
        <v>7.2450000000000001</v>
      </c>
      <c r="S604">
        <v>96.078500000000005</v>
      </c>
      <c r="T604">
        <v>19.763300000000001</v>
      </c>
    </row>
    <row r="605" spans="1:20" x14ac:dyDescent="0.3">
      <c r="A605" t="s">
        <v>1008</v>
      </c>
      <c r="B605" t="s">
        <v>51</v>
      </c>
      <c r="C605" t="s">
        <v>119</v>
      </c>
      <c r="D605" t="s">
        <v>53</v>
      </c>
      <c r="E605" t="s">
        <v>32</v>
      </c>
      <c r="F605" t="s">
        <v>25</v>
      </c>
      <c r="G605" t="s">
        <v>68</v>
      </c>
      <c r="H605">
        <v>54.51</v>
      </c>
      <c r="I605">
        <v>8</v>
      </c>
      <c r="J605">
        <v>21.803999999999998</v>
      </c>
      <c r="K605">
        <v>436.08</v>
      </c>
      <c r="L605" s="1">
        <v>43724</v>
      </c>
      <c r="M605" s="2">
        <v>0.57916666666666672</v>
      </c>
      <c r="N605" t="s">
        <v>27</v>
      </c>
      <c r="O605">
        <v>327.06</v>
      </c>
      <c r="P605">
        <v>4.7619047620000003</v>
      </c>
      <c r="Q605">
        <v>109.02</v>
      </c>
      <c r="R605">
        <v>9.36</v>
      </c>
      <c r="S605">
        <v>96.089100000000002</v>
      </c>
      <c r="T605">
        <v>21.9588</v>
      </c>
    </row>
    <row r="606" spans="1:20" x14ac:dyDescent="0.3">
      <c r="A606" t="s">
        <v>1009</v>
      </c>
      <c r="B606" t="s">
        <v>29</v>
      </c>
      <c r="C606" t="s">
        <v>1010</v>
      </c>
      <c r="D606" t="s">
        <v>31</v>
      </c>
      <c r="E606" t="s">
        <v>24</v>
      </c>
      <c r="F606" t="s">
        <v>25</v>
      </c>
      <c r="G606" t="s">
        <v>100</v>
      </c>
      <c r="H606">
        <v>51.89</v>
      </c>
      <c r="I606">
        <v>11</v>
      </c>
      <c r="J606">
        <v>28.5395</v>
      </c>
      <c r="K606">
        <v>570.79</v>
      </c>
      <c r="L606" s="1">
        <v>43565</v>
      </c>
      <c r="M606" s="2">
        <v>0.83888888888888891</v>
      </c>
      <c r="N606" t="s">
        <v>33</v>
      </c>
      <c r="O606">
        <v>363.23</v>
      </c>
      <c r="P606">
        <v>4.7619047620000003</v>
      </c>
      <c r="Q606">
        <v>207.56</v>
      </c>
      <c r="R606">
        <v>4.7249999999999996</v>
      </c>
      <c r="S606">
        <v>96.078500000000005</v>
      </c>
      <c r="T606">
        <v>19.763300000000001</v>
      </c>
    </row>
    <row r="607" spans="1:20" x14ac:dyDescent="0.3">
      <c r="A607" t="s">
        <v>1011</v>
      </c>
      <c r="B607" t="s">
        <v>51</v>
      </c>
      <c r="C607" t="s">
        <v>104</v>
      </c>
      <c r="D607" t="s">
        <v>53</v>
      </c>
      <c r="E607" t="s">
        <v>32</v>
      </c>
      <c r="F607" t="s">
        <v>36</v>
      </c>
      <c r="G607" t="s">
        <v>77</v>
      </c>
      <c r="H607">
        <v>31.75</v>
      </c>
      <c r="I607">
        <v>6</v>
      </c>
      <c r="J607">
        <v>9.5250000000000004</v>
      </c>
      <c r="K607">
        <v>190.5</v>
      </c>
      <c r="L607" s="1">
        <v>43748</v>
      </c>
      <c r="M607" s="2">
        <v>0.6430555555555556</v>
      </c>
      <c r="N607" t="s">
        <v>33</v>
      </c>
      <c r="O607">
        <v>127</v>
      </c>
      <c r="P607">
        <v>4.7619047620000003</v>
      </c>
      <c r="Q607">
        <v>63.5</v>
      </c>
      <c r="R607">
        <v>10</v>
      </c>
      <c r="S607">
        <v>96.089100000000002</v>
      </c>
      <c r="T607">
        <v>21.9588</v>
      </c>
    </row>
    <row r="608" spans="1:20" x14ac:dyDescent="0.3">
      <c r="A608" t="s">
        <v>1012</v>
      </c>
      <c r="B608" t="s">
        <v>21</v>
      </c>
      <c r="C608" t="s">
        <v>1013</v>
      </c>
      <c r="D608" t="s">
        <v>23</v>
      </c>
      <c r="E608" t="s">
        <v>24</v>
      </c>
      <c r="F608" t="s">
        <v>25</v>
      </c>
      <c r="G608" t="s">
        <v>100</v>
      </c>
      <c r="H608">
        <v>53.65</v>
      </c>
      <c r="I608">
        <v>10</v>
      </c>
      <c r="J608">
        <v>26.824999999999999</v>
      </c>
      <c r="K608">
        <v>536.5</v>
      </c>
      <c r="L608" s="1">
        <v>43543</v>
      </c>
      <c r="M608" s="2">
        <v>0.53888888888888886</v>
      </c>
      <c r="N608" t="s">
        <v>27</v>
      </c>
      <c r="O608">
        <v>375.55</v>
      </c>
      <c r="P608">
        <v>4.7619047620000003</v>
      </c>
      <c r="Q608">
        <v>160.94999999999999</v>
      </c>
      <c r="R608">
        <v>5.2</v>
      </c>
      <c r="S608">
        <v>96.173500000000004</v>
      </c>
      <c r="T608">
        <v>16.840900000000001</v>
      </c>
    </row>
    <row r="609" spans="1:20" x14ac:dyDescent="0.3">
      <c r="A609" t="s">
        <v>1014</v>
      </c>
      <c r="B609" t="s">
        <v>29</v>
      </c>
      <c r="C609" t="s">
        <v>143</v>
      </c>
      <c r="D609" t="s">
        <v>31</v>
      </c>
      <c r="E609" t="s">
        <v>24</v>
      </c>
      <c r="F609" t="s">
        <v>25</v>
      </c>
      <c r="G609" t="s">
        <v>63</v>
      </c>
      <c r="H609">
        <v>49.79</v>
      </c>
      <c r="I609">
        <v>7</v>
      </c>
      <c r="J609">
        <v>17.426500000000001</v>
      </c>
      <c r="K609">
        <v>348.53</v>
      </c>
      <c r="L609" s="1">
        <v>43476</v>
      </c>
      <c r="M609" s="2">
        <v>0.80277777777777781</v>
      </c>
      <c r="N609" t="s">
        <v>37</v>
      </c>
      <c r="O609">
        <v>199.16</v>
      </c>
      <c r="P609">
        <v>4.7619047620000003</v>
      </c>
      <c r="Q609">
        <v>149.37</v>
      </c>
      <c r="R609">
        <v>6.72</v>
      </c>
      <c r="S609">
        <v>96.078500000000005</v>
      </c>
      <c r="T609">
        <v>19.763300000000001</v>
      </c>
    </row>
    <row r="610" spans="1:20" x14ac:dyDescent="0.3">
      <c r="A610" t="s">
        <v>1015</v>
      </c>
      <c r="B610" t="s">
        <v>21</v>
      </c>
      <c r="C610" t="s">
        <v>1016</v>
      </c>
      <c r="D610" t="s">
        <v>23</v>
      </c>
      <c r="E610" t="s">
        <v>32</v>
      </c>
      <c r="F610" t="s">
        <v>36</v>
      </c>
      <c r="G610" t="s">
        <v>100</v>
      </c>
      <c r="H610">
        <v>30.61</v>
      </c>
      <c r="I610">
        <v>1</v>
      </c>
      <c r="J610">
        <v>1.5305</v>
      </c>
      <c r="K610">
        <v>30.61</v>
      </c>
      <c r="L610" s="1">
        <v>43673</v>
      </c>
      <c r="M610" s="2">
        <v>0.51388888888888884</v>
      </c>
      <c r="N610" t="s">
        <v>27</v>
      </c>
      <c r="O610">
        <v>30.61</v>
      </c>
      <c r="P610">
        <v>4.7619047620000003</v>
      </c>
      <c r="Q610">
        <v>0</v>
      </c>
      <c r="R610">
        <v>5.2</v>
      </c>
      <c r="S610">
        <v>96.173500000000004</v>
      </c>
      <c r="T610">
        <v>16.840900000000001</v>
      </c>
    </row>
    <row r="611" spans="1:20" x14ac:dyDescent="0.3">
      <c r="A611" t="s">
        <v>1017</v>
      </c>
      <c r="B611" t="s">
        <v>51</v>
      </c>
      <c r="C611" t="s">
        <v>437</v>
      </c>
      <c r="D611" t="s">
        <v>53</v>
      </c>
      <c r="E611" t="s">
        <v>24</v>
      </c>
      <c r="F611" t="s">
        <v>36</v>
      </c>
      <c r="G611" t="s">
        <v>63</v>
      </c>
      <c r="H611">
        <v>57.89</v>
      </c>
      <c r="I611">
        <v>4</v>
      </c>
      <c r="J611">
        <v>11.577999999999999</v>
      </c>
      <c r="K611">
        <v>231.56</v>
      </c>
      <c r="L611" s="1">
        <v>43498</v>
      </c>
      <c r="M611" s="2">
        <v>0.44236111111111109</v>
      </c>
      <c r="N611" t="s">
        <v>27</v>
      </c>
      <c r="O611">
        <v>115.78</v>
      </c>
      <c r="P611">
        <v>4.7619047620000003</v>
      </c>
      <c r="Q611">
        <v>115.78</v>
      </c>
      <c r="R611">
        <v>10</v>
      </c>
      <c r="S611">
        <v>96.089100000000002</v>
      </c>
      <c r="T611">
        <v>21.9588</v>
      </c>
    </row>
    <row r="612" spans="1:20" x14ac:dyDescent="0.3">
      <c r="A612" t="s">
        <v>1018</v>
      </c>
      <c r="B612" t="s">
        <v>21</v>
      </c>
      <c r="C612" t="s">
        <v>1019</v>
      </c>
      <c r="D612" t="s">
        <v>23</v>
      </c>
      <c r="E612" t="s">
        <v>32</v>
      </c>
      <c r="F612" t="s">
        <v>25</v>
      </c>
      <c r="G612" t="s">
        <v>60</v>
      </c>
      <c r="H612">
        <v>28.96</v>
      </c>
      <c r="I612">
        <v>1</v>
      </c>
      <c r="J612">
        <v>1.448</v>
      </c>
      <c r="K612">
        <v>28.96</v>
      </c>
      <c r="L612" s="1">
        <v>43620</v>
      </c>
      <c r="M612" s="2">
        <v>0.42916666666666664</v>
      </c>
      <c r="N612" t="s">
        <v>37</v>
      </c>
      <c r="O612">
        <v>28.96</v>
      </c>
      <c r="P612">
        <v>4.7619047620000003</v>
      </c>
      <c r="Q612">
        <v>0</v>
      </c>
      <c r="R612">
        <v>6.2</v>
      </c>
      <c r="S612">
        <v>96.173500000000004</v>
      </c>
      <c r="T612">
        <v>16.840900000000001</v>
      </c>
    </row>
    <row r="613" spans="1:20" x14ac:dyDescent="0.3">
      <c r="A613" t="s">
        <v>1020</v>
      </c>
      <c r="B613" t="s">
        <v>29</v>
      </c>
      <c r="C613" t="s">
        <v>417</v>
      </c>
      <c r="D613" t="s">
        <v>31</v>
      </c>
      <c r="E613" t="s">
        <v>24</v>
      </c>
      <c r="F613" t="s">
        <v>25</v>
      </c>
      <c r="G613" t="s">
        <v>63</v>
      </c>
      <c r="H613">
        <v>98.97</v>
      </c>
      <c r="I613">
        <v>15</v>
      </c>
      <c r="J613">
        <v>74.227500000000006</v>
      </c>
      <c r="K613">
        <v>1484.55</v>
      </c>
      <c r="L613" s="1">
        <v>43655</v>
      </c>
      <c r="M613" s="2">
        <v>0.47430555555555554</v>
      </c>
      <c r="N613" t="s">
        <v>33</v>
      </c>
      <c r="O613">
        <v>890.73</v>
      </c>
      <c r="P613">
        <v>4.7619047620000003</v>
      </c>
      <c r="Q613">
        <v>593.82000000000005</v>
      </c>
      <c r="R613">
        <v>7.0350000000000001</v>
      </c>
      <c r="S613">
        <v>96.078500000000005</v>
      </c>
      <c r="T613">
        <v>19.763300000000001</v>
      </c>
    </row>
    <row r="614" spans="1:20" x14ac:dyDescent="0.3">
      <c r="A614" t="s">
        <v>1021</v>
      </c>
      <c r="B614" t="s">
        <v>51</v>
      </c>
      <c r="C614" t="s">
        <v>751</v>
      </c>
      <c r="D614" t="s">
        <v>53</v>
      </c>
      <c r="E614" t="s">
        <v>24</v>
      </c>
      <c r="F614" t="s">
        <v>36</v>
      </c>
      <c r="G614" t="s">
        <v>100</v>
      </c>
      <c r="H614">
        <v>93.22</v>
      </c>
      <c r="I614">
        <v>6</v>
      </c>
      <c r="J614">
        <v>27.966000000000001</v>
      </c>
      <c r="K614">
        <v>559.32000000000005</v>
      </c>
      <c r="L614" s="1">
        <v>43510</v>
      </c>
      <c r="M614" s="2">
        <v>0.48958333333333331</v>
      </c>
      <c r="N614" t="s">
        <v>33</v>
      </c>
      <c r="O614">
        <v>279.66000000000003</v>
      </c>
      <c r="P614">
        <v>4.7619047620000003</v>
      </c>
      <c r="Q614">
        <v>279.66000000000003</v>
      </c>
      <c r="R614">
        <v>8.64</v>
      </c>
      <c r="S614">
        <v>96.089100000000002</v>
      </c>
      <c r="T614">
        <v>21.9588</v>
      </c>
    </row>
    <row r="615" spans="1:20" x14ac:dyDescent="0.3">
      <c r="A615" t="s">
        <v>1022</v>
      </c>
      <c r="B615" t="s">
        <v>29</v>
      </c>
      <c r="C615" t="s">
        <v>243</v>
      </c>
      <c r="D615" t="s">
        <v>31</v>
      </c>
      <c r="E615" t="s">
        <v>24</v>
      </c>
      <c r="F615" t="s">
        <v>36</v>
      </c>
      <c r="G615" t="s">
        <v>68</v>
      </c>
      <c r="H615">
        <v>80.930000000000007</v>
      </c>
      <c r="I615">
        <v>1</v>
      </c>
      <c r="J615">
        <v>4.0465</v>
      </c>
      <c r="K615">
        <v>80.930000000000007</v>
      </c>
      <c r="L615" s="1">
        <v>43774</v>
      </c>
      <c r="M615" s="2">
        <v>0.67222222222222228</v>
      </c>
      <c r="N615" t="s">
        <v>37</v>
      </c>
      <c r="O615">
        <v>80.930000000000007</v>
      </c>
      <c r="P615">
        <v>4.7619047620000003</v>
      </c>
      <c r="Q615">
        <v>0</v>
      </c>
      <c r="R615">
        <v>9.4499999999999993</v>
      </c>
      <c r="S615">
        <v>96.078500000000005</v>
      </c>
      <c r="T615">
        <v>19.763300000000001</v>
      </c>
    </row>
    <row r="616" spans="1:20" x14ac:dyDescent="0.3">
      <c r="A616" t="s">
        <v>1023</v>
      </c>
      <c r="B616" t="s">
        <v>21</v>
      </c>
      <c r="C616" t="s">
        <v>1024</v>
      </c>
      <c r="D616" t="s">
        <v>23</v>
      </c>
      <c r="E616" t="s">
        <v>24</v>
      </c>
      <c r="F616" t="s">
        <v>36</v>
      </c>
      <c r="G616" t="s">
        <v>63</v>
      </c>
      <c r="H616">
        <v>67.45</v>
      </c>
      <c r="I616">
        <v>14</v>
      </c>
      <c r="J616">
        <v>47.215000000000003</v>
      </c>
      <c r="K616">
        <v>944.3</v>
      </c>
      <c r="L616" s="1">
        <v>43526</v>
      </c>
      <c r="M616" s="2">
        <v>0.47569444444444442</v>
      </c>
      <c r="N616" t="s">
        <v>27</v>
      </c>
      <c r="O616">
        <v>674.5</v>
      </c>
      <c r="P616">
        <v>4.7619047620000003</v>
      </c>
      <c r="Q616">
        <v>269.8</v>
      </c>
      <c r="R616">
        <v>4.2</v>
      </c>
      <c r="S616">
        <v>96.173500000000004</v>
      </c>
      <c r="T616">
        <v>16.840900000000001</v>
      </c>
    </row>
    <row r="617" spans="1:20" x14ac:dyDescent="0.3">
      <c r="A617" t="s">
        <v>1025</v>
      </c>
      <c r="B617" t="s">
        <v>21</v>
      </c>
      <c r="C617" t="s">
        <v>1026</v>
      </c>
      <c r="D617" t="s">
        <v>23</v>
      </c>
      <c r="E617" t="s">
        <v>24</v>
      </c>
      <c r="F617" t="s">
        <v>25</v>
      </c>
      <c r="G617" t="s">
        <v>68</v>
      </c>
      <c r="H617">
        <v>38.72</v>
      </c>
      <c r="I617">
        <v>13</v>
      </c>
      <c r="J617">
        <v>25.167999999999999</v>
      </c>
      <c r="K617">
        <v>503.36</v>
      </c>
      <c r="L617" s="1">
        <v>43486</v>
      </c>
      <c r="M617" s="2">
        <v>0.51666666666666672</v>
      </c>
      <c r="N617" t="s">
        <v>27</v>
      </c>
      <c r="O617">
        <v>348.48</v>
      </c>
      <c r="P617">
        <v>4.7619047620000003</v>
      </c>
      <c r="Q617">
        <v>154.88</v>
      </c>
      <c r="R617">
        <v>4.2</v>
      </c>
      <c r="S617">
        <v>96.173500000000004</v>
      </c>
      <c r="T617">
        <v>16.840900000000001</v>
      </c>
    </row>
    <row r="618" spans="1:20" x14ac:dyDescent="0.3">
      <c r="A618" t="s">
        <v>1027</v>
      </c>
      <c r="B618" t="s">
        <v>51</v>
      </c>
      <c r="C618" t="s">
        <v>286</v>
      </c>
      <c r="D618" t="s">
        <v>53</v>
      </c>
      <c r="E618" t="s">
        <v>24</v>
      </c>
      <c r="F618" t="s">
        <v>36</v>
      </c>
      <c r="G618" t="s">
        <v>68</v>
      </c>
      <c r="H618">
        <v>72.599999999999994</v>
      </c>
      <c r="I618">
        <v>11</v>
      </c>
      <c r="J618">
        <v>39.93</v>
      </c>
      <c r="K618">
        <v>798.6</v>
      </c>
      <c r="L618" s="1">
        <v>43711</v>
      </c>
      <c r="M618" s="2">
        <v>0.82708333333333328</v>
      </c>
      <c r="N618" t="s">
        <v>33</v>
      </c>
      <c r="O618">
        <v>435.6</v>
      </c>
      <c r="P618">
        <v>4.7619047620000003</v>
      </c>
      <c r="Q618">
        <v>363</v>
      </c>
      <c r="R618">
        <v>8.2799999999999994</v>
      </c>
      <c r="S618">
        <v>96.089100000000002</v>
      </c>
      <c r="T618">
        <v>21.9588</v>
      </c>
    </row>
    <row r="619" spans="1:20" x14ac:dyDescent="0.3">
      <c r="A619" t="s">
        <v>1028</v>
      </c>
      <c r="B619" t="s">
        <v>29</v>
      </c>
      <c r="C619" t="s">
        <v>1029</v>
      </c>
      <c r="D619" t="s">
        <v>31</v>
      </c>
      <c r="E619" t="s">
        <v>24</v>
      </c>
      <c r="F619" t="s">
        <v>36</v>
      </c>
      <c r="G619" t="s">
        <v>60</v>
      </c>
      <c r="H619">
        <v>87.91</v>
      </c>
      <c r="I619">
        <v>8</v>
      </c>
      <c r="J619">
        <v>35.164000000000001</v>
      </c>
      <c r="K619">
        <v>703.28</v>
      </c>
      <c r="L619" s="1">
        <v>43577</v>
      </c>
      <c r="M619" s="2">
        <v>0.75694444444444442</v>
      </c>
      <c r="N619" t="s">
        <v>27</v>
      </c>
      <c r="O619">
        <v>439.55</v>
      </c>
      <c r="P619">
        <v>4.7619047620000003</v>
      </c>
      <c r="Q619">
        <v>263.73</v>
      </c>
      <c r="R619">
        <v>4.62</v>
      </c>
      <c r="S619">
        <v>96.078500000000005</v>
      </c>
      <c r="T619">
        <v>19.763300000000001</v>
      </c>
    </row>
    <row r="620" spans="1:20" x14ac:dyDescent="0.3">
      <c r="A620" t="s">
        <v>1030</v>
      </c>
      <c r="B620" t="s">
        <v>21</v>
      </c>
      <c r="C620" t="s">
        <v>1031</v>
      </c>
      <c r="D620" t="s">
        <v>23</v>
      </c>
      <c r="E620" t="s">
        <v>24</v>
      </c>
      <c r="F620" t="s">
        <v>36</v>
      </c>
      <c r="G620" t="s">
        <v>63</v>
      </c>
      <c r="H620">
        <v>98.53</v>
      </c>
      <c r="I620">
        <v>8</v>
      </c>
      <c r="J620">
        <v>39.411999999999999</v>
      </c>
      <c r="K620">
        <v>788.24</v>
      </c>
      <c r="L620" s="1">
        <v>43761</v>
      </c>
      <c r="M620" s="2">
        <v>0.47361111111111109</v>
      </c>
      <c r="N620" t="s">
        <v>37</v>
      </c>
      <c r="O620">
        <v>591.17999999999995</v>
      </c>
      <c r="P620">
        <v>4.7619047620000003</v>
      </c>
      <c r="Q620">
        <v>197.06</v>
      </c>
      <c r="R620">
        <v>4</v>
      </c>
      <c r="S620">
        <v>96.173500000000004</v>
      </c>
      <c r="T620">
        <v>16.840900000000001</v>
      </c>
    </row>
    <row r="621" spans="1:20" x14ac:dyDescent="0.3">
      <c r="A621" t="s">
        <v>1032</v>
      </c>
      <c r="B621" t="s">
        <v>29</v>
      </c>
      <c r="C621" t="s">
        <v>125</v>
      </c>
      <c r="D621" t="s">
        <v>31</v>
      </c>
      <c r="E621" t="s">
        <v>24</v>
      </c>
      <c r="F621" t="s">
        <v>25</v>
      </c>
      <c r="G621" t="s">
        <v>100</v>
      </c>
      <c r="H621">
        <v>43.46</v>
      </c>
      <c r="I621">
        <v>10</v>
      </c>
      <c r="J621">
        <v>21.73</v>
      </c>
      <c r="K621">
        <v>434.6</v>
      </c>
      <c r="L621" s="1">
        <v>43817</v>
      </c>
      <c r="M621" s="2">
        <v>0.74652777777777779</v>
      </c>
      <c r="N621" t="s">
        <v>27</v>
      </c>
      <c r="O621">
        <v>260.76</v>
      </c>
      <c r="P621">
        <v>4.7619047620000003</v>
      </c>
      <c r="Q621">
        <v>173.84</v>
      </c>
      <c r="R621">
        <v>8.9250000000000007</v>
      </c>
      <c r="S621">
        <v>96.078500000000005</v>
      </c>
      <c r="T621">
        <v>19.763300000000001</v>
      </c>
    </row>
    <row r="622" spans="1:20" x14ac:dyDescent="0.3">
      <c r="A622" t="s">
        <v>1033</v>
      </c>
      <c r="B622" t="s">
        <v>21</v>
      </c>
      <c r="C622" t="s">
        <v>39</v>
      </c>
      <c r="D622" t="s">
        <v>23</v>
      </c>
      <c r="E622" t="s">
        <v>32</v>
      </c>
      <c r="F622" t="s">
        <v>25</v>
      </c>
      <c r="G622" t="s">
        <v>63</v>
      </c>
      <c r="H622">
        <v>71.680000000000007</v>
      </c>
      <c r="I622">
        <v>3</v>
      </c>
      <c r="J622">
        <v>10.752000000000001</v>
      </c>
      <c r="K622">
        <v>215.04</v>
      </c>
      <c r="L622" s="1">
        <v>43680</v>
      </c>
      <c r="M622" s="2">
        <v>0.64583333333333337</v>
      </c>
      <c r="N622" t="s">
        <v>37</v>
      </c>
      <c r="O622">
        <v>215.04</v>
      </c>
      <c r="P622">
        <v>4.7619047620000003</v>
      </c>
      <c r="Q622">
        <v>0</v>
      </c>
      <c r="R622">
        <v>9.1999999999999993</v>
      </c>
      <c r="S622">
        <v>96.173500000000004</v>
      </c>
      <c r="T622">
        <v>16.840900000000001</v>
      </c>
    </row>
    <row r="623" spans="1:20" x14ac:dyDescent="0.3">
      <c r="A623" t="s">
        <v>1034</v>
      </c>
      <c r="B623" t="s">
        <v>21</v>
      </c>
      <c r="C623" t="s">
        <v>1035</v>
      </c>
      <c r="D623" t="s">
        <v>23</v>
      </c>
      <c r="E623" t="s">
        <v>32</v>
      </c>
      <c r="F623" t="s">
        <v>25</v>
      </c>
      <c r="G623" t="s">
        <v>68</v>
      </c>
      <c r="H623">
        <v>91.61</v>
      </c>
      <c r="I623">
        <v>1</v>
      </c>
      <c r="J623">
        <v>4.5804999999999998</v>
      </c>
      <c r="K623">
        <v>91.61</v>
      </c>
      <c r="L623" s="1">
        <v>43478</v>
      </c>
      <c r="M623" s="2">
        <v>0.82222222222222219</v>
      </c>
      <c r="N623" t="s">
        <v>33</v>
      </c>
      <c r="O623">
        <v>91.61</v>
      </c>
      <c r="P623">
        <v>4.7619047620000003</v>
      </c>
      <c r="Q623">
        <v>0</v>
      </c>
      <c r="R623">
        <v>9.8000000000000007</v>
      </c>
      <c r="S623">
        <v>96.173500000000004</v>
      </c>
      <c r="T623">
        <v>16.840900000000001</v>
      </c>
    </row>
    <row r="624" spans="1:20" x14ac:dyDescent="0.3">
      <c r="A624" t="s">
        <v>1036</v>
      </c>
      <c r="B624" t="s">
        <v>51</v>
      </c>
      <c r="C624" t="s">
        <v>665</v>
      </c>
      <c r="D624" t="s">
        <v>53</v>
      </c>
      <c r="E624" t="s">
        <v>32</v>
      </c>
      <c r="F624" t="s">
        <v>25</v>
      </c>
      <c r="G624" t="s">
        <v>68</v>
      </c>
      <c r="H624">
        <v>94.59</v>
      </c>
      <c r="I624">
        <v>10</v>
      </c>
      <c r="J624">
        <v>47.295000000000002</v>
      </c>
      <c r="K624">
        <v>945.9</v>
      </c>
      <c r="L624" s="1">
        <v>43493</v>
      </c>
      <c r="M624" s="2">
        <v>0.64375000000000004</v>
      </c>
      <c r="N624" t="s">
        <v>37</v>
      </c>
      <c r="O624">
        <v>662.13</v>
      </c>
      <c r="P624">
        <v>4.7619047620000003</v>
      </c>
      <c r="Q624">
        <v>283.77</v>
      </c>
      <c r="R624">
        <v>5.88</v>
      </c>
      <c r="S624">
        <v>96.089100000000002</v>
      </c>
      <c r="T624">
        <v>21.9588</v>
      </c>
    </row>
    <row r="625" spans="1:20" x14ac:dyDescent="0.3">
      <c r="A625" t="s">
        <v>1037</v>
      </c>
      <c r="B625" t="s">
        <v>51</v>
      </c>
      <c r="C625" t="s">
        <v>440</v>
      </c>
      <c r="D625" t="s">
        <v>53</v>
      </c>
      <c r="E625" t="s">
        <v>32</v>
      </c>
      <c r="F625" t="s">
        <v>25</v>
      </c>
      <c r="G625" t="s">
        <v>68</v>
      </c>
      <c r="H625">
        <v>83.25</v>
      </c>
      <c r="I625">
        <v>14</v>
      </c>
      <c r="J625">
        <v>58.274999999999999</v>
      </c>
      <c r="K625">
        <v>1165.5</v>
      </c>
      <c r="L625" s="1">
        <v>43648</v>
      </c>
      <c r="M625" s="2">
        <v>0.47569444444444442</v>
      </c>
      <c r="N625" t="s">
        <v>37</v>
      </c>
      <c r="O625">
        <v>832.5</v>
      </c>
      <c r="P625">
        <v>4.7619047620000003</v>
      </c>
      <c r="Q625">
        <v>333</v>
      </c>
      <c r="R625">
        <v>5.28</v>
      </c>
      <c r="S625">
        <v>96.089100000000002</v>
      </c>
      <c r="T625">
        <v>21.9588</v>
      </c>
    </row>
    <row r="626" spans="1:20" x14ac:dyDescent="0.3">
      <c r="A626" t="s">
        <v>1038</v>
      </c>
      <c r="B626" t="s">
        <v>51</v>
      </c>
      <c r="C626" t="s">
        <v>980</v>
      </c>
      <c r="D626" t="s">
        <v>53</v>
      </c>
      <c r="E626" t="s">
        <v>32</v>
      </c>
      <c r="F626" t="s">
        <v>36</v>
      </c>
      <c r="G626" t="s">
        <v>68</v>
      </c>
      <c r="H626">
        <v>91.35</v>
      </c>
      <c r="I626">
        <v>1</v>
      </c>
      <c r="J626">
        <v>4.5674999999999999</v>
      </c>
      <c r="K626">
        <v>91.35</v>
      </c>
      <c r="L626" s="1">
        <v>43775</v>
      </c>
      <c r="M626" s="2">
        <v>0.65416666666666667</v>
      </c>
      <c r="N626" t="s">
        <v>33</v>
      </c>
      <c r="O626">
        <v>91.35</v>
      </c>
      <c r="P626">
        <v>4.7619047620000003</v>
      </c>
      <c r="Q626">
        <v>0</v>
      </c>
      <c r="R626">
        <v>8.16</v>
      </c>
      <c r="S626">
        <v>96.089100000000002</v>
      </c>
      <c r="T626">
        <v>21.9588</v>
      </c>
    </row>
    <row r="627" spans="1:20" x14ac:dyDescent="0.3">
      <c r="A627" t="s">
        <v>1039</v>
      </c>
      <c r="B627" t="s">
        <v>51</v>
      </c>
      <c r="C627" t="s">
        <v>458</v>
      </c>
      <c r="D627" t="s">
        <v>53</v>
      </c>
      <c r="E627" t="s">
        <v>32</v>
      </c>
      <c r="F627" t="s">
        <v>25</v>
      </c>
      <c r="G627" t="s">
        <v>68</v>
      </c>
      <c r="H627">
        <v>78.88</v>
      </c>
      <c r="I627">
        <v>3</v>
      </c>
      <c r="J627">
        <v>11.832000000000001</v>
      </c>
      <c r="K627">
        <v>236.64</v>
      </c>
      <c r="L627" s="1">
        <v>43616</v>
      </c>
      <c r="M627" s="2">
        <v>0.6694444444444444</v>
      </c>
      <c r="N627" t="s">
        <v>33</v>
      </c>
      <c r="O627">
        <v>157.76</v>
      </c>
      <c r="P627">
        <v>4.7619047620000003</v>
      </c>
      <c r="Q627">
        <v>78.88</v>
      </c>
      <c r="R627">
        <v>10</v>
      </c>
      <c r="S627">
        <v>96.089100000000002</v>
      </c>
      <c r="T627">
        <v>21.9588</v>
      </c>
    </row>
    <row r="628" spans="1:20" x14ac:dyDescent="0.3">
      <c r="A628" t="s">
        <v>1040</v>
      </c>
      <c r="B628" t="s">
        <v>21</v>
      </c>
      <c r="C628" t="s">
        <v>687</v>
      </c>
      <c r="D628" t="s">
        <v>23</v>
      </c>
      <c r="E628" t="s">
        <v>32</v>
      </c>
      <c r="F628" t="s">
        <v>36</v>
      </c>
      <c r="G628" t="s">
        <v>68</v>
      </c>
      <c r="H628">
        <v>60.87</v>
      </c>
      <c r="I628">
        <v>2</v>
      </c>
      <c r="J628">
        <v>6.0869999999999997</v>
      </c>
      <c r="K628">
        <v>121.74</v>
      </c>
      <c r="L628" s="1">
        <v>43649</v>
      </c>
      <c r="M628" s="2">
        <v>0.52569444444444446</v>
      </c>
      <c r="N628" t="s">
        <v>27</v>
      </c>
      <c r="O628">
        <v>121.74</v>
      </c>
      <c r="P628">
        <v>4.7619047620000003</v>
      </c>
      <c r="Q628">
        <v>0</v>
      </c>
      <c r="R628">
        <v>8.6999999999999993</v>
      </c>
      <c r="S628">
        <v>96.173500000000004</v>
      </c>
      <c r="T628">
        <v>16.840900000000001</v>
      </c>
    </row>
    <row r="629" spans="1:20" x14ac:dyDescent="0.3">
      <c r="A629" t="s">
        <v>1041</v>
      </c>
      <c r="B629" t="s">
        <v>51</v>
      </c>
      <c r="C629" t="s">
        <v>345</v>
      </c>
      <c r="D629" t="s">
        <v>53</v>
      </c>
      <c r="E629" t="s">
        <v>32</v>
      </c>
      <c r="F629" t="s">
        <v>36</v>
      </c>
      <c r="G629" t="s">
        <v>68</v>
      </c>
      <c r="H629">
        <v>82.58</v>
      </c>
      <c r="I629">
        <v>14</v>
      </c>
      <c r="J629">
        <v>57.805999999999997</v>
      </c>
      <c r="K629">
        <v>1156.1199999999999</v>
      </c>
      <c r="L629" s="1">
        <v>43476</v>
      </c>
      <c r="M629" s="2">
        <v>0.6118055555555556</v>
      </c>
      <c r="N629" t="s">
        <v>33</v>
      </c>
      <c r="O629">
        <v>825.8</v>
      </c>
      <c r="P629">
        <v>4.7619047620000003</v>
      </c>
      <c r="Q629">
        <v>330.32</v>
      </c>
      <c r="S629">
        <v>96.089100000000002</v>
      </c>
      <c r="T629">
        <v>21.9588</v>
      </c>
    </row>
    <row r="630" spans="1:20" x14ac:dyDescent="0.3">
      <c r="A630" t="s">
        <v>1042</v>
      </c>
      <c r="B630" t="s">
        <v>21</v>
      </c>
      <c r="C630" t="s">
        <v>1043</v>
      </c>
      <c r="D630" t="s">
        <v>23</v>
      </c>
      <c r="E630" t="s">
        <v>32</v>
      </c>
      <c r="F630" t="s">
        <v>36</v>
      </c>
      <c r="G630" t="s">
        <v>68</v>
      </c>
      <c r="H630">
        <v>53.3</v>
      </c>
      <c r="I630">
        <v>3</v>
      </c>
      <c r="J630">
        <v>7.9950000000000001</v>
      </c>
      <c r="K630">
        <v>159.9</v>
      </c>
      <c r="L630" s="1">
        <v>43620</v>
      </c>
      <c r="M630" s="2">
        <v>0.59652777777777777</v>
      </c>
      <c r="N630" t="s">
        <v>27</v>
      </c>
      <c r="O630">
        <v>159.9</v>
      </c>
      <c r="P630">
        <v>4.7619047620000003</v>
      </c>
      <c r="Q630">
        <v>0</v>
      </c>
      <c r="S630">
        <v>96.173500000000004</v>
      </c>
      <c r="T630">
        <v>16.840900000000001</v>
      </c>
    </row>
    <row r="631" spans="1:20" x14ac:dyDescent="0.3">
      <c r="A631" t="s">
        <v>1044</v>
      </c>
      <c r="B631" t="s">
        <v>21</v>
      </c>
      <c r="C631" t="s">
        <v>1045</v>
      </c>
      <c r="D631" t="s">
        <v>23</v>
      </c>
      <c r="E631" t="s">
        <v>32</v>
      </c>
      <c r="F631" t="s">
        <v>25</v>
      </c>
      <c r="G631" t="s">
        <v>68</v>
      </c>
      <c r="H631">
        <v>12.09</v>
      </c>
      <c r="I631">
        <v>1</v>
      </c>
      <c r="J631">
        <v>0.60450000000000004</v>
      </c>
      <c r="K631">
        <v>12.09</v>
      </c>
      <c r="L631" s="1">
        <v>43669</v>
      </c>
      <c r="M631" s="2">
        <v>0.7631944444444444</v>
      </c>
      <c r="N631" t="s">
        <v>37</v>
      </c>
      <c r="O631">
        <v>12.09</v>
      </c>
      <c r="P631">
        <v>4.7619047620000003</v>
      </c>
      <c r="Q631">
        <v>0</v>
      </c>
      <c r="S631">
        <v>96.173500000000004</v>
      </c>
      <c r="T631">
        <v>16.840900000000001</v>
      </c>
    </row>
    <row r="632" spans="1:20" x14ac:dyDescent="0.3">
      <c r="A632" t="s">
        <v>1046</v>
      </c>
      <c r="B632" t="s">
        <v>21</v>
      </c>
      <c r="C632" t="s">
        <v>1047</v>
      </c>
      <c r="D632" t="s">
        <v>23</v>
      </c>
      <c r="E632" t="s">
        <v>32</v>
      </c>
      <c r="F632" t="s">
        <v>36</v>
      </c>
      <c r="G632" t="s">
        <v>68</v>
      </c>
      <c r="H632">
        <v>64.19</v>
      </c>
      <c r="I632">
        <v>10</v>
      </c>
      <c r="J632">
        <v>32.094999999999999</v>
      </c>
      <c r="K632">
        <v>641.9</v>
      </c>
      <c r="L632" s="1">
        <v>43536</v>
      </c>
      <c r="M632" s="2">
        <v>0.58888888888888891</v>
      </c>
      <c r="N632" t="s">
        <v>37</v>
      </c>
      <c r="O632">
        <v>641.9</v>
      </c>
      <c r="P632">
        <v>4.7619047620000003</v>
      </c>
      <c r="Q632">
        <v>0</v>
      </c>
      <c r="S632">
        <v>96.173500000000004</v>
      </c>
      <c r="T632">
        <v>16.840900000000001</v>
      </c>
    </row>
    <row r="633" spans="1:20" x14ac:dyDescent="0.3">
      <c r="A633" t="s">
        <v>1048</v>
      </c>
      <c r="B633" t="s">
        <v>21</v>
      </c>
      <c r="C633" t="s">
        <v>354</v>
      </c>
      <c r="D633" t="s">
        <v>23</v>
      </c>
      <c r="E633" t="s">
        <v>32</v>
      </c>
      <c r="F633" t="s">
        <v>36</v>
      </c>
      <c r="G633" t="s">
        <v>60</v>
      </c>
      <c r="H633">
        <v>78.31</v>
      </c>
      <c r="I633">
        <v>3</v>
      </c>
      <c r="J633">
        <v>11.746499999999999</v>
      </c>
      <c r="K633">
        <v>234.93</v>
      </c>
      <c r="L633" s="1">
        <v>43679</v>
      </c>
      <c r="M633" s="2">
        <v>0.69305555555555554</v>
      </c>
      <c r="N633" t="s">
        <v>27</v>
      </c>
      <c r="O633">
        <v>234.93</v>
      </c>
      <c r="P633">
        <v>4.7619047620000003</v>
      </c>
      <c r="Q633">
        <v>0</v>
      </c>
      <c r="S633">
        <v>96.173500000000004</v>
      </c>
      <c r="T633">
        <v>16.840900000000001</v>
      </c>
    </row>
    <row r="634" spans="1:20" x14ac:dyDescent="0.3">
      <c r="A634" t="s">
        <v>1049</v>
      </c>
      <c r="B634" t="s">
        <v>21</v>
      </c>
      <c r="C634" t="s">
        <v>1050</v>
      </c>
      <c r="D634" t="s">
        <v>23</v>
      </c>
      <c r="E634" t="s">
        <v>32</v>
      </c>
      <c r="F634" t="s">
        <v>36</v>
      </c>
      <c r="G634" t="s">
        <v>63</v>
      </c>
      <c r="H634">
        <v>83.77</v>
      </c>
      <c r="I634">
        <v>2</v>
      </c>
      <c r="J634">
        <v>8.3770000000000007</v>
      </c>
      <c r="K634">
        <v>167.54</v>
      </c>
      <c r="L634" s="1">
        <v>43489</v>
      </c>
      <c r="M634" s="2">
        <v>0.45416666666666666</v>
      </c>
      <c r="N634" t="s">
        <v>37</v>
      </c>
      <c r="O634">
        <v>167.54</v>
      </c>
      <c r="P634">
        <v>4.7619047620000003</v>
      </c>
      <c r="Q634">
        <v>0</v>
      </c>
      <c r="R634">
        <v>7</v>
      </c>
      <c r="S634">
        <v>96.173500000000004</v>
      </c>
      <c r="T634">
        <v>16.840900000000001</v>
      </c>
    </row>
    <row r="635" spans="1:20" x14ac:dyDescent="0.3">
      <c r="A635" t="s">
        <v>1051</v>
      </c>
      <c r="B635" t="s">
        <v>51</v>
      </c>
      <c r="C635" t="s">
        <v>1052</v>
      </c>
      <c r="D635" t="s">
        <v>53</v>
      </c>
      <c r="E635" t="s">
        <v>32</v>
      </c>
      <c r="F635" t="s">
        <v>36</v>
      </c>
      <c r="G635" t="s">
        <v>77</v>
      </c>
      <c r="H635">
        <v>99.7</v>
      </c>
      <c r="I635">
        <v>4</v>
      </c>
      <c r="J635">
        <v>19.940000000000001</v>
      </c>
      <c r="K635">
        <v>398.8</v>
      </c>
      <c r="L635" s="1">
        <v>43787</v>
      </c>
      <c r="M635" s="2">
        <v>0.47847222222222224</v>
      </c>
      <c r="N635" t="s">
        <v>27</v>
      </c>
      <c r="O635">
        <v>299.10000000000002</v>
      </c>
      <c r="P635">
        <v>4.7619047620000003</v>
      </c>
      <c r="Q635">
        <v>99.7</v>
      </c>
      <c r="R635">
        <v>5.64</v>
      </c>
      <c r="S635">
        <v>96.089100000000002</v>
      </c>
      <c r="T635">
        <v>21.9588</v>
      </c>
    </row>
    <row r="636" spans="1:20" x14ac:dyDescent="0.3">
      <c r="A636" t="s">
        <v>1053</v>
      </c>
      <c r="B636" t="s">
        <v>51</v>
      </c>
      <c r="C636" t="s">
        <v>268</v>
      </c>
      <c r="D636" t="s">
        <v>53</v>
      </c>
      <c r="E636" t="s">
        <v>32</v>
      </c>
      <c r="F636" t="s">
        <v>36</v>
      </c>
      <c r="G636" t="s">
        <v>63</v>
      </c>
      <c r="H636">
        <v>79.91</v>
      </c>
      <c r="I636">
        <v>4</v>
      </c>
      <c r="J636">
        <v>15.981999999999999</v>
      </c>
      <c r="K636">
        <v>319.64</v>
      </c>
      <c r="L636" s="1">
        <v>43781</v>
      </c>
      <c r="M636" s="2">
        <v>0.81111111111111112</v>
      </c>
      <c r="N636" t="s">
        <v>37</v>
      </c>
      <c r="O636">
        <v>239.73</v>
      </c>
      <c r="P636">
        <v>4.7619047620000003</v>
      </c>
      <c r="Q636">
        <v>79.91</v>
      </c>
      <c r="R636">
        <v>6</v>
      </c>
      <c r="S636">
        <v>96.089100000000002</v>
      </c>
      <c r="T636">
        <v>21.9588</v>
      </c>
    </row>
    <row r="637" spans="1:20" x14ac:dyDescent="0.3">
      <c r="A637" t="s">
        <v>1054</v>
      </c>
      <c r="B637" t="s">
        <v>51</v>
      </c>
      <c r="C637" t="s">
        <v>706</v>
      </c>
      <c r="D637" t="s">
        <v>53</v>
      </c>
      <c r="E637" t="s">
        <v>32</v>
      </c>
      <c r="F637" t="s">
        <v>36</v>
      </c>
      <c r="G637" t="s">
        <v>100</v>
      </c>
      <c r="H637">
        <v>66.47</v>
      </c>
      <c r="I637">
        <v>14</v>
      </c>
      <c r="J637">
        <v>46.529000000000003</v>
      </c>
      <c r="K637">
        <v>930.58</v>
      </c>
      <c r="L637" s="1">
        <v>43710</v>
      </c>
      <c r="M637" s="2">
        <v>0.62569444444444444</v>
      </c>
      <c r="N637" t="s">
        <v>37</v>
      </c>
      <c r="O637">
        <v>664.7</v>
      </c>
      <c r="P637">
        <v>4.7619047620000003</v>
      </c>
      <c r="Q637">
        <v>265.88</v>
      </c>
      <c r="R637">
        <v>6</v>
      </c>
      <c r="S637">
        <v>96.089100000000002</v>
      </c>
      <c r="T637">
        <v>21.9588</v>
      </c>
    </row>
    <row r="638" spans="1:20" x14ac:dyDescent="0.3">
      <c r="A638" t="s">
        <v>1055</v>
      </c>
      <c r="B638" t="s">
        <v>21</v>
      </c>
      <c r="C638" t="s">
        <v>150</v>
      </c>
      <c r="D638" t="s">
        <v>23</v>
      </c>
      <c r="E638" t="s">
        <v>32</v>
      </c>
      <c r="F638" t="s">
        <v>36</v>
      </c>
      <c r="G638" t="s">
        <v>100</v>
      </c>
      <c r="H638">
        <v>28.95</v>
      </c>
      <c r="I638">
        <v>7</v>
      </c>
      <c r="J638">
        <v>10.1325</v>
      </c>
      <c r="K638">
        <v>202.65</v>
      </c>
      <c r="L638" s="1">
        <v>43605</v>
      </c>
      <c r="M638" s="2">
        <v>0.85486111111111107</v>
      </c>
      <c r="N638" t="s">
        <v>37</v>
      </c>
      <c r="O638">
        <v>202.65</v>
      </c>
      <c r="P638">
        <v>4.7619047620000003</v>
      </c>
      <c r="Q638">
        <v>0</v>
      </c>
      <c r="R638">
        <v>6</v>
      </c>
      <c r="S638">
        <v>96.173500000000004</v>
      </c>
      <c r="T638">
        <v>16.840900000000001</v>
      </c>
    </row>
    <row r="639" spans="1:20" x14ac:dyDescent="0.3">
      <c r="A639" t="s">
        <v>1056</v>
      </c>
      <c r="B639" t="s">
        <v>29</v>
      </c>
      <c r="C639" t="s">
        <v>1057</v>
      </c>
      <c r="D639" t="s">
        <v>31</v>
      </c>
      <c r="E639" t="s">
        <v>32</v>
      </c>
      <c r="F639" t="s">
        <v>25</v>
      </c>
      <c r="G639" t="s">
        <v>100</v>
      </c>
      <c r="H639">
        <v>46.2</v>
      </c>
      <c r="I639">
        <v>1</v>
      </c>
      <c r="J639">
        <v>2.31</v>
      </c>
      <c r="K639">
        <v>46.2</v>
      </c>
      <c r="L639" s="1">
        <v>43615</v>
      </c>
      <c r="M639" s="2">
        <v>0.51111111111111107</v>
      </c>
      <c r="N639" t="s">
        <v>33</v>
      </c>
      <c r="O639">
        <v>46.2</v>
      </c>
      <c r="P639">
        <v>4.7619047620000003</v>
      </c>
      <c r="Q639">
        <v>0</v>
      </c>
      <c r="R639">
        <v>6.6150000000000002</v>
      </c>
      <c r="S639">
        <v>96.078500000000005</v>
      </c>
      <c r="T639">
        <v>19.763300000000001</v>
      </c>
    </row>
    <row r="640" spans="1:20" x14ac:dyDescent="0.3">
      <c r="A640" t="s">
        <v>1058</v>
      </c>
      <c r="B640" t="s">
        <v>51</v>
      </c>
      <c r="C640" t="s">
        <v>791</v>
      </c>
      <c r="D640" t="s">
        <v>53</v>
      </c>
      <c r="E640" t="s">
        <v>24</v>
      </c>
      <c r="F640" t="s">
        <v>25</v>
      </c>
      <c r="G640" t="s">
        <v>100</v>
      </c>
      <c r="H640">
        <v>17.63</v>
      </c>
      <c r="I640">
        <v>10</v>
      </c>
      <c r="J640">
        <v>8.8149999999999995</v>
      </c>
      <c r="K640">
        <v>176.3</v>
      </c>
      <c r="L640" s="1">
        <v>43587</v>
      </c>
      <c r="M640" s="2">
        <v>0.64375000000000004</v>
      </c>
      <c r="N640" t="s">
        <v>33</v>
      </c>
      <c r="O640">
        <v>88.15</v>
      </c>
      <c r="P640">
        <v>4.7619047620000003</v>
      </c>
      <c r="Q640">
        <v>88.15</v>
      </c>
      <c r="R640">
        <v>10</v>
      </c>
      <c r="S640">
        <v>96.089100000000002</v>
      </c>
      <c r="T640">
        <v>21.9588</v>
      </c>
    </row>
    <row r="641" spans="1:20" x14ac:dyDescent="0.3">
      <c r="A641" t="s">
        <v>1059</v>
      </c>
      <c r="B641" t="s">
        <v>51</v>
      </c>
      <c r="C641" t="s">
        <v>514</v>
      </c>
      <c r="D641" t="s">
        <v>53</v>
      </c>
      <c r="E641" t="s">
        <v>32</v>
      </c>
      <c r="F641" t="s">
        <v>36</v>
      </c>
      <c r="G641" t="s">
        <v>100</v>
      </c>
      <c r="H641">
        <v>52.42</v>
      </c>
      <c r="I641">
        <v>4</v>
      </c>
      <c r="J641">
        <v>10.484</v>
      </c>
      <c r="K641">
        <v>209.68</v>
      </c>
      <c r="L641" s="1">
        <v>43652</v>
      </c>
      <c r="M641" s="2">
        <v>0.73333333333333328</v>
      </c>
      <c r="N641" t="s">
        <v>27</v>
      </c>
      <c r="O641">
        <v>157.26</v>
      </c>
      <c r="P641">
        <v>4.7619047620000003</v>
      </c>
      <c r="Q641">
        <v>52.42</v>
      </c>
      <c r="R641">
        <v>9</v>
      </c>
      <c r="S641">
        <v>96.089100000000002</v>
      </c>
      <c r="T641">
        <v>21.9588</v>
      </c>
    </row>
    <row r="642" spans="1:20" x14ac:dyDescent="0.3">
      <c r="A642" t="s">
        <v>1060</v>
      </c>
      <c r="B642" t="s">
        <v>51</v>
      </c>
      <c r="C642" t="s">
        <v>895</v>
      </c>
      <c r="D642" t="s">
        <v>53</v>
      </c>
      <c r="E642" t="s">
        <v>24</v>
      </c>
      <c r="F642" t="s">
        <v>25</v>
      </c>
      <c r="G642" t="s">
        <v>100</v>
      </c>
      <c r="H642">
        <v>98.79</v>
      </c>
      <c r="I642">
        <v>6</v>
      </c>
      <c r="J642">
        <v>29.637</v>
      </c>
      <c r="K642">
        <v>592.74</v>
      </c>
      <c r="L642" s="1">
        <v>43579</v>
      </c>
      <c r="M642" s="2">
        <v>0.83333333333333337</v>
      </c>
      <c r="N642" t="s">
        <v>27</v>
      </c>
      <c r="O642">
        <v>296.37</v>
      </c>
      <c r="P642">
        <v>4.7619047620000003</v>
      </c>
      <c r="Q642">
        <v>296.37</v>
      </c>
      <c r="R642">
        <v>7.68</v>
      </c>
      <c r="S642">
        <v>96.089100000000002</v>
      </c>
      <c r="T642">
        <v>21.9588</v>
      </c>
    </row>
    <row r="643" spans="1:20" x14ac:dyDescent="0.3">
      <c r="A643" t="s">
        <v>1061</v>
      </c>
      <c r="B643" t="s">
        <v>29</v>
      </c>
      <c r="C643" t="s">
        <v>30</v>
      </c>
      <c r="D643" t="s">
        <v>31</v>
      </c>
      <c r="E643" t="s">
        <v>24</v>
      </c>
      <c r="F643" t="s">
        <v>25</v>
      </c>
      <c r="G643" t="s">
        <v>100</v>
      </c>
      <c r="H643">
        <v>88.55</v>
      </c>
      <c r="I643">
        <v>14</v>
      </c>
      <c r="J643">
        <v>61.984999999999999</v>
      </c>
      <c r="K643">
        <v>1239.7</v>
      </c>
      <c r="L643" s="1">
        <v>43698</v>
      </c>
      <c r="M643" s="2">
        <v>0.64513888888888893</v>
      </c>
      <c r="N643" t="s">
        <v>27</v>
      </c>
      <c r="O643">
        <v>708.4</v>
      </c>
      <c r="P643">
        <v>4.7619047620000003</v>
      </c>
      <c r="Q643">
        <v>531.29999999999995</v>
      </c>
      <c r="R643">
        <v>4.9349999999999996</v>
      </c>
      <c r="S643">
        <v>96.078500000000005</v>
      </c>
      <c r="T643">
        <v>19.763300000000001</v>
      </c>
    </row>
    <row r="644" spans="1:20" x14ac:dyDescent="0.3">
      <c r="A644" t="s">
        <v>1062</v>
      </c>
      <c r="B644" t="s">
        <v>51</v>
      </c>
      <c r="C644" t="s">
        <v>328</v>
      </c>
      <c r="D644" t="s">
        <v>53</v>
      </c>
      <c r="E644" t="s">
        <v>24</v>
      </c>
      <c r="F644" t="s">
        <v>36</v>
      </c>
      <c r="G644" t="s">
        <v>100</v>
      </c>
      <c r="H644">
        <v>55.67</v>
      </c>
      <c r="I644">
        <v>4</v>
      </c>
      <c r="J644">
        <v>11.134</v>
      </c>
      <c r="K644">
        <v>222.68</v>
      </c>
      <c r="L644" s="1">
        <v>43724</v>
      </c>
      <c r="M644" s="2">
        <v>0.63055555555555554</v>
      </c>
      <c r="N644" t="s">
        <v>27</v>
      </c>
      <c r="O644">
        <v>111.34</v>
      </c>
      <c r="P644">
        <v>4.7619047620000003</v>
      </c>
      <c r="Q644">
        <v>111.34</v>
      </c>
      <c r="R644">
        <v>7.2</v>
      </c>
      <c r="S644">
        <v>96.089100000000002</v>
      </c>
      <c r="T644">
        <v>21.9588</v>
      </c>
    </row>
    <row r="645" spans="1:20" x14ac:dyDescent="0.3">
      <c r="A645" t="s">
        <v>1063</v>
      </c>
      <c r="B645" t="s">
        <v>29</v>
      </c>
      <c r="C645" t="s">
        <v>1064</v>
      </c>
      <c r="D645" t="s">
        <v>31</v>
      </c>
      <c r="E645" t="s">
        <v>24</v>
      </c>
      <c r="F645" t="s">
        <v>25</v>
      </c>
      <c r="G645" t="s">
        <v>100</v>
      </c>
      <c r="H645">
        <v>72.52</v>
      </c>
      <c r="I645">
        <v>14</v>
      </c>
      <c r="J645">
        <v>50.764000000000003</v>
      </c>
      <c r="K645">
        <v>1015.28</v>
      </c>
      <c r="L645" s="1">
        <v>43780</v>
      </c>
      <c r="M645" s="2">
        <v>0.80972222222222223</v>
      </c>
      <c r="N645" t="s">
        <v>37</v>
      </c>
      <c r="O645">
        <v>580.16</v>
      </c>
      <c r="P645">
        <v>4.7619047620000003</v>
      </c>
      <c r="Q645">
        <v>435.12</v>
      </c>
      <c r="R645">
        <v>4.2</v>
      </c>
      <c r="S645">
        <v>96.078500000000005</v>
      </c>
      <c r="T645">
        <v>19.763300000000001</v>
      </c>
    </row>
    <row r="646" spans="1:20" x14ac:dyDescent="0.3">
      <c r="A646" t="s">
        <v>1065</v>
      </c>
      <c r="B646" t="s">
        <v>29</v>
      </c>
      <c r="C646" t="s">
        <v>248</v>
      </c>
      <c r="D646" t="s">
        <v>31</v>
      </c>
      <c r="E646" t="s">
        <v>24</v>
      </c>
      <c r="F646" t="s">
        <v>36</v>
      </c>
      <c r="G646" t="s">
        <v>60</v>
      </c>
      <c r="H646">
        <v>12.05</v>
      </c>
      <c r="I646">
        <v>8</v>
      </c>
      <c r="J646">
        <v>4.82</v>
      </c>
      <c r="K646">
        <v>96.4</v>
      </c>
      <c r="L646" s="1">
        <v>43599</v>
      </c>
      <c r="M646" s="2">
        <v>0.66180555555555554</v>
      </c>
      <c r="N646" t="s">
        <v>27</v>
      </c>
      <c r="O646">
        <v>60.25</v>
      </c>
      <c r="P646">
        <v>4.7619047620000003</v>
      </c>
      <c r="Q646">
        <v>36.15</v>
      </c>
      <c r="R646">
        <v>5.7750000000000004</v>
      </c>
      <c r="S646">
        <v>96.078500000000005</v>
      </c>
      <c r="T646">
        <v>19.763300000000001</v>
      </c>
    </row>
    <row r="647" spans="1:20" x14ac:dyDescent="0.3">
      <c r="A647" t="s">
        <v>1066</v>
      </c>
      <c r="B647" t="s">
        <v>21</v>
      </c>
      <c r="C647" t="s">
        <v>512</v>
      </c>
      <c r="D647" t="s">
        <v>23</v>
      </c>
      <c r="E647" t="s">
        <v>24</v>
      </c>
      <c r="F647" t="s">
        <v>36</v>
      </c>
      <c r="G647" t="s">
        <v>77</v>
      </c>
      <c r="H647">
        <v>19.36</v>
      </c>
      <c r="I647">
        <v>13</v>
      </c>
      <c r="J647">
        <v>12.584</v>
      </c>
      <c r="K647">
        <v>251.68</v>
      </c>
      <c r="L647" s="1">
        <v>43707</v>
      </c>
      <c r="M647" s="2">
        <v>0.77986111111111112</v>
      </c>
      <c r="N647" t="s">
        <v>27</v>
      </c>
      <c r="O647">
        <v>174.24</v>
      </c>
      <c r="P647">
        <v>4.7619047620000003</v>
      </c>
      <c r="Q647">
        <v>77.44</v>
      </c>
      <c r="R647">
        <v>8.6999999999999993</v>
      </c>
      <c r="S647">
        <v>96.173500000000004</v>
      </c>
      <c r="T647">
        <v>16.840900000000001</v>
      </c>
    </row>
    <row r="648" spans="1:20" x14ac:dyDescent="0.3">
      <c r="A648" t="s">
        <v>1067</v>
      </c>
      <c r="B648" t="s">
        <v>29</v>
      </c>
      <c r="C648" t="s">
        <v>254</v>
      </c>
      <c r="D648" t="s">
        <v>31</v>
      </c>
      <c r="E648" t="s">
        <v>32</v>
      </c>
      <c r="F648" t="s">
        <v>36</v>
      </c>
      <c r="G648" t="s">
        <v>26</v>
      </c>
      <c r="H648">
        <v>70.209999999999994</v>
      </c>
      <c r="I648">
        <v>7</v>
      </c>
      <c r="J648">
        <v>24.573499999999999</v>
      </c>
      <c r="K648">
        <v>491.47</v>
      </c>
      <c r="L648" s="1">
        <v>43717</v>
      </c>
      <c r="M648" s="2">
        <v>0.62361111111111112</v>
      </c>
      <c r="N648" t="s">
        <v>33</v>
      </c>
      <c r="O648">
        <v>421.26</v>
      </c>
      <c r="P648">
        <v>4.7619047620000003</v>
      </c>
      <c r="Q648">
        <v>70.209999999999994</v>
      </c>
      <c r="R648">
        <v>7.77</v>
      </c>
      <c r="S648">
        <v>96.078500000000005</v>
      </c>
      <c r="T648">
        <v>19.763300000000001</v>
      </c>
    </row>
    <row r="649" spans="1:20" x14ac:dyDescent="0.3">
      <c r="A649" t="s">
        <v>1068</v>
      </c>
      <c r="B649" t="s">
        <v>51</v>
      </c>
      <c r="C649" t="s">
        <v>469</v>
      </c>
      <c r="D649" t="s">
        <v>53</v>
      </c>
      <c r="E649" t="s">
        <v>24</v>
      </c>
      <c r="F649" t="s">
        <v>36</v>
      </c>
      <c r="G649" t="s">
        <v>100</v>
      </c>
      <c r="H649">
        <v>33.630000000000003</v>
      </c>
      <c r="I649">
        <v>1</v>
      </c>
      <c r="J649">
        <v>1.6815</v>
      </c>
      <c r="K649">
        <v>33.630000000000003</v>
      </c>
      <c r="L649" s="1">
        <v>43514</v>
      </c>
      <c r="M649" s="2">
        <v>0.82986111111111116</v>
      </c>
      <c r="N649" t="s">
        <v>33</v>
      </c>
      <c r="O649">
        <v>33.630000000000003</v>
      </c>
      <c r="P649">
        <v>4.7619047620000003</v>
      </c>
      <c r="Q649">
        <v>0</v>
      </c>
      <c r="R649">
        <v>6.72</v>
      </c>
      <c r="S649">
        <v>96.089100000000002</v>
      </c>
      <c r="T649">
        <v>21.9588</v>
      </c>
    </row>
    <row r="650" spans="1:20" x14ac:dyDescent="0.3">
      <c r="A650" t="s">
        <v>1069</v>
      </c>
      <c r="B650" t="s">
        <v>29</v>
      </c>
      <c r="C650" t="s">
        <v>675</v>
      </c>
      <c r="D650" t="s">
        <v>31</v>
      </c>
      <c r="E650" t="s">
        <v>24</v>
      </c>
      <c r="F650" t="s">
        <v>25</v>
      </c>
      <c r="G650" t="s">
        <v>68</v>
      </c>
      <c r="H650">
        <v>15.49</v>
      </c>
      <c r="I650">
        <v>3</v>
      </c>
      <c r="J650">
        <v>2.3235000000000001</v>
      </c>
      <c r="K650">
        <v>46.47</v>
      </c>
      <c r="L650" s="1">
        <v>43788</v>
      </c>
      <c r="M650" s="2">
        <v>0.63194444444444442</v>
      </c>
      <c r="N650" t="s">
        <v>33</v>
      </c>
      <c r="O650">
        <v>30.98</v>
      </c>
      <c r="P650">
        <v>4.7619047620000003</v>
      </c>
      <c r="Q650">
        <v>15.49</v>
      </c>
      <c r="R650">
        <v>6.6150000000000002</v>
      </c>
      <c r="S650">
        <v>96.078500000000005</v>
      </c>
      <c r="T650">
        <v>19.763300000000001</v>
      </c>
    </row>
    <row r="651" spans="1:20" x14ac:dyDescent="0.3">
      <c r="A651" t="s">
        <v>1070</v>
      </c>
      <c r="B651" t="s">
        <v>29</v>
      </c>
      <c r="C651" t="s">
        <v>1071</v>
      </c>
      <c r="D651" t="s">
        <v>31</v>
      </c>
      <c r="E651" t="s">
        <v>32</v>
      </c>
      <c r="F651" t="s">
        <v>36</v>
      </c>
      <c r="G651" t="s">
        <v>60</v>
      </c>
      <c r="H651">
        <v>24.74</v>
      </c>
      <c r="I651">
        <v>12</v>
      </c>
      <c r="J651">
        <v>14.843999999999999</v>
      </c>
      <c r="K651">
        <v>296.88</v>
      </c>
      <c r="L651" s="1">
        <v>43590</v>
      </c>
      <c r="M651" s="2">
        <v>0.69722222222222219</v>
      </c>
      <c r="N651" t="s">
        <v>33</v>
      </c>
      <c r="O651">
        <v>247.4</v>
      </c>
      <c r="P651">
        <v>4.7619047620000003</v>
      </c>
      <c r="Q651">
        <v>49.48</v>
      </c>
      <c r="R651">
        <v>7.4550000000000001</v>
      </c>
      <c r="S651">
        <v>96.078500000000005</v>
      </c>
      <c r="T651">
        <v>19.763300000000001</v>
      </c>
    </row>
    <row r="652" spans="1:20" x14ac:dyDescent="0.3">
      <c r="A652" t="s">
        <v>1072</v>
      </c>
      <c r="B652" t="s">
        <v>51</v>
      </c>
      <c r="C652" t="s">
        <v>454</v>
      </c>
      <c r="D652" t="s">
        <v>53</v>
      </c>
      <c r="E652" t="s">
        <v>32</v>
      </c>
      <c r="F652" t="s">
        <v>36</v>
      </c>
      <c r="G652" t="s">
        <v>60</v>
      </c>
      <c r="H652">
        <v>75.66</v>
      </c>
      <c r="I652">
        <v>7</v>
      </c>
      <c r="J652">
        <v>26.481000000000002</v>
      </c>
      <c r="K652">
        <v>529.62</v>
      </c>
      <c r="L652" s="1">
        <v>43521</v>
      </c>
      <c r="M652" s="2">
        <v>0.76527777777777772</v>
      </c>
      <c r="N652" t="s">
        <v>27</v>
      </c>
      <c r="O652">
        <v>378.3</v>
      </c>
      <c r="P652">
        <v>4.7619047620000003</v>
      </c>
      <c r="Q652">
        <v>151.32</v>
      </c>
      <c r="R652">
        <v>9.36</v>
      </c>
      <c r="S652">
        <v>96.089100000000002</v>
      </c>
      <c r="T652">
        <v>21.9588</v>
      </c>
    </row>
    <row r="653" spans="1:20" x14ac:dyDescent="0.3">
      <c r="A653" t="s">
        <v>1073</v>
      </c>
      <c r="B653" t="s">
        <v>51</v>
      </c>
      <c r="C653" t="s">
        <v>830</v>
      </c>
      <c r="D653" t="s">
        <v>53</v>
      </c>
      <c r="E653" t="s">
        <v>32</v>
      </c>
      <c r="F653" t="s">
        <v>25</v>
      </c>
      <c r="G653" t="s">
        <v>26</v>
      </c>
      <c r="H653">
        <v>55.81</v>
      </c>
      <c r="I653">
        <v>8</v>
      </c>
      <c r="J653">
        <v>22.324000000000002</v>
      </c>
      <c r="K653">
        <v>446.48</v>
      </c>
      <c r="L653" s="1">
        <v>43695</v>
      </c>
      <c r="M653" s="2">
        <v>0.49444444444444446</v>
      </c>
      <c r="N653" t="s">
        <v>33</v>
      </c>
      <c r="O653">
        <v>334.86</v>
      </c>
      <c r="P653">
        <v>4.7619047620000003</v>
      </c>
      <c r="Q653">
        <v>111.62</v>
      </c>
      <c r="R653">
        <v>10</v>
      </c>
      <c r="S653">
        <v>96.089100000000002</v>
      </c>
      <c r="T653">
        <v>21.9588</v>
      </c>
    </row>
    <row r="654" spans="1:20" x14ac:dyDescent="0.3">
      <c r="A654" t="s">
        <v>1074</v>
      </c>
      <c r="B654" t="s">
        <v>21</v>
      </c>
      <c r="C654" t="s">
        <v>35</v>
      </c>
      <c r="D654" t="s">
        <v>23</v>
      </c>
      <c r="E654" t="s">
        <v>24</v>
      </c>
      <c r="F654" t="s">
        <v>36</v>
      </c>
      <c r="G654" t="s">
        <v>77</v>
      </c>
      <c r="H654">
        <v>72.78</v>
      </c>
      <c r="I654">
        <v>14</v>
      </c>
      <c r="J654">
        <v>50.945999999999998</v>
      </c>
      <c r="K654">
        <v>1018.92</v>
      </c>
      <c r="L654" s="1">
        <v>43531</v>
      </c>
      <c r="M654" s="2">
        <v>0.72499999999999998</v>
      </c>
      <c r="N654" t="s">
        <v>33</v>
      </c>
      <c r="O654">
        <v>727.8</v>
      </c>
      <c r="P654">
        <v>4.7619047620000003</v>
      </c>
      <c r="Q654">
        <v>291.12</v>
      </c>
      <c r="R654">
        <v>7.3</v>
      </c>
      <c r="S654">
        <v>96.173500000000004</v>
      </c>
      <c r="T654">
        <v>16.840900000000001</v>
      </c>
    </row>
    <row r="655" spans="1:20" x14ac:dyDescent="0.3">
      <c r="A655" t="s">
        <v>1075</v>
      </c>
      <c r="B655" t="s">
        <v>51</v>
      </c>
      <c r="C655" t="s">
        <v>948</v>
      </c>
      <c r="D655" t="s">
        <v>53</v>
      </c>
      <c r="E655" t="s">
        <v>24</v>
      </c>
      <c r="F655" t="s">
        <v>36</v>
      </c>
      <c r="G655" t="s">
        <v>68</v>
      </c>
      <c r="H655">
        <v>37.32</v>
      </c>
      <c r="I655">
        <v>18</v>
      </c>
      <c r="J655">
        <v>33.588000000000001</v>
      </c>
      <c r="K655">
        <v>671.76</v>
      </c>
      <c r="L655" s="1">
        <v>43643</v>
      </c>
      <c r="M655" s="2">
        <v>0.64652777777777781</v>
      </c>
      <c r="N655" t="s">
        <v>27</v>
      </c>
      <c r="O655">
        <v>335.88</v>
      </c>
      <c r="P655">
        <v>4.7619047620000003</v>
      </c>
      <c r="Q655">
        <v>335.88</v>
      </c>
      <c r="R655">
        <v>6.12</v>
      </c>
      <c r="S655">
        <v>96.089100000000002</v>
      </c>
      <c r="T655">
        <v>21.9588</v>
      </c>
    </row>
    <row r="656" spans="1:20" x14ac:dyDescent="0.3">
      <c r="A656" t="s">
        <v>1076</v>
      </c>
      <c r="B656" t="s">
        <v>51</v>
      </c>
      <c r="C656" t="s">
        <v>250</v>
      </c>
      <c r="D656" t="s">
        <v>53</v>
      </c>
      <c r="E656" t="s">
        <v>24</v>
      </c>
      <c r="F656" t="s">
        <v>36</v>
      </c>
      <c r="G656" t="s">
        <v>100</v>
      </c>
      <c r="H656">
        <v>60.18</v>
      </c>
      <c r="I656">
        <v>8</v>
      </c>
      <c r="J656">
        <v>24.071999999999999</v>
      </c>
      <c r="K656">
        <v>481.44</v>
      </c>
      <c r="L656" s="1">
        <v>43772</v>
      </c>
      <c r="M656" s="2">
        <v>0.75277777777777777</v>
      </c>
      <c r="N656" t="s">
        <v>37</v>
      </c>
      <c r="O656">
        <v>240.72</v>
      </c>
      <c r="P656">
        <v>4.7619047620000003</v>
      </c>
      <c r="Q656">
        <v>240.72</v>
      </c>
      <c r="R656">
        <v>10</v>
      </c>
      <c r="S656">
        <v>96.089100000000002</v>
      </c>
      <c r="T656">
        <v>21.9588</v>
      </c>
    </row>
    <row r="657" spans="1:20" x14ac:dyDescent="0.3">
      <c r="A657" t="s">
        <v>1077</v>
      </c>
      <c r="B657" t="s">
        <v>21</v>
      </c>
      <c r="C657" t="s">
        <v>1078</v>
      </c>
      <c r="D657" t="s">
        <v>23</v>
      </c>
      <c r="E657" t="s">
        <v>32</v>
      </c>
      <c r="F657" t="s">
        <v>25</v>
      </c>
      <c r="G657" t="s">
        <v>68</v>
      </c>
      <c r="H657">
        <v>15.69</v>
      </c>
      <c r="I657">
        <v>3</v>
      </c>
      <c r="J657">
        <v>2.3534999999999999</v>
      </c>
      <c r="K657">
        <v>47.07</v>
      </c>
      <c r="L657" s="1">
        <v>43584</v>
      </c>
      <c r="M657" s="2">
        <v>0.59236111111111112</v>
      </c>
      <c r="N657" t="s">
        <v>37</v>
      </c>
      <c r="O657">
        <v>47.07</v>
      </c>
      <c r="P657">
        <v>4.7619047620000003</v>
      </c>
      <c r="Q657">
        <v>0</v>
      </c>
      <c r="R657">
        <v>5.8</v>
      </c>
      <c r="S657">
        <v>96.173500000000004</v>
      </c>
      <c r="T657">
        <v>16.840900000000001</v>
      </c>
    </row>
    <row r="658" spans="1:20" x14ac:dyDescent="0.3">
      <c r="A658" t="s">
        <v>1079</v>
      </c>
      <c r="B658" t="s">
        <v>29</v>
      </c>
      <c r="C658" t="s">
        <v>524</v>
      </c>
      <c r="D658" t="s">
        <v>31</v>
      </c>
      <c r="E658" t="s">
        <v>32</v>
      </c>
      <c r="F658" t="s">
        <v>25</v>
      </c>
      <c r="G658" t="s">
        <v>68</v>
      </c>
      <c r="H658">
        <v>99.69</v>
      </c>
      <c r="I658">
        <v>1</v>
      </c>
      <c r="J658">
        <v>4.9844999999999997</v>
      </c>
      <c r="K658">
        <v>99.69</v>
      </c>
      <c r="L658" s="1">
        <v>43681</v>
      </c>
      <c r="M658" s="2">
        <v>0.43263888888888891</v>
      </c>
      <c r="N658" t="s">
        <v>37</v>
      </c>
      <c r="O658">
        <v>99.69</v>
      </c>
      <c r="P658">
        <v>4.7619047620000003</v>
      </c>
      <c r="Q658">
        <v>0</v>
      </c>
      <c r="R658">
        <v>8.4</v>
      </c>
      <c r="S658">
        <v>96.078500000000005</v>
      </c>
      <c r="T658">
        <v>19.763300000000001</v>
      </c>
    </row>
    <row r="659" spans="1:20" x14ac:dyDescent="0.3">
      <c r="A659" t="s">
        <v>1080</v>
      </c>
      <c r="C659" t="s">
        <v>1081</v>
      </c>
      <c r="D659" t="s">
        <v>23</v>
      </c>
      <c r="E659" t="s">
        <v>24</v>
      </c>
      <c r="F659" t="s">
        <v>25</v>
      </c>
      <c r="G659" t="s">
        <v>68</v>
      </c>
      <c r="H659">
        <v>88.15</v>
      </c>
      <c r="I659">
        <v>4</v>
      </c>
      <c r="J659">
        <v>17.63</v>
      </c>
      <c r="K659">
        <v>352.6</v>
      </c>
      <c r="L659" s="1">
        <v>43498</v>
      </c>
      <c r="M659" s="2">
        <v>0.42430555555555555</v>
      </c>
      <c r="N659" t="s">
        <v>27</v>
      </c>
      <c r="O659">
        <v>264.45</v>
      </c>
      <c r="P659">
        <v>4.7619047620000003</v>
      </c>
      <c r="Q659">
        <v>88.15</v>
      </c>
      <c r="R659">
        <v>7.9</v>
      </c>
      <c r="S659">
        <v>96.173500000000004</v>
      </c>
      <c r="T659">
        <v>16.840900000000001</v>
      </c>
    </row>
    <row r="660" spans="1:20" x14ac:dyDescent="0.3">
      <c r="A660" t="s">
        <v>1082</v>
      </c>
      <c r="C660" t="s">
        <v>337</v>
      </c>
      <c r="D660" t="s">
        <v>23</v>
      </c>
      <c r="E660" t="s">
        <v>24</v>
      </c>
      <c r="F660" t="s">
        <v>25</v>
      </c>
      <c r="G660" t="s">
        <v>68</v>
      </c>
      <c r="H660">
        <v>27.93</v>
      </c>
      <c r="I660">
        <v>7</v>
      </c>
      <c r="J660">
        <v>9.7754999999999992</v>
      </c>
      <c r="K660">
        <v>195.51</v>
      </c>
      <c r="L660" s="1">
        <v>43626</v>
      </c>
      <c r="M660" s="2">
        <v>0.65833333333333333</v>
      </c>
      <c r="N660" t="s">
        <v>33</v>
      </c>
      <c r="O660">
        <v>139.65</v>
      </c>
      <c r="P660">
        <v>4.7619047620000003</v>
      </c>
      <c r="Q660">
        <v>55.86</v>
      </c>
      <c r="R660">
        <v>5.9</v>
      </c>
      <c r="S660">
        <v>96.173500000000004</v>
      </c>
      <c r="T660">
        <v>16.840900000000001</v>
      </c>
    </row>
    <row r="661" spans="1:20" x14ac:dyDescent="0.3">
      <c r="A661" t="s">
        <v>1083</v>
      </c>
      <c r="C661" t="s">
        <v>1084</v>
      </c>
      <c r="D661" t="s">
        <v>23</v>
      </c>
      <c r="E661" t="s">
        <v>24</v>
      </c>
      <c r="F661" t="s">
        <v>36</v>
      </c>
      <c r="G661" t="s">
        <v>100</v>
      </c>
      <c r="H661">
        <v>55.45</v>
      </c>
      <c r="I661">
        <v>1</v>
      </c>
      <c r="J661">
        <v>2.7725</v>
      </c>
      <c r="K661">
        <v>55.45</v>
      </c>
      <c r="L661" s="1">
        <v>43664</v>
      </c>
      <c r="M661" s="2">
        <v>0.74027777777777781</v>
      </c>
      <c r="N661" t="s">
        <v>37</v>
      </c>
      <c r="O661">
        <v>55.45</v>
      </c>
      <c r="P661">
        <v>4.7619047620000003</v>
      </c>
      <c r="Q661">
        <v>0</v>
      </c>
      <c r="R661">
        <v>4.9000000000000004</v>
      </c>
      <c r="S661">
        <v>96.173500000000004</v>
      </c>
      <c r="T661">
        <v>16.840900000000001</v>
      </c>
    </row>
    <row r="662" spans="1:20" x14ac:dyDescent="0.3">
      <c r="A662" t="s">
        <v>1085</v>
      </c>
      <c r="C662" t="s">
        <v>99</v>
      </c>
      <c r="D662" t="s">
        <v>53</v>
      </c>
      <c r="E662" t="s">
        <v>32</v>
      </c>
      <c r="F662" t="s">
        <v>25</v>
      </c>
      <c r="G662" t="s">
        <v>68</v>
      </c>
      <c r="H662">
        <v>42.97</v>
      </c>
      <c r="I662">
        <v>4</v>
      </c>
      <c r="J662">
        <v>8.5939999999999994</v>
      </c>
      <c r="K662">
        <v>171.88</v>
      </c>
      <c r="L662" s="1">
        <v>43587</v>
      </c>
      <c r="M662" s="2">
        <v>0.49027777777777776</v>
      </c>
      <c r="N662" t="s">
        <v>33</v>
      </c>
      <c r="O662">
        <v>128.91</v>
      </c>
      <c r="P662">
        <v>4.7619047620000003</v>
      </c>
      <c r="Q662">
        <v>42.97</v>
      </c>
      <c r="R662">
        <v>10</v>
      </c>
      <c r="S662">
        <v>96.089100000000002</v>
      </c>
      <c r="T662">
        <v>21.9588</v>
      </c>
    </row>
    <row r="663" spans="1:20" x14ac:dyDescent="0.3">
      <c r="A663" t="s">
        <v>1086</v>
      </c>
      <c r="C663" t="s">
        <v>868</v>
      </c>
      <c r="D663" t="s">
        <v>31</v>
      </c>
      <c r="E663" t="s">
        <v>24</v>
      </c>
      <c r="F663" t="s">
        <v>36</v>
      </c>
      <c r="G663" t="s">
        <v>68</v>
      </c>
      <c r="H663">
        <v>17.14</v>
      </c>
      <c r="I663">
        <v>11</v>
      </c>
      <c r="J663">
        <v>9.4269999999999996</v>
      </c>
      <c r="K663">
        <v>188.54</v>
      </c>
      <c r="L663" s="1">
        <v>43605</v>
      </c>
      <c r="M663" s="2">
        <v>0.50486111111111109</v>
      </c>
      <c r="N663" t="s">
        <v>37</v>
      </c>
      <c r="O663">
        <v>119.98</v>
      </c>
      <c r="P663">
        <v>4.7619047620000003</v>
      </c>
      <c r="Q663">
        <v>68.56</v>
      </c>
      <c r="R663">
        <v>8.2949999999999999</v>
      </c>
      <c r="S663">
        <v>96.078500000000005</v>
      </c>
      <c r="T663">
        <v>19.763300000000001</v>
      </c>
    </row>
    <row r="664" spans="1:20" x14ac:dyDescent="0.3">
      <c r="A664" t="s">
        <v>1087</v>
      </c>
      <c r="C664" t="s">
        <v>830</v>
      </c>
      <c r="D664" t="s">
        <v>53</v>
      </c>
      <c r="E664" t="s">
        <v>24</v>
      </c>
      <c r="F664" t="s">
        <v>25</v>
      </c>
      <c r="G664" t="s">
        <v>100</v>
      </c>
      <c r="H664">
        <v>58.75</v>
      </c>
      <c r="I664">
        <v>11</v>
      </c>
      <c r="J664">
        <v>32.3125</v>
      </c>
      <c r="K664">
        <v>646.25</v>
      </c>
      <c r="L664" s="1">
        <v>43510</v>
      </c>
      <c r="M664" s="2">
        <v>0.75972222222222219</v>
      </c>
      <c r="N664" t="s">
        <v>37</v>
      </c>
      <c r="O664">
        <v>352.5</v>
      </c>
      <c r="P664">
        <v>4.7619047620000003</v>
      </c>
      <c r="Q664">
        <v>293.75</v>
      </c>
      <c r="R664">
        <v>7.08</v>
      </c>
      <c r="S664">
        <v>96.089100000000002</v>
      </c>
      <c r="T664">
        <v>21.9588</v>
      </c>
    </row>
    <row r="665" spans="1:20" x14ac:dyDescent="0.3">
      <c r="A665" t="s">
        <v>1088</v>
      </c>
      <c r="B665" t="s">
        <v>29</v>
      </c>
      <c r="C665" t="s">
        <v>30</v>
      </c>
      <c r="D665" t="s">
        <v>31</v>
      </c>
      <c r="E665" t="s">
        <v>24</v>
      </c>
      <c r="F665" t="s">
        <v>25</v>
      </c>
      <c r="G665" t="s">
        <v>63</v>
      </c>
      <c r="H665">
        <v>87.1</v>
      </c>
      <c r="I665">
        <v>17</v>
      </c>
      <c r="J665">
        <v>74.034999999999997</v>
      </c>
      <c r="K665">
        <v>1480.7</v>
      </c>
      <c r="L665" s="1">
        <v>43635</v>
      </c>
      <c r="M665" s="2">
        <v>0.61458333333333337</v>
      </c>
      <c r="N665" t="s">
        <v>37</v>
      </c>
      <c r="O665">
        <v>871</v>
      </c>
      <c r="P665">
        <v>4.7619047620000003</v>
      </c>
      <c r="Q665">
        <v>609.70000000000005</v>
      </c>
      <c r="R665">
        <v>10</v>
      </c>
      <c r="S665">
        <v>96.078500000000005</v>
      </c>
      <c r="T665">
        <v>19.763300000000001</v>
      </c>
    </row>
    <row r="666" spans="1:20" x14ac:dyDescent="0.3">
      <c r="A666" t="s">
        <v>1089</v>
      </c>
      <c r="B666" t="s">
        <v>29</v>
      </c>
      <c r="C666" t="s">
        <v>1090</v>
      </c>
      <c r="D666" t="s">
        <v>31</v>
      </c>
      <c r="E666" t="s">
        <v>32</v>
      </c>
      <c r="F666" t="s">
        <v>25</v>
      </c>
      <c r="G666" t="s">
        <v>68</v>
      </c>
      <c r="H666">
        <v>98.8</v>
      </c>
      <c r="I666">
        <v>2</v>
      </c>
      <c r="J666">
        <v>9.8800000000000008</v>
      </c>
      <c r="K666">
        <v>197.6</v>
      </c>
      <c r="L666" s="1">
        <v>43531</v>
      </c>
      <c r="M666" s="2">
        <v>0.48541666666666666</v>
      </c>
      <c r="N666" t="s">
        <v>33</v>
      </c>
      <c r="O666">
        <v>197.6</v>
      </c>
      <c r="P666">
        <v>4.7619047620000003</v>
      </c>
      <c r="Q666">
        <v>0</v>
      </c>
      <c r="R666">
        <v>8.0850000000000009</v>
      </c>
      <c r="S666">
        <v>96.078500000000005</v>
      </c>
      <c r="T666">
        <v>19.763300000000001</v>
      </c>
    </row>
    <row r="667" spans="1:20" x14ac:dyDescent="0.3">
      <c r="A667" t="s">
        <v>1091</v>
      </c>
      <c r="B667" t="s">
        <v>21</v>
      </c>
      <c r="C667" t="s">
        <v>885</v>
      </c>
      <c r="D667" t="s">
        <v>23</v>
      </c>
      <c r="E667" t="s">
        <v>32</v>
      </c>
      <c r="F667" t="s">
        <v>25</v>
      </c>
      <c r="G667" t="s">
        <v>100</v>
      </c>
      <c r="H667">
        <v>48.63</v>
      </c>
      <c r="I667">
        <v>4</v>
      </c>
      <c r="J667">
        <v>9.7260000000000009</v>
      </c>
      <c r="K667">
        <v>194.52</v>
      </c>
      <c r="L667" s="1">
        <v>43559</v>
      </c>
      <c r="M667" s="2">
        <v>0.65555555555555556</v>
      </c>
      <c r="N667" t="s">
        <v>27</v>
      </c>
      <c r="O667">
        <v>194.52</v>
      </c>
      <c r="P667">
        <v>4.7619047620000003</v>
      </c>
      <c r="Q667">
        <v>0</v>
      </c>
      <c r="R667">
        <v>7.6</v>
      </c>
      <c r="S667">
        <v>96.173500000000004</v>
      </c>
      <c r="T667">
        <v>16.840900000000001</v>
      </c>
    </row>
    <row r="668" spans="1:20" x14ac:dyDescent="0.3">
      <c r="A668" t="s">
        <v>1092</v>
      </c>
      <c r="B668" t="s">
        <v>51</v>
      </c>
      <c r="C668" t="s">
        <v>123</v>
      </c>
      <c r="D668" t="s">
        <v>53</v>
      </c>
      <c r="E668" t="s">
        <v>24</v>
      </c>
      <c r="F668" t="s">
        <v>36</v>
      </c>
      <c r="G668" t="s">
        <v>63</v>
      </c>
      <c r="H668">
        <v>57.74</v>
      </c>
      <c r="I668">
        <v>6</v>
      </c>
      <c r="J668">
        <v>17.321999999999999</v>
      </c>
      <c r="K668">
        <v>346.44</v>
      </c>
      <c r="L668" s="1">
        <v>43815</v>
      </c>
      <c r="M668" s="2">
        <v>0.54583333333333328</v>
      </c>
      <c r="N668" t="s">
        <v>27</v>
      </c>
      <c r="O668">
        <v>173.22</v>
      </c>
      <c r="P668">
        <v>4.7619047620000003</v>
      </c>
      <c r="Q668">
        <v>173.22</v>
      </c>
      <c r="R668">
        <v>9.24</v>
      </c>
      <c r="S668">
        <v>96.089100000000002</v>
      </c>
      <c r="T668">
        <v>21.9588</v>
      </c>
    </row>
    <row r="669" spans="1:20" x14ac:dyDescent="0.3">
      <c r="A669" t="s">
        <v>1093</v>
      </c>
      <c r="B669" t="s">
        <v>51</v>
      </c>
      <c r="C669" t="s">
        <v>859</v>
      </c>
      <c r="D669" t="s">
        <v>53</v>
      </c>
      <c r="E669" t="s">
        <v>32</v>
      </c>
      <c r="F669" t="s">
        <v>25</v>
      </c>
      <c r="G669" t="s">
        <v>100</v>
      </c>
      <c r="H669">
        <v>17.97</v>
      </c>
      <c r="I669">
        <v>6</v>
      </c>
      <c r="J669">
        <v>5.391</v>
      </c>
      <c r="K669">
        <v>107.82</v>
      </c>
      <c r="L669" s="1">
        <v>43748</v>
      </c>
      <c r="M669" s="2">
        <v>0.86319444444444449</v>
      </c>
      <c r="N669" t="s">
        <v>27</v>
      </c>
      <c r="O669">
        <v>71.88</v>
      </c>
      <c r="P669">
        <v>4.7619047620000003</v>
      </c>
      <c r="Q669">
        <v>35.94</v>
      </c>
      <c r="R669">
        <v>7.68</v>
      </c>
      <c r="S669">
        <v>96.089100000000002</v>
      </c>
      <c r="T669">
        <v>21.9588</v>
      </c>
    </row>
    <row r="670" spans="1:20" x14ac:dyDescent="0.3">
      <c r="A670" t="s">
        <v>1094</v>
      </c>
      <c r="B670" t="s">
        <v>29</v>
      </c>
      <c r="C670" t="s">
        <v>301</v>
      </c>
      <c r="D670" t="s">
        <v>31</v>
      </c>
      <c r="E670" t="s">
        <v>24</v>
      </c>
      <c r="F670" t="s">
        <v>25</v>
      </c>
      <c r="G670" t="s">
        <v>100</v>
      </c>
      <c r="H670">
        <v>47.71</v>
      </c>
      <c r="I670">
        <v>10</v>
      </c>
      <c r="J670">
        <v>23.855</v>
      </c>
      <c r="K670">
        <v>477.1</v>
      </c>
      <c r="L670" s="1">
        <v>43588</v>
      </c>
      <c r="M670" s="2">
        <v>0.59652777777777777</v>
      </c>
      <c r="N670" t="s">
        <v>27</v>
      </c>
      <c r="O670">
        <v>286.26</v>
      </c>
      <c r="P670">
        <v>4.7619047620000003</v>
      </c>
      <c r="Q670">
        <v>190.84</v>
      </c>
      <c r="R670">
        <v>4.62</v>
      </c>
      <c r="S670">
        <v>96.078500000000005</v>
      </c>
      <c r="T670">
        <v>19.763300000000001</v>
      </c>
    </row>
    <row r="671" spans="1:20" x14ac:dyDescent="0.3">
      <c r="A671" t="s">
        <v>1095</v>
      </c>
      <c r="B671" t="s">
        <v>51</v>
      </c>
      <c r="C671" t="s">
        <v>343</v>
      </c>
      <c r="D671" t="s">
        <v>53</v>
      </c>
      <c r="E671" t="s">
        <v>32</v>
      </c>
      <c r="F671" t="s">
        <v>25</v>
      </c>
      <c r="G671" t="s">
        <v>100</v>
      </c>
      <c r="H671">
        <v>40.619999999999997</v>
      </c>
      <c r="I671">
        <v>3</v>
      </c>
      <c r="J671">
        <v>6.093</v>
      </c>
      <c r="K671">
        <v>121.86</v>
      </c>
      <c r="L671" s="1">
        <v>43568</v>
      </c>
      <c r="M671" s="2">
        <v>0.41736111111111113</v>
      </c>
      <c r="N671" t="s">
        <v>37</v>
      </c>
      <c r="O671">
        <v>81.239999999999995</v>
      </c>
      <c r="P671">
        <v>4.7619047620000003</v>
      </c>
      <c r="Q671">
        <v>40.619999999999997</v>
      </c>
      <c r="R671">
        <v>4.92</v>
      </c>
      <c r="S671">
        <v>96.089100000000002</v>
      </c>
      <c r="T671">
        <v>21.9588</v>
      </c>
    </row>
    <row r="672" spans="1:20" x14ac:dyDescent="0.3">
      <c r="A672" t="s">
        <v>1096</v>
      </c>
      <c r="B672" t="s">
        <v>21</v>
      </c>
      <c r="C672" t="s">
        <v>1081</v>
      </c>
      <c r="D672" t="s">
        <v>23</v>
      </c>
      <c r="E672" t="s">
        <v>24</v>
      </c>
      <c r="F672" t="s">
        <v>36</v>
      </c>
      <c r="G672" t="s">
        <v>100</v>
      </c>
      <c r="H672">
        <v>56.04</v>
      </c>
      <c r="I672">
        <v>14</v>
      </c>
      <c r="J672">
        <v>39.228000000000002</v>
      </c>
      <c r="K672">
        <v>784.56</v>
      </c>
      <c r="L672" s="1">
        <v>43807</v>
      </c>
      <c r="M672" s="2">
        <v>0.8125</v>
      </c>
      <c r="N672" t="s">
        <v>27</v>
      </c>
      <c r="O672">
        <v>560.4</v>
      </c>
      <c r="P672">
        <v>4.7619047620000003</v>
      </c>
      <c r="Q672">
        <v>224.16</v>
      </c>
      <c r="R672">
        <v>4.4000000000000004</v>
      </c>
      <c r="S672">
        <v>96.173500000000004</v>
      </c>
      <c r="T672">
        <v>16.840900000000001</v>
      </c>
    </row>
    <row r="673" spans="1:20" x14ac:dyDescent="0.3">
      <c r="A673" t="s">
        <v>1097</v>
      </c>
      <c r="B673" t="s">
        <v>51</v>
      </c>
      <c r="C673" t="s">
        <v>805</v>
      </c>
      <c r="D673" t="s">
        <v>53</v>
      </c>
      <c r="E673" t="s">
        <v>24</v>
      </c>
      <c r="F673" t="s">
        <v>36</v>
      </c>
      <c r="G673" t="s">
        <v>100</v>
      </c>
      <c r="H673">
        <v>93.4</v>
      </c>
      <c r="I673">
        <v>4</v>
      </c>
      <c r="J673">
        <v>18.68</v>
      </c>
      <c r="K673">
        <v>373.6</v>
      </c>
      <c r="L673" s="1">
        <v>43758</v>
      </c>
      <c r="M673" s="2">
        <v>0.69027777777777777</v>
      </c>
      <c r="N673" t="s">
        <v>33</v>
      </c>
      <c r="O673">
        <v>186.8</v>
      </c>
      <c r="P673">
        <v>4.7619047620000003</v>
      </c>
      <c r="Q673">
        <v>186.8</v>
      </c>
      <c r="R673">
        <v>6.6</v>
      </c>
      <c r="S673">
        <v>96.089100000000002</v>
      </c>
      <c r="T673">
        <v>21.9588</v>
      </c>
    </row>
    <row r="674" spans="1:20" x14ac:dyDescent="0.3">
      <c r="A674" t="s">
        <v>1098</v>
      </c>
      <c r="B674" t="s">
        <v>51</v>
      </c>
      <c r="C674" t="s">
        <v>498</v>
      </c>
      <c r="D674" t="s">
        <v>53</v>
      </c>
      <c r="E674" t="s">
        <v>32</v>
      </c>
      <c r="F674" t="s">
        <v>25</v>
      </c>
      <c r="G674" t="s">
        <v>100</v>
      </c>
      <c r="H674">
        <v>73.41</v>
      </c>
      <c r="I674">
        <v>4</v>
      </c>
      <c r="J674">
        <v>14.682</v>
      </c>
      <c r="K674">
        <v>293.64</v>
      </c>
      <c r="L674" s="1">
        <v>43537</v>
      </c>
      <c r="M674" s="2">
        <v>0.54861111111111116</v>
      </c>
      <c r="N674" t="s">
        <v>27</v>
      </c>
      <c r="O674">
        <v>220.23</v>
      </c>
      <c r="P674">
        <v>4.7619047620000003</v>
      </c>
      <c r="Q674">
        <v>73.41</v>
      </c>
      <c r="R674">
        <v>4.8</v>
      </c>
      <c r="S674">
        <v>96.089100000000002</v>
      </c>
      <c r="T674">
        <v>21.9588</v>
      </c>
    </row>
    <row r="675" spans="1:20" x14ac:dyDescent="0.3">
      <c r="A675" t="s">
        <v>1099</v>
      </c>
      <c r="B675" t="s">
        <v>29</v>
      </c>
      <c r="C675" t="s">
        <v>506</v>
      </c>
      <c r="D675" t="s">
        <v>31</v>
      </c>
      <c r="E675" t="s">
        <v>32</v>
      </c>
      <c r="F675" t="s">
        <v>36</v>
      </c>
      <c r="G675" t="s">
        <v>26</v>
      </c>
      <c r="H675">
        <v>33.64</v>
      </c>
      <c r="I675">
        <v>10</v>
      </c>
      <c r="J675">
        <v>16.82</v>
      </c>
      <c r="K675">
        <v>336.4</v>
      </c>
      <c r="L675" s="1">
        <v>43511</v>
      </c>
      <c r="M675" s="2">
        <v>0.71527777777777779</v>
      </c>
      <c r="N675" t="s">
        <v>37</v>
      </c>
      <c r="O675">
        <v>269.12</v>
      </c>
      <c r="P675">
        <v>4.7619047620000003</v>
      </c>
      <c r="Q675">
        <v>67.28</v>
      </c>
      <c r="R675">
        <v>9.7650000000000006</v>
      </c>
      <c r="S675">
        <v>96.078500000000005</v>
      </c>
      <c r="T675">
        <v>19.763300000000001</v>
      </c>
    </row>
    <row r="676" spans="1:20" x14ac:dyDescent="0.3">
      <c r="A676" t="s">
        <v>1100</v>
      </c>
      <c r="B676" t="s">
        <v>21</v>
      </c>
      <c r="C676" t="s">
        <v>1101</v>
      </c>
      <c r="D676" t="s">
        <v>23</v>
      </c>
      <c r="E676" t="s">
        <v>32</v>
      </c>
      <c r="F676" t="s">
        <v>25</v>
      </c>
      <c r="G676" t="s">
        <v>60</v>
      </c>
      <c r="H676">
        <v>45.48</v>
      </c>
      <c r="I676">
        <v>10</v>
      </c>
      <c r="J676">
        <v>22.74</v>
      </c>
      <c r="K676">
        <v>454.8</v>
      </c>
      <c r="L676" s="1">
        <v>43730</v>
      </c>
      <c r="M676" s="2">
        <v>0.43194444444444446</v>
      </c>
      <c r="N676" t="s">
        <v>37</v>
      </c>
      <c r="O676">
        <v>454.8</v>
      </c>
      <c r="P676">
        <v>4.7619047620000003</v>
      </c>
      <c r="Q676">
        <v>0</v>
      </c>
      <c r="R676">
        <v>4.8</v>
      </c>
      <c r="S676">
        <v>96.173500000000004</v>
      </c>
      <c r="T676">
        <v>16.840900000000001</v>
      </c>
    </row>
    <row r="677" spans="1:20" x14ac:dyDescent="0.3">
      <c r="A677" t="s">
        <v>1102</v>
      </c>
      <c r="B677" t="s">
        <v>51</v>
      </c>
      <c r="C677" t="s">
        <v>636</v>
      </c>
      <c r="D677" t="s">
        <v>53</v>
      </c>
      <c r="E677" t="s">
        <v>24</v>
      </c>
      <c r="F677" t="s">
        <v>36</v>
      </c>
      <c r="G677" t="s">
        <v>100</v>
      </c>
      <c r="H677">
        <v>83.77</v>
      </c>
      <c r="I677">
        <v>4</v>
      </c>
      <c r="J677">
        <v>16.754000000000001</v>
      </c>
      <c r="K677">
        <v>335.08</v>
      </c>
      <c r="L677" s="1">
        <v>43494</v>
      </c>
      <c r="M677" s="2">
        <v>0.83125000000000004</v>
      </c>
      <c r="N677" t="s">
        <v>33</v>
      </c>
      <c r="O677">
        <v>167.54</v>
      </c>
      <c r="P677">
        <v>4.7619047620000003</v>
      </c>
      <c r="Q677">
        <v>167.54</v>
      </c>
      <c r="S677">
        <v>96.089100000000002</v>
      </c>
      <c r="T677">
        <v>21.9588</v>
      </c>
    </row>
    <row r="678" spans="1:20" x14ac:dyDescent="0.3">
      <c r="A678" t="s">
        <v>1103</v>
      </c>
      <c r="B678" t="s">
        <v>51</v>
      </c>
      <c r="C678" t="s">
        <v>328</v>
      </c>
      <c r="D678" t="s">
        <v>53</v>
      </c>
      <c r="E678" t="s">
        <v>24</v>
      </c>
      <c r="F678" t="s">
        <v>25</v>
      </c>
      <c r="G678" t="s">
        <v>68</v>
      </c>
      <c r="H678">
        <v>64.08</v>
      </c>
      <c r="I678">
        <v>14</v>
      </c>
      <c r="J678">
        <v>44.856000000000002</v>
      </c>
      <c r="K678">
        <v>897.12</v>
      </c>
      <c r="L678" s="1">
        <v>43748</v>
      </c>
      <c r="M678" s="2">
        <v>0.81180555555555556</v>
      </c>
      <c r="N678" t="s">
        <v>37</v>
      </c>
      <c r="O678">
        <v>448.56</v>
      </c>
      <c r="P678">
        <v>4.7619047620000003</v>
      </c>
      <c r="Q678">
        <v>448.56</v>
      </c>
      <c r="S678">
        <v>96.089100000000002</v>
      </c>
      <c r="T678">
        <v>21.9588</v>
      </c>
    </row>
    <row r="679" spans="1:20" x14ac:dyDescent="0.3">
      <c r="A679" t="s">
        <v>1104</v>
      </c>
      <c r="B679" t="s">
        <v>21</v>
      </c>
      <c r="C679" t="s">
        <v>1105</v>
      </c>
      <c r="D679" t="s">
        <v>23</v>
      </c>
      <c r="E679" t="s">
        <v>24</v>
      </c>
      <c r="F679" t="s">
        <v>25</v>
      </c>
      <c r="G679" t="s">
        <v>63</v>
      </c>
      <c r="H679">
        <v>73.47</v>
      </c>
      <c r="I679">
        <v>6</v>
      </c>
      <c r="J679">
        <v>22.041</v>
      </c>
      <c r="K679">
        <v>440.82</v>
      </c>
      <c r="L679" s="1">
        <v>43585</v>
      </c>
      <c r="M679" s="2">
        <v>0.77083333333333337</v>
      </c>
      <c r="N679" t="s">
        <v>33</v>
      </c>
      <c r="O679">
        <v>293.88</v>
      </c>
      <c r="P679">
        <v>4.7619047620000003</v>
      </c>
      <c r="Q679">
        <v>146.94</v>
      </c>
      <c r="S679">
        <v>96.173500000000004</v>
      </c>
      <c r="T679">
        <v>16.840900000000001</v>
      </c>
    </row>
    <row r="680" spans="1:20" x14ac:dyDescent="0.3">
      <c r="A680" t="s">
        <v>1106</v>
      </c>
      <c r="B680" t="s">
        <v>29</v>
      </c>
      <c r="C680" t="s">
        <v>594</v>
      </c>
      <c r="D680" t="s">
        <v>31</v>
      </c>
      <c r="E680" t="s">
        <v>32</v>
      </c>
      <c r="F680" t="s">
        <v>36</v>
      </c>
      <c r="G680" t="s">
        <v>26</v>
      </c>
      <c r="H680">
        <v>58.95</v>
      </c>
      <c r="I680">
        <v>12</v>
      </c>
      <c r="J680">
        <v>35.369999999999997</v>
      </c>
      <c r="K680">
        <v>707.4</v>
      </c>
      <c r="L680" s="1">
        <v>43510</v>
      </c>
      <c r="M680" s="2">
        <v>0.6020833333333333</v>
      </c>
      <c r="N680" t="s">
        <v>27</v>
      </c>
      <c r="O680">
        <v>589.5</v>
      </c>
      <c r="P680">
        <v>4.7619047620000003</v>
      </c>
      <c r="Q680">
        <v>117.9</v>
      </c>
      <c r="S680">
        <v>96.078500000000005</v>
      </c>
      <c r="T680">
        <v>19.763300000000001</v>
      </c>
    </row>
    <row r="681" spans="1:20" x14ac:dyDescent="0.3">
      <c r="A681" t="s">
        <v>1107</v>
      </c>
      <c r="B681" t="s">
        <v>21</v>
      </c>
      <c r="C681" t="s">
        <v>1108</v>
      </c>
      <c r="D681" t="s">
        <v>23</v>
      </c>
      <c r="E681" t="s">
        <v>24</v>
      </c>
      <c r="F681" t="s">
        <v>36</v>
      </c>
      <c r="G681" t="s">
        <v>63</v>
      </c>
      <c r="H681">
        <v>48.5</v>
      </c>
      <c r="I681">
        <v>8</v>
      </c>
      <c r="J681">
        <v>19.399999999999999</v>
      </c>
      <c r="K681">
        <v>388</v>
      </c>
      <c r="L681" s="1">
        <v>43692</v>
      </c>
      <c r="M681" s="2">
        <v>0.58125000000000004</v>
      </c>
      <c r="N681" t="s">
        <v>27</v>
      </c>
      <c r="O681">
        <v>291</v>
      </c>
      <c r="P681">
        <v>4.7619047620000003</v>
      </c>
      <c r="Q681">
        <v>97</v>
      </c>
      <c r="S681">
        <v>96.173500000000004</v>
      </c>
      <c r="T681">
        <v>16.840900000000001</v>
      </c>
    </row>
    <row r="682" spans="1:20" x14ac:dyDescent="0.3">
      <c r="A682" t="s">
        <v>1109</v>
      </c>
      <c r="B682" t="s">
        <v>51</v>
      </c>
      <c r="C682" t="s">
        <v>145</v>
      </c>
      <c r="D682" t="s">
        <v>53</v>
      </c>
      <c r="E682" t="s">
        <v>24</v>
      </c>
      <c r="F682" t="s">
        <v>25</v>
      </c>
      <c r="G682" t="s">
        <v>60</v>
      </c>
      <c r="H682">
        <v>39.479999999999997</v>
      </c>
      <c r="I682">
        <v>1</v>
      </c>
      <c r="J682">
        <v>1.974</v>
      </c>
      <c r="K682">
        <v>39.479999999999997</v>
      </c>
      <c r="L682" s="1">
        <v>43515</v>
      </c>
      <c r="M682" s="2">
        <v>0.82152777777777775</v>
      </c>
      <c r="N682" t="s">
        <v>33</v>
      </c>
      <c r="O682">
        <v>39.479999999999997</v>
      </c>
      <c r="P682">
        <v>4.7619047620000003</v>
      </c>
      <c r="Q682">
        <v>0</v>
      </c>
      <c r="S682">
        <v>96.089100000000002</v>
      </c>
      <c r="T682">
        <v>21.9588</v>
      </c>
    </row>
    <row r="683" spans="1:20" x14ac:dyDescent="0.3">
      <c r="A683" t="s">
        <v>1110</v>
      </c>
      <c r="B683" t="s">
        <v>51</v>
      </c>
      <c r="C683" t="s">
        <v>129</v>
      </c>
      <c r="D683" t="s">
        <v>53</v>
      </c>
      <c r="E683" t="s">
        <v>32</v>
      </c>
      <c r="F683" t="s">
        <v>25</v>
      </c>
      <c r="G683" t="s">
        <v>68</v>
      </c>
      <c r="H683">
        <v>34.81</v>
      </c>
      <c r="I683">
        <v>1</v>
      </c>
      <c r="J683">
        <v>1.7404999999999999</v>
      </c>
      <c r="K683">
        <v>34.81</v>
      </c>
      <c r="L683" s="1">
        <v>43828</v>
      </c>
      <c r="M683" s="2">
        <v>0.42430555555555555</v>
      </c>
      <c r="N683" t="s">
        <v>37</v>
      </c>
      <c r="O683">
        <v>34.81</v>
      </c>
      <c r="P683">
        <v>4.7619047620000003</v>
      </c>
      <c r="Q683">
        <v>0</v>
      </c>
      <c r="S683">
        <v>96.089100000000002</v>
      </c>
      <c r="T683">
        <v>21.9588</v>
      </c>
    </row>
    <row r="684" spans="1:20" x14ac:dyDescent="0.3">
      <c r="A684" t="s">
        <v>1111</v>
      </c>
      <c r="B684" t="s">
        <v>29</v>
      </c>
      <c r="C684" t="s">
        <v>79</v>
      </c>
      <c r="D684" t="s">
        <v>31</v>
      </c>
      <c r="E684" t="s">
        <v>32</v>
      </c>
      <c r="F684" t="s">
        <v>25</v>
      </c>
      <c r="G684" t="s">
        <v>100</v>
      </c>
      <c r="H684">
        <v>49.32</v>
      </c>
      <c r="I684">
        <v>7</v>
      </c>
      <c r="J684">
        <v>17.262</v>
      </c>
      <c r="K684">
        <v>345.24</v>
      </c>
      <c r="L684" s="1">
        <v>43817</v>
      </c>
      <c r="M684" s="2">
        <v>0.57361111111111107</v>
      </c>
      <c r="N684" t="s">
        <v>27</v>
      </c>
      <c r="O684">
        <v>295.92</v>
      </c>
      <c r="P684">
        <v>4.7619047620000003</v>
      </c>
      <c r="Q684">
        <v>49.32</v>
      </c>
      <c r="R684">
        <v>7.4550000000000001</v>
      </c>
      <c r="S684">
        <v>96.078500000000005</v>
      </c>
      <c r="T684">
        <v>19.763300000000001</v>
      </c>
    </row>
    <row r="685" spans="1:20" x14ac:dyDescent="0.3">
      <c r="A685" t="s">
        <v>1112</v>
      </c>
      <c r="B685" t="s">
        <v>21</v>
      </c>
      <c r="C685" t="s">
        <v>179</v>
      </c>
      <c r="D685" t="s">
        <v>23</v>
      </c>
      <c r="E685" t="s">
        <v>24</v>
      </c>
      <c r="F685" t="s">
        <v>36</v>
      </c>
      <c r="G685" t="s">
        <v>100</v>
      </c>
      <c r="H685">
        <v>21.48</v>
      </c>
      <c r="I685">
        <v>3</v>
      </c>
      <c r="J685">
        <v>3.222</v>
      </c>
      <c r="K685">
        <v>64.44</v>
      </c>
      <c r="L685" s="1">
        <v>43468</v>
      </c>
      <c r="M685" s="2">
        <v>0.51527777777777772</v>
      </c>
      <c r="N685" t="s">
        <v>27</v>
      </c>
      <c r="O685">
        <v>42.96</v>
      </c>
      <c r="P685">
        <v>4.7619047620000003</v>
      </c>
      <c r="Q685">
        <v>21.48</v>
      </c>
      <c r="R685">
        <v>6.6</v>
      </c>
      <c r="S685">
        <v>96.173500000000004</v>
      </c>
      <c r="T685">
        <v>16.840900000000001</v>
      </c>
    </row>
    <row r="686" spans="1:20" x14ac:dyDescent="0.3">
      <c r="A686" t="s">
        <v>1113</v>
      </c>
      <c r="B686" t="s">
        <v>51</v>
      </c>
      <c r="C686" t="s">
        <v>649</v>
      </c>
      <c r="D686" t="s">
        <v>53</v>
      </c>
      <c r="E686" t="s">
        <v>24</v>
      </c>
      <c r="F686" t="s">
        <v>25</v>
      </c>
      <c r="G686" t="s">
        <v>68</v>
      </c>
      <c r="H686">
        <v>23.08</v>
      </c>
      <c r="I686">
        <v>11</v>
      </c>
      <c r="J686">
        <v>12.694000000000001</v>
      </c>
      <c r="K686">
        <v>253.88</v>
      </c>
      <c r="L686" s="1">
        <v>43681</v>
      </c>
      <c r="M686" s="2">
        <v>0.80555555555555558</v>
      </c>
      <c r="N686" t="s">
        <v>27</v>
      </c>
      <c r="O686">
        <v>138.47999999999999</v>
      </c>
      <c r="P686">
        <v>4.7619047620000003</v>
      </c>
      <c r="Q686">
        <v>115.4</v>
      </c>
      <c r="R686">
        <v>5.88</v>
      </c>
      <c r="S686">
        <v>96.089100000000002</v>
      </c>
      <c r="T686">
        <v>21.9588</v>
      </c>
    </row>
    <row r="687" spans="1:20" x14ac:dyDescent="0.3">
      <c r="A687" t="s">
        <v>1114</v>
      </c>
      <c r="B687" t="s">
        <v>51</v>
      </c>
      <c r="C687" t="s">
        <v>227</v>
      </c>
      <c r="D687" t="s">
        <v>53</v>
      </c>
      <c r="E687" t="s">
        <v>24</v>
      </c>
      <c r="F687" t="s">
        <v>25</v>
      </c>
      <c r="G687" t="s">
        <v>77</v>
      </c>
      <c r="H687">
        <v>49.1</v>
      </c>
      <c r="I687">
        <v>4</v>
      </c>
      <c r="J687">
        <v>9.82</v>
      </c>
      <c r="K687">
        <v>196.4</v>
      </c>
      <c r="L687" s="1">
        <v>43801</v>
      </c>
      <c r="M687" s="2">
        <v>0.54027777777777775</v>
      </c>
      <c r="N687" t="s">
        <v>37</v>
      </c>
      <c r="O687">
        <v>98.2</v>
      </c>
      <c r="P687">
        <v>4.7619047620000003</v>
      </c>
      <c r="Q687">
        <v>98.2</v>
      </c>
      <c r="R687">
        <v>7.68</v>
      </c>
      <c r="S687">
        <v>96.089100000000002</v>
      </c>
      <c r="T687">
        <v>21.9588</v>
      </c>
    </row>
    <row r="688" spans="1:20" x14ac:dyDescent="0.3">
      <c r="A688" t="s">
        <v>1115</v>
      </c>
      <c r="B688" t="s">
        <v>51</v>
      </c>
      <c r="C688" t="s">
        <v>649</v>
      </c>
      <c r="D688" t="s">
        <v>53</v>
      </c>
      <c r="E688" t="s">
        <v>24</v>
      </c>
      <c r="F688" t="s">
        <v>25</v>
      </c>
      <c r="G688" t="s">
        <v>68</v>
      </c>
      <c r="H688">
        <v>64.83</v>
      </c>
      <c r="I688">
        <v>4</v>
      </c>
      <c r="J688">
        <v>12.965999999999999</v>
      </c>
      <c r="K688">
        <v>259.32</v>
      </c>
      <c r="L688" s="1">
        <v>43622</v>
      </c>
      <c r="M688" s="2">
        <v>0.49930555555555556</v>
      </c>
      <c r="N688" t="s">
        <v>37</v>
      </c>
      <c r="O688">
        <v>129.66</v>
      </c>
      <c r="P688">
        <v>4.7619047620000003</v>
      </c>
      <c r="Q688">
        <v>129.66</v>
      </c>
      <c r="R688">
        <v>9.6</v>
      </c>
      <c r="S688">
        <v>96.089100000000002</v>
      </c>
      <c r="T688">
        <v>21.9588</v>
      </c>
    </row>
    <row r="689" spans="1:20" x14ac:dyDescent="0.3">
      <c r="A689" t="s">
        <v>1116</v>
      </c>
      <c r="B689" t="s">
        <v>21</v>
      </c>
      <c r="C689" t="s">
        <v>557</v>
      </c>
      <c r="D689" t="s">
        <v>23</v>
      </c>
      <c r="E689" t="s">
        <v>24</v>
      </c>
      <c r="F689" t="s">
        <v>36</v>
      </c>
      <c r="G689" t="s">
        <v>68</v>
      </c>
      <c r="H689">
        <v>63.56</v>
      </c>
      <c r="I689">
        <v>14</v>
      </c>
      <c r="J689">
        <v>44.491999999999997</v>
      </c>
      <c r="K689">
        <v>889.84</v>
      </c>
      <c r="L689" s="1">
        <v>43522</v>
      </c>
      <c r="M689" s="2">
        <v>0.74930555555555556</v>
      </c>
      <c r="N689" t="s">
        <v>33</v>
      </c>
      <c r="O689">
        <v>635.6</v>
      </c>
      <c r="P689">
        <v>4.7619047620000003</v>
      </c>
      <c r="Q689">
        <v>254.24</v>
      </c>
      <c r="R689">
        <v>4.3</v>
      </c>
      <c r="S689">
        <v>96.173500000000004</v>
      </c>
      <c r="T689">
        <v>16.840900000000001</v>
      </c>
    </row>
    <row r="690" spans="1:20" x14ac:dyDescent="0.3">
      <c r="A690" t="s">
        <v>1117</v>
      </c>
      <c r="B690" t="s">
        <v>29</v>
      </c>
      <c r="C690" t="s">
        <v>1118</v>
      </c>
      <c r="D690" t="s">
        <v>31</v>
      </c>
      <c r="E690" t="s">
        <v>24</v>
      </c>
      <c r="F690" t="s">
        <v>36</v>
      </c>
      <c r="G690" t="s">
        <v>68</v>
      </c>
      <c r="H690">
        <v>72.88</v>
      </c>
      <c r="I690">
        <v>3</v>
      </c>
      <c r="J690">
        <v>10.932</v>
      </c>
      <c r="K690">
        <v>218.64</v>
      </c>
      <c r="L690" s="1">
        <v>43564</v>
      </c>
      <c r="M690" s="2">
        <v>0.53541666666666665</v>
      </c>
      <c r="N690" t="s">
        <v>33</v>
      </c>
      <c r="O690">
        <v>145.76</v>
      </c>
      <c r="P690">
        <v>4.7619047620000003</v>
      </c>
      <c r="Q690">
        <v>72.88</v>
      </c>
      <c r="R690">
        <v>6.4050000000000002</v>
      </c>
      <c r="S690">
        <v>96.078500000000005</v>
      </c>
      <c r="T690">
        <v>19.763300000000001</v>
      </c>
    </row>
    <row r="691" spans="1:20" x14ac:dyDescent="0.3">
      <c r="A691" t="s">
        <v>1119</v>
      </c>
      <c r="B691" t="s">
        <v>21</v>
      </c>
      <c r="C691" t="s">
        <v>1026</v>
      </c>
      <c r="D691" t="s">
        <v>23</v>
      </c>
      <c r="E691" t="s">
        <v>32</v>
      </c>
      <c r="F691" t="s">
        <v>25</v>
      </c>
      <c r="G691" t="s">
        <v>68</v>
      </c>
      <c r="H691">
        <v>67.099999999999994</v>
      </c>
      <c r="I691">
        <v>3</v>
      </c>
      <c r="J691">
        <v>10.065</v>
      </c>
      <c r="K691">
        <v>201.3</v>
      </c>
      <c r="L691" s="1">
        <v>43810</v>
      </c>
      <c r="M691" s="2">
        <v>0.44166666666666665</v>
      </c>
      <c r="N691" t="s">
        <v>33</v>
      </c>
      <c r="O691">
        <v>201.3</v>
      </c>
      <c r="P691">
        <v>4.7619047620000003</v>
      </c>
      <c r="Q691">
        <v>0</v>
      </c>
      <c r="R691">
        <v>7.5</v>
      </c>
      <c r="S691">
        <v>96.173500000000004</v>
      </c>
      <c r="T691">
        <v>16.840900000000001</v>
      </c>
    </row>
    <row r="692" spans="1:20" x14ac:dyDescent="0.3">
      <c r="A692" t="s">
        <v>1120</v>
      </c>
      <c r="B692" t="s">
        <v>29</v>
      </c>
      <c r="C692" t="s">
        <v>181</v>
      </c>
      <c r="D692" t="s">
        <v>31</v>
      </c>
      <c r="E692" t="s">
        <v>24</v>
      </c>
      <c r="F692" t="s">
        <v>25</v>
      </c>
      <c r="G692" t="s">
        <v>68</v>
      </c>
      <c r="H692">
        <v>70.19</v>
      </c>
      <c r="I692">
        <v>15</v>
      </c>
      <c r="J692">
        <v>52.642499999999998</v>
      </c>
      <c r="K692">
        <v>1052.8499999999999</v>
      </c>
      <c r="L692" s="1">
        <v>43710</v>
      </c>
      <c r="M692" s="2">
        <v>0.56805555555555554</v>
      </c>
      <c r="N692" t="s">
        <v>33</v>
      </c>
      <c r="O692">
        <v>631.71</v>
      </c>
      <c r="P692">
        <v>4.7619047620000003</v>
      </c>
      <c r="Q692">
        <v>421.14</v>
      </c>
      <c r="R692">
        <v>7.0350000000000001</v>
      </c>
      <c r="S692">
        <v>96.078500000000005</v>
      </c>
      <c r="T692">
        <v>19.763300000000001</v>
      </c>
    </row>
    <row r="693" spans="1:20" x14ac:dyDescent="0.3">
      <c r="A693" t="s">
        <v>1121</v>
      </c>
      <c r="B693" t="s">
        <v>29</v>
      </c>
      <c r="C693" t="s">
        <v>1122</v>
      </c>
      <c r="D693" t="s">
        <v>31</v>
      </c>
      <c r="E693" t="s">
        <v>24</v>
      </c>
      <c r="F693" t="s">
        <v>36</v>
      </c>
      <c r="G693" t="s">
        <v>68</v>
      </c>
      <c r="H693">
        <v>55.04</v>
      </c>
      <c r="I693">
        <v>11</v>
      </c>
      <c r="J693">
        <v>30.271999999999998</v>
      </c>
      <c r="K693">
        <v>605.44000000000005</v>
      </c>
      <c r="L693" s="1">
        <v>43732</v>
      </c>
      <c r="M693" s="2">
        <v>0.81874999999999998</v>
      </c>
      <c r="N693" t="s">
        <v>27</v>
      </c>
      <c r="O693">
        <v>385.28</v>
      </c>
      <c r="P693">
        <v>4.7619047620000003</v>
      </c>
      <c r="Q693">
        <v>220.16</v>
      </c>
      <c r="R693">
        <v>5.46</v>
      </c>
      <c r="S693">
        <v>96.078500000000005</v>
      </c>
      <c r="T693">
        <v>19.763300000000001</v>
      </c>
    </row>
    <row r="694" spans="1:20" x14ac:dyDescent="0.3">
      <c r="A694" t="s">
        <v>1123</v>
      </c>
      <c r="B694" t="s">
        <v>21</v>
      </c>
      <c r="C694" t="s">
        <v>958</v>
      </c>
      <c r="D694" t="s">
        <v>23</v>
      </c>
      <c r="E694" t="s">
        <v>24</v>
      </c>
      <c r="F694" t="s">
        <v>36</v>
      </c>
      <c r="G694" t="s">
        <v>68</v>
      </c>
      <c r="H694">
        <v>48.63</v>
      </c>
      <c r="I694">
        <v>14</v>
      </c>
      <c r="J694">
        <v>34.040999999999997</v>
      </c>
      <c r="K694">
        <v>680.82</v>
      </c>
      <c r="L694" s="1">
        <v>43817</v>
      </c>
      <c r="M694" s="2">
        <v>0.53055555555555556</v>
      </c>
      <c r="N694" t="s">
        <v>33</v>
      </c>
      <c r="O694">
        <v>486.3</v>
      </c>
      <c r="P694">
        <v>4.7619047620000003</v>
      </c>
      <c r="Q694">
        <v>194.52</v>
      </c>
      <c r="R694">
        <v>8.8000000000000007</v>
      </c>
      <c r="S694">
        <v>96.173500000000004</v>
      </c>
      <c r="T694">
        <v>16.840900000000001</v>
      </c>
    </row>
    <row r="695" spans="1:20" x14ac:dyDescent="0.3">
      <c r="A695" t="s">
        <v>1124</v>
      </c>
      <c r="B695" t="s">
        <v>29</v>
      </c>
      <c r="C695" t="s">
        <v>1125</v>
      </c>
      <c r="D695" t="s">
        <v>31</v>
      </c>
      <c r="E695" t="s">
        <v>24</v>
      </c>
      <c r="F695" t="s">
        <v>25</v>
      </c>
      <c r="G695" t="s">
        <v>100</v>
      </c>
      <c r="H695">
        <v>73.38</v>
      </c>
      <c r="I695">
        <v>11</v>
      </c>
      <c r="J695">
        <v>40.359000000000002</v>
      </c>
      <c r="K695">
        <v>807.18</v>
      </c>
      <c r="L695" s="1">
        <v>43560</v>
      </c>
      <c r="M695" s="2">
        <v>0.5805555555555556</v>
      </c>
      <c r="N695" t="s">
        <v>33</v>
      </c>
      <c r="O695">
        <v>513.66</v>
      </c>
      <c r="P695">
        <v>4.7619047620000003</v>
      </c>
      <c r="Q695">
        <v>293.52</v>
      </c>
      <c r="R695">
        <v>9.9749999999999996</v>
      </c>
      <c r="S695">
        <v>96.078500000000005</v>
      </c>
      <c r="T695">
        <v>19.763300000000001</v>
      </c>
    </row>
    <row r="696" spans="1:20" x14ac:dyDescent="0.3">
      <c r="A696" t="s">
        <v>1126</v>
      </c>
      <c r="B696" t="s">
        <v>29</v>
      </c>
      <c r="C696" t="s">
        <v>389</v>
      </c>
      <c r="D696" t="s">
        <v>31</v>
      </c>
      <c r="E696" t="s">
        <v>32</v>
      </c>
      <c r="F696" t="s">
        <v>25</v>
      </c>
      <c r="G696" t="s">
        <v>63</v>
      </c>
      <c r="H696">
        <v>52.6</v>
      </c>
      <c r="I696">
        <v>11</v>
      </c>
      <c r="J696">
        <v>28.93</v>
      </c>
      <c r="K696">
        <v>578.6</v>
      </c>
      <c r="L696" s="1">
        <v>43605</v>
      </c>
      <c r="M696" s="2">
        <v>0.61250000000000004</v>
      </c>
      <c r="N696" t="s">
        <v>33</v>
      </c>
      <c r="O696">
        <v>473.4</v>
      </c>
      <c r="P696">
        <v>4.7619047620000003</v>
      </c>
      <c r="Q696">
        <v>105.2</v>
      </c>
      <c r="R696">
        <v>7.98</v>
      </c>
      <c r="S696">
        <v>96.078500000000005</v>
      </c>
      <c r="T696">
        <v>19.763300000000001</v>
      </c>
    </row>
    <row r="697" spans="1:20" x14ac:dyDescent="0.3">
      <c r="A697" t="s">
        <v>1127</v>
      </c>
      <c r="B697" t="s">
        <v>21</v>
      </c>
      <c r="C697" t="s">
        <v>185</v>
      </c>
      <c r="D697" t="s">
        <v>23</v>
      </c>
      <c r="E697" t="s">
        <v>24</v>
      </c>
      <c r="F697" t="s">
        <v>25</v>
      </c>
      <c r="G697" t="s">
        <v>77</v>
      </c>
      <c r="H697">
        <v>87.37</v>
      </c>
      <c r="I697">
        <v>7</v>
      </c>
      <c r="J697">
        <v>30.579499999999999</v>
      </c>
      <c r="K697">
        <v>611.59</v>
      </c>
      <c r="L697" s="1">
        <v>43646</v>
      </c>
      <c r="M697" s="2">
        <v>0.82291666666666663</v>
      </c>
      <c r="N697" t="s">
        <v>33</v>
      </c>
      <c r="O697">
        <v>436.85</v>
      </c>
      <c r="P697">
        <v>4.7619047620000003</v>
      </c>
      <c r="Q697">
        <v>174.74</v>
      </c>
      <c r="R697">
        <v>6.6</v>
      </c>
      <c r="S697">
        <v>96.173500000000004</v>
      </c>
      <c r="T697">
        <v>16.840900000000001</v>
      </c>
    </row>
    <row r="698" spans="1:20" x14ac:dyDescent="0.3">
      <c r="A698" t="s">
        <v>1128</v>
      </c>
      <c r="B698" t="s">
        <v>21</v>
      </c>
      <c r="C698" t="s">
        <v>1129</v>
      </c>
      <c r="D698" t="s">
        <v>23</v>
      </c>
      <c r="E698" t="s">
        <v>24</v>
      </c>
      <c r="F698" t="s">
        <v>25</v>
      </c>
      <c r="G698" t="s">
        <v>68</v>
      </c>
      <c r="H698">
        <v>27.04</v>
      </c>
      <c r="I698">
        <v>6</v>
      </c>
      <c r="J698">
        <v>8.1120000000000001</v>
      </c>
      <c r="K698">
        <v>162.24</v>
      </c>
      <c r="L698" s="1">
        <v>43790</v>
      </c>
      <c r="M698" s="2">
        <v>0.85138888888888886</v>
      </c>
      <c r="N698" t="s">
        <v>27</v>
      </c>
      <c r="O698">
        <v>108.16</v>
      </c>
      <c r="P698">
        <v>4.7619047620000003</v>
      </c>
      <c r="Q698">
        <v>54.08</v>
      </c>
      <c r="R698">
        <v>6.9</v>
      </c>
      <c r="S698">
        <v>96.173500000000004</v>
      </c>
      <c r="T698">
        <v>16.840900000000001</v>
      </c>
    </row>
    <row r="699" spans="1:20" x14ac:dyDescent="0.3">
      <c r="A699" t="s">
        <v>1130</v>
      </c>
      <c r="B699" t="s">
        <v>51</v>
      </c>
      <c r="C699" t="s">
        <v>853</v>
      </c>
      <c r="D699" t="s">
        <v>53</v>
      </c>
      <c r="E699" t="s">
        <v>32</v>
      </c>
      <c r="F699" t="s">
        <v>36</v>
      </c>
      <c r="G699" t="s">
        <v>77</v>
      </c>
      <c r="H699">
        <v>62.19</v>
      </c>
      <c r="I699">
        <v>6</v>
      </c>
      <c r="J699">
        <v>18.657</v>
      </c>
      <c r="K699">
        <v>373.14</v>
      </c>
      <c r="L699" s="1">
        <v>43783</v>
      </c>
      <c r="M699" s="2">
        <v>0.82361111111111107</v>
      </c>
      <c r="N699" t="s">
        <v>27</v>
      </c>
      <c r="O699">
        <v>248.76</v>
      </c>
      <c r="P699">
        <v>4.7619047620000003</v>
      </c>
      <c r="Q699">
        <v>124.38</v>
      </c>
      <c r="R699">
        <v>5.16</v>
      </c>
      <c r="S699">
        <v>96.089100000000002</v>
      </c>
      <c r="T699">
        <v>21.9588</v>
      </c>
    </row>
    <row r="700" spans="1:20" x14ac:dyDescent="0.3">
      <c r="A700" t="s">
        <v>1131</v>
      </c>
      <c r="B700" t="s">
        <v>21</v>
      </c>
      <c r="C700" t="s">
        <v>1132</v>
      </c>
      <c r="D700" t="s">
        <v>23</v>
      </c>
      <c r="E700" t="s">
        <v>24</v>
      </c>
      <c r="F700" t="s">
        <v>36</v>
      </c>
      <c r="G700" t="s">
        <v>60</v>
      </c>
      <c r="H700">
        <v>69.58</v>
      </c>
      <c r="I700">
        <v>13</v>
      </c>
      <c r="J700">
        <v>45.226999999999997</v>
      </c>
      <c r="K700">
        <v>904.54</v>
      </c>
      <c r="L700" s="1">
        <v>43753</v>
      </c>
      <c r="M700" s="2">
        <v>0.81805555555555554</v>
      </c>
      <c r="N700" t="s">
        <v>37</v>
      </c>
      <c r="O700">
        <v>626.22</v>
      </c>
      <c r="P700">
        <v>4.7619047620000003</v>
      </c>
      <c r="Q700">
        <v>278.32</v>
      </c>
      <c r="R700">
        <v>7.8</v>
      </c>
      <c r="S700">
        <v>96.173500000000004</v>
      </c>
      <c r="T700">
        <v>16.840900000000001</v>
      </c>
    </row>
    <row r="701" spans="1:20" x14ac:dyDescent="0.3">
      <c r="A701" t="s">
        <v>1133</v>
      </c>
      <c r="B701" t="s">
        <v>29</v>
      </c>
      <c r="C701" t="s">
        <v>466</v>
      </c>
      <c r="D701" t="s">
        <v>31</v>
      </c>
      <c r="E701" t="s">
        <v>32</v>
      </c>
      <c r="F701" t="s">
        <v>36</v>
      </c>
      <c r="G701" t="s">
        <v>77</v>
      </c>
      <c r="H701">
        <v>97.5</v>
      </c>
      <c r="I701">
        <v>12</v>
      </c>
      <c r="J701">
        <v>58.5</v>
      </c>
      <c r="K701">
        <v>1170</v>
      </c>
      <c r="L701" s="1">
        <v>43613</v>
      </c>
      <c r="M701" s="2">
        <v>0.6791666666666667</v>
      </c>
      <c r="N701" t="s">
        <v>27</v>
      </c>
      <c r="O701">
        <v>975</v>
      </c>
      <c r="P701">
        <v>4.7619047620000003</v>
      </c>
      <c r="Q701">
        <v>195</v>
      </c>
      <c r="R701">
        <v>8.4</v>
      </c>
      <c r="S701">
        <v>96.078500000000005</v>
      </c>
      <c r="T701">
        <v>19.763300000000001</v>
      </c>
    </row>
    <row r="702" spans="1:20" x14ac:dyDescent="0.3">
      <c r="A702" t="s">
        <v>1134</v>
      </c>
      <c r="B702" t="s">
        <v>29</v>
      </c>
      <c r="C702" t="s">
        <v>1135</v>
      </c>
      <c r="D702" t="s">
        <v>31</v>
      </c>
      <c r="E702" t="s">
        <v>32</v>
      </c>
      <c r="F702" t="s">
        <v>25</v>
      </c>
      <c r="G702" t="s">
        <v>100</v>
      </c>
      <c r="H702">
        <v>60.41</v>
      </c>
      <c r="I702">
        <v>10</v>
      </c>
      <c r="J702">
        <v>30.204999999999998</v>
      </c>
      <c r="K702">
        <v>604.1</v>
      </c>
      <c r="L702" s="1">
        <v>43708</v>
      </c>
      <c r="M702" s="2">
        <v>0.51597222222222228</v>
      </c>
      <c r="N702" t="s">
        <v>27</v>
      </c>
      <c r="O702">
        <v>483.28</v>
      </c>
      <c r="P702">
        <v>4.7619047620000003</v>
      </c>
      <c r="Q702">
        <v>120.82</v>
      </c>
      <c r="R702">
        <v>10</v>
      </c>
      <c r="S702">
        <v>96.078500000000005</v>
      </c>
      <c r="T702">
        <v>19.763300000000001</v>
      </c>
    </row>
    <row r="703" spans="1:20" x14ac:dyDescent="0.3">
      <c r="A703" t="s">
        <v>1136</v>
      </c>
      <c r="B703" t="s">
        <v>51</v>
      </c>
      <c r="C703" t="s">
        <v>280</v>
      </c>
      <c r="D703" t="s">
        <v>53</v>
      </c>
      <c r="E703" t="s">
        <v>32</v>
      </c>
      <c r="F703" t="s">
        <v>36</v>
      </c>
      <c r="G703" t="s">
        <v>63</v>
      </c>
      <c r="H703">
        <v>32.32</v>
      </c>
      <c r="I703">
        <v>4</v>
      </c>
      <c r="J703">
        <v>6.4640000000000004</v>
      </c>
      <c r="K703">
        <v>129.28</v>
      </c>
      <c r="L703" s="1">
        <v>43508</v>
      </c>
      <c r="M703" s="2">
        <v>0.7993055555555556</v>
      </c>
      <c r="N703" t="s">
        <v>37</v>
      </c>
      <c r="O703">
        <v>96.96</v>
      </c>
      <c r="P703">
        <v>4.7619047620000003</v>
      </c>
      <c r="Q703">
        <v>32.32</v>
      </c>
      <c r="R703">
        <v>5.16</v>
      </c>
      <c r="S703">
        <v>96.089100000000002</v>
      </c>
      <c r="T703">
        <v>21.9588</v>
      </c>
    </row>
    <row r="704" spans="1:20" x14ac:dyDescent="0.3">
      <c r="A704" t="s">
        <v>1137</v>
      </c>
      <c r="B704" t="s">
        <v>51</v>
      </c>
      <c r="C704" t="s">
        <v>258</v>
      </c>
      <c r="D704" t="s">
        <v>53</v>
      </c>
      <c r="E704" t="s">
        <v>24</v>
      </c>
      <c r="F704" t="s">
        <v>25</v>
      </c>
      <c r="G704" t="s">
        <v>100</v>
      </c>
      <c r="H704">
        <v>19.77</v>
      </c>
      <c r="I704">
        <v>20</v>
      </c>
      <c r="J704">
        <v>19.77</v>
      </c>
      <c r="K704">
        <v>395.4</v>
      </c>
      <c r="L704" s="1">
        <v>43709</v>
      </c>
      <c r="M704" s="2">
        <v>0.7895833333333333</v>
      </c>
      <c r="N704" t="s">
        <v>37</v>
      </c>
      <c r="O704">
        <v>197.7</v>
      </c>
      <c r="P704">
        <v>4.7619047620000003</v>
      </c>
      <c r="Q704">
        <v>197.7</v>
      </c>
      <c r="R704">
        <v>6</v>
      </c>
      <c r="S704">
        <v>96.089100000000002</v>
      </c>
      <c r="T704">
        <v>21.9588</v>
      </c>
    </row>
    <row r="705" spans="1:20" x14ac:dyDescent="0.3">
      <c r="A705" t="s">
        <v>1138</v>
      </c>
      <c r="B705" t="s">
        <v>51</v>
      </c>
      <c r="C705" t="s">
        <v>382</v>
      </c>
      <c r="D705" t="s">
        <v>53</v>
      </c>
      <c r="E705" t="s">
        <v>24</v>
      </c>
      <c r="F705" t="s">
        <v>36</v>
      </c>
      <c r="G705" t="s">
        <v>26</v>
      </c>
      <c r="H705">
        <v>80.47</v>
      </c>
      <c r="I705">
        <v>18</v>
      </c>
      <c r="J705">
        <v>72.423000000000002</v>
      </c>
      <c r="K705">
        <v>1448.46</v>
      </c>
      <c r="L705" s="1">
        <v>43501</v>
      </c>
      <c r="M705" s="2">
        <v>0.47083333333333333</v>
      </c>
      <c r="N705" t="s">
        <v>33</v>
      </c>
      <c r="O705">
        <v>724.23</v>
      </c>
      <c r="P705">
        <v>4.7619047620000003</v>
      </c>
      <c r="Q705">
        <v>724.23</v>
      </c>
      <c r="R705">
        <v>10</v>
      </c>
      <c r="S705">
        <v>96.089100000000002</v>
      </c>
      <c r="T705">
        <v>21.9588</v>
      </c>
    </row>
    <row r="706" spans="1:20" x14ac:dyDescent="0.3">
      <c r="A706" t="s">
        <v>1139</v>
      </c>
      <c r="B706" t="s">
        <v>51</v>
      </c>
      <c r="C706" t="s">
        <v>771</v>
      </c>
      <c r="D706" t="s">
        <v>53</v>
      </c>
      <c r="E706" t="s">
        <v>24</v>
      </c>
      <c r="F706" t="s">
        <v>25</v>
      </c>
      <c r="G706" t="s">
        <v>77</v>
      </c>
      <c r="H706">
        <v>88.39</v>
      </c>
      <c r="I706">
        <v>18</v>
      </c>
      <c r="J706">
        <v>79.551000000000002</v>
      </c>
      <c r="K706">
        <v>1591.02</v>
      </c>
      <c r="L706" s="1">
        <v>43666</v>
      </c>
      <c r="M706" s="2">
        <v>0.52777777777777779</v>
      </c>
      <c r="N706" t="s">
        <v>33</v>
      </c>
      <c r="O706">
        <v>795.51</v>
      </c>
      <c r="P706">
        <v>4.7619047620000003</v>
      </c>
      <c r="Q706">
        <v>795.51</v>
      </c>
      <c r="R706">
        <v>7.56</v>
      </c>
      <c r="S706">
        <v>96.089100000000002</v>
      </c>
      <c r="T706">
        <v>21.9588</v>
      </c>
    </row>
    <row r="707" spans="1:20" x14ac:dyDescent="0.3">
      <c r="A707" t="s">
        <v>1140</v>
      </c>
      <c r="B707" t="s">
        <v>51</v>
      </c>
      <c r="C707" t="s">
        <v>67</v>
      </c>
      <c r="D707" t="s">
        <v>53</v>
      </c>
      <c r="E707" t="s">
        <v>32</v>
      </c>
      <c r="F707" t="s">
        <v>36</v>
      </c>
      <c r="G707" t="s">
        <v>26</v>
      </c>
      <c r="H707">
        <v>71.77</v>
      </c>
      <c r="I707">
        <v>10</v>
      </c>
      <c r="J707">
        <v>35.884999999999998</v>
      </c>
      <c r="K707">
        <v>717.7</v>
      </c>
      <c r="L707" s="1">
        <v>43487</v>
      </c>
      <c r="M707" s="2">
        <v>0.58750000000000002</v>
      </c>
      <c r="N707" t="s">
        <v>33</v>
      </c>
      <c r="O707">
        <v>502.39</v>
      </c>
      <c r="P707">
        <v>4.7619047620000003</v>
      </c>
      <c r="Q707">
        <v>215.31</v>
      </c>
      <c r="R707">
        <v>10</v>
      </c>
      <c r="S707">
        <v>96.089100000000002</v>
      </c>
      <c r="T707">
        <v>21.9588</v>
      </c>
    </row>
    <row r="708" spans="1:20" x14ac:dyDescent="0.3">
      <c r="A708" t="s">
        <v>1141</v>
      </c>
      <c r="B708" t="s">
        <v>51</v>
      </c>
      <c r="C708" t="s">
        <v>458</v>
      </c>
      <c r="D708" t="s">
        <v>53</v>
      </c>
      <c r="E708" t="s">
        <v>32</v>
      </c>
      <c r="F708" t="s">
        <v>25</v>
      </c>
      <c r="G708" t="s">
        <v>60</v>
      </c>
      <c r="H708">
        <v>43</v>
      </c>
      <c r="I708">
        <v>6</v>
      </c>
      <c r="J708">
        <v>12.9</v>
      </c>
      <c r="K708">
        <v>258</v>
      </c>
      <c r="L708" s="1">
        <v>43727</v>
      </c>
      <c r="M708" s="2">
        <v>0.8666666666666667</v>
      </c>
      <c r="N708" t="s">
        <v>27</v>
      </c>
      <c r="O708">
        <v>172</v>
      </c>
      <c r="P708">
        <v>4.7619047620000003</v>
      </c>
      <c r="Q708">
        <v>86</v>
      </c>
      <c r="R708">
        <v>9.1199999999999992</v>
      </c>
      <c r="S708">
        <v>96.089100000000002</v>
      </c>
      <c r="T708">
        <v>21.9588</v>
      </c>
    </row>
    <row r="709" spans="1:20" x14ac:dyDescent="0.3">
      <c r="A709" t="s">
        <v>1142</v>
      </c>
      <c r="B709" t="s">
        <v>29</v>
      </c>
      <c r="C709" t="s">
        <v>1006</v>
      </c>
      <c r="D709" t="s">
        <v>31</v>
      </c>
      <c r="E709" t="s">
        <v>24</v>
      </c>
      <c r="F709" t="s">
        <v>36</v>
      </c>
      <c r="G709" t="s">
        <v>100</v>
      </c>
      <c r="H709">
        <v>68.98</v>
      </c>
      <c r="I709">
        <v>1</v>
      </c>
      <c r="J709">
        <v>3.4489999999999998</v>
      </c>
      <c r="K709">
        <v>68.98</v>
      </c>
      <c r="L709" s="1">
        <v>43529</v>
      </c>
      <c r="M709" s="2">
        <v>0.84236111111111112</v>
      </c>
      <c r="N709" t="s">
        <v>33</v>
      </c>
      <c r="O709">
        <v>68.98</v>
      </c>
      <c r="P709">
        <v>4.7619047620000003</v>
      </c>
      <c r="Q709">
        <v>0</v>
      </c>
      <c r="R709">
        <v>5.04</v>
      </c>
      <c r="S709">
        <v>96.078500000000005</v>
      </c>
      <c r="T709">
        <v>19.763300000000001</v>
      </c>
    </row>
    <row r="710" spans="1:20" x14ac:dyDescent="0.3">
      <c r="A710" t="s">
        <v>1143</v>
      </c>
      <c r="B710" t="s">
        <v>29</v>
      </c>
      <c r="C710" t="s">
        <v>1144</v>
      </c>
      <c r="D710" t="s">
        <v>31</v>
      </c>
      <c r="E710" t="s">
        <v>32</v>
      </c>
      <c r="F710" t="s">
        <v>36</v>
      </c>
      <c r="G710" t="s">
        <v>100</v>
      </c>
      <c r="H710">
        <v>15.62</v>
      </c>
      <c r="I710">
        <v>10</v>
      </c>
      <c r="J710">
        <v>7.81</v>
      </c>
      <c r="K710">
        <v>156.19999999999999</v>
      </c>
      <c r="L710" s="1">
        <v>43667</v>
      </c>
      <c r="M710" s="2">
        <v>0.85902777777777772</v>
      </c>
      <c r="N710" t="s">
        <v>27</v>
      </c>
      <c r="O710">
        <v>124.96</v>
      </c>
      <c r="P710">
        <v>4.7619047620000003</v>
      </c>
      <c r="Q710">
        <v>31.24</v>
      </c>
      <c r="R710">
        <v>9.5549999999999997</v>
      </c>
      <c r="S710">
        <v>96.078500000000005</v>
      </c>
      <c r="T710">
        <v>19.763300000000001</v>
      </c>
    </row>
    <row r="711" spans="1:20" x14ac:dyDescent="0.3">
      <c r="A711" t="s">
        <v>1145</v>
      </c>
      <c r="B711" t="s">
        <v>21</v>
      </c>
      <c r="C711" t="s">
        <v>1146</v>
      </c>
      <c r="D711" t="s">
        <v>23</v>
      </c>
      <c r="E711" t="s">
        <v>32</v>
      </c>
      <c r="F711" t="s">
        <v>36</v>
      </c>
      <c r="G711" t="s">
        <v>100</v>
      </c>
      <c r="H711">
        <v>25.7</v>
      </c>
      <c r="I711">
        <v>3</v>
      </c>
      <c r="J711">
        <v>3.855</v>
      </c>
      <c r="K711">
        <v>77.099999999999994</v>
      </c>
      <c r="L711" s="1">
        <v>43788</v>
      </c>
      <c r="M711" s="2">
        <v>0.74930555555555556</v>
      </c>
      <c r="N711" t="s">
        <v>27</v>
      </c>
      <c r="O711">
        <v>77.099999999999994</v>
      </c>
      <c r="P711">
        <v>4.7619047620000003</v>
      </c>
      <c r="Q711">
        <v>0</v>
      </c>
      <c r="R711">
        <v>6.1</v>
      </c>
      <c r="S711">
        <v>96.173500000000004</v>
      </c>
      <c r="T711">
        <v>16.840900000000001</v>
      </c>
    </row>
    <row r="712" spans="1:20" x14ac:dyDescent="0.3">
      <c r="A712" t="s">
        <v>1147</v>
      </c>
      <c r="B712" t="s">
        <v>21</v>
      </c>
      <c r="C712" t="s">
        <v>1148</v>
      </c>
      <c r="D712" t="s">
        <v>23</v>
      </c>
      <c r="E712" t="s">
        <v>24</v>
      </c>
      <c r="F712" t="s">
        <v>36</v>
      </c>
      <c r="G712" t="s">
        <v>100</v>
      </c>
      <c r="H712">
        <v>80.62</v>
      </c>
      <c r="I712">
        <v>8</v>
      </c>
      <c r="J712">
        <v>32.247999999999998</v>
      </c>
      <c r="K712">
        <v>644.96</v>
      </c>
      <c r="L712" s="1">
        <v>43753</v>
      </c>
      <c r="M712" s="2">
        <v>0.84583333333333333</v>
      </c>
      <c r="N712" t="s">
        <v>33</v>
      </c>
      <c r="O712">
        <v>483.72</v>
      </c>
      <c r="P712">
        <v>4.7619047620000003</v>
      </c>
      <c r="Q712">
        <v>161.24</v>
      </c>
      <c r="R712">
        <v>9.1</v>
      </c>
      <c r="S712">
        <v>96.173500000000004</v>
      </c>
      <c r="T712">
        <v>16.840900000000001</v>
      </c>
    </row>
    <row r="713" spans="1:20" x14ac:dyDescent="0.3">
      <c r="A713" t="s">
        <v>1149</v>
      </c>
      <c r="B713" t="s">
        <v>29</v>
      </c>
      <c r="C713" t="s">
        <v>1150</v>
      </c>
      <c r="D713" t="s">
        <v>31</v>
      </c>
      <c r="E713" t="s">
        <v>24</v>
      </c>
      <c r="F713" t="s">
        <v>25</v>
      </c>
      <c r="G713" t="s">
        <v>100</v>
      </c>
      <c r="H713">
        <v>75.53</v>
      </c>
      <c r="I713">
        <v>7</v>
      </c>
      <c r="J713">
        <v>26.435500000000001</v>
      </c>
      <c r="K713">
        <v>528.71</v>
      </c>
      <c r="L713" s="1">
        <v>43822</v>
      </c>
      <c r="M713" s="2">
        <v>0.66111111111111109</v>
      </c>
      <c r="N713" t="s">
        <v>27</v>
      </c>
      <c r="O713">
        <v>302.12</v>
      </c>
      <c r="P713">
        <v>4.7619047620000003</v>
      </c>
      <c r="Q713">
        <v>226.59</v>
      </c>
      <c r="R713">
        <v>8.7149999999999999</v>
      </c>
      <c r="S713">
        <v>96.078500000000005</v>
      </c>
      <c r="T713">
        <v>19.763300000000001</v>
      </c>
    </row>
    <row r="714" spans="1:20" x14ac:dyDescent="0.3">
      <c r="A714" t="s">
        <v>1151</v>
      </c>
      <c r="B714" t="s">
        <v>29</v>
      </c>
      <c r="C714" t="s">
        <v>323</v>
      </c>
      <c r="D714" t="s">
        <v>31</v>
      </c>
      <c r="E714" t="s">
        <v>32</v>
      </c>
      <c r="F714" t="s">
        <v>25</v>
      </c>
      <c r="G714" t="s">
        <v>100</v>
      </c>
      <c r="H714">
        <v>77.63</v>
      </c>
      <c r="I714">
        <v>11</v>
      </c>
      <c r="J714">
        <v>42.6965</v>
      </c>
      <c r="K714">
        <v>853.93</v>
      </c>
      <c r="L714" s="1">
        <v>43537</v>
      </c>
      <c r="M714" s="2">
        <v>0.63472222222222219</v>
      </c>
      <c r="N714" t="s">
        <v>27</v>
      </c>
      <c r="O714">
        <v>698.67</v>
      </c>
      <c r="P714">
        <v>4.7619047620000003</v>
      </c>
      <c r="Q714">
        <v>155.26</v>
      </c>
      <c r="R714">
        <v>7.56</v>
      </c>
      <c r="S714">
        <v>96.078500000000005</v>
      </c>
      <c r="T714">
        <v>19.763300000000001</v>
      </c>
    </row>
    <row r="715" spans="1:20" x14ac:dyDescent="0.3">
      <c r="A715" t="s">
        <v>1152</v>
      </c>
      <c r="B715" t="s">
        <v>29</v>
      </c>
      <c r="C715" t="s">
        <v>276</v>
      </c>
      <c r="D715" t="s">
        <v>31</v>
      </c>
      <c r="E715" t="s">
        <v>32</v>
      </c>
      <c r="F715" t="s">
        <v>25</v>
      </c>
      <c r="G715" t="s">
        <v>100</v>
      </c>
      <c r="H715">
        <v>13.85</v>
      </c>
      <c r="I715">
        <v>11</v>
      </c>
      <c r="J715">
        <v>7.6174999999999997</v>
      </c>
      <c r="K715">
        <v>152.35</v>
      </c>
      <c r="L715" s="1">
        <v>43645</v>
      </c>
      <c r="M715" s="2">
        <v>0.53472222222222221</v>
      </c>
      <c r="N715" t="s">
        <v>27</v>
      </c>
      <c r="O715">
        <v>124.65</v>
      </c>
      <c r="P715">
        <v>4.7619047620000003</v>
      </c>
      <c r="Q715">
        <v>27.7</v>
      </c>
      <c r="R715">
        <v>6.3</v>
      </c>
      <c r="S715">
        <v>96.078500000000005</v>
      </c>
      <c r="T715">
        <v>19.763300000000001</v>
      </c>
    </row>
    <row r="716" spans="1:20" x14ac:dyDescent="0.3">
      <c r="A716" t="s">
        <v>1153</v>
      </c>
      <c r="B716" t="s">
        <v>29</v>
      </c>
      <c r="C716" t="s">
        <v>358</v>
      </c>
      <c r="D716" t="s">
        <v>31</v>
      </c>
      <c r="E716" t="s">
        <v>24</v>
      </c>
      <c r="F716" t="s">
        <v>36</v>
      </c>
      <c r="G716" t="s">
        <v>100</v>
      </c>
      <c r="H716">
        <v>98.7</v>
      </c>
      <c r="I716">
        <v>14</v>
      </c>
      <c r="J716">
        <v>69.09</v>
      </c>
      <c r="K716">
        <v>1381.8</v>
      </c>
      <c r="L716" s="1">
        <v>43543</v>
      </c>
      <c r="M716" s="2">
        <v>0.44166666666666665</v>
      </c>
      <c r="N716" t="s">
        <v>27</v>
      </c>
      <c r="O716">
        <v>789.6</v>
      </c>
      <c r="P716">
        <v>4.7619047620000003</v>
      </c>
      <c r="Q716">
        <v>592.20000000000005</v>
      </c>
      <c r="R716">
        <v>8.9250000000000007</v>
      </c>
      <c r="S716">
        <v>96.078500000000005</v>
      </c>
      <c r="T716">
        <v>19.763300000000001</v>
      </c>
    </row>
    <row r="717" spans="1:20" x14ac:dyDescent="0.3">
      <c r="A717" t="s">
        <v>1154</v>
      </c>
      <c r="B717" t="s">
        <v>21</v>
      </c>
      <c r="C717" t="s">
        <v>799</v>
      </c>
      <c r="D717" t="s">
        <v>23</v>
      </c>
      <c r="E717" t="s">
        <v>32</v>
      </c>
      <c r="F717" t="s">
        <v>25</v>
      </c>
      <c r="G717" t="s">
        <v>100</v>
      </c>
      <c r="H717">
        <v>35.68</v>
      </c>
      <c r="I717">
        <v>5</v>
      </c>
      <c r="J717">
        <v>8.92</v>
      </c>
      <c r="K717">
        <v>178.4</v>
      </c>
      <c r="L717" s="1">
        <v>43529</v>
      </c>
      <c r="M717" s="2">
        <v>0.7729166666666667</v>
      </c>
      <c r="N717" t="s">
        <v>37</v>
      </c>
      <c r="O717">
        <v>178.4</v>
      </c>
      <c r="P717">
        <v>4.7619047620000003</v>
      </c>
      <c r="Q717">
        <v>0</v>
      </c>
      <c r="R717">
        <v>6.6</v>
      </c>
      <c r="S717">
        <v>96.173500000000004</v>
      </c>
      <c r="T717">
        <v>16.840900000000001</v>
      </c>
    </row>
    <row r="718" spans="1:20" x14ac:dyDescent="0.3">
      <c r="A718" t="s">
        <v>1155</v>
      </c>
      <c r="B718" t="s">
        <v>21</v>
      </c>
      <c r="C718" t="s">
        <v>387</v>
      </c>
      <c r="D718" t="s">
        <v>23</v>
      </c>
      <c r="E718" t="s">
        <v>24</v>
      </c>
      <c r="F718" t="s">
        <v>25</v>
      </c>
      <c r="G718" t="s">
        <v>100</v>
      </c>
      <c r="H718">
        <v>71.459999999999994</v>
      </c>
      <c r="I718">
        <v>10</v>
      </c>
      <c r="J718">
        <v>35.729999999999997</v>
      </c>
      <c r="K718">
        <v>714.6</v>
      </c>
      <c r="L718" s="1">
        <v>43664</v>
      </c>
      <c r="M718" s="2">
        <v>0.67083333333333328</v>
      </c>
      <c r="N718" t="s">
        <v>27</v>
      </c>
      <c r="O718">
        <v>500.22</v>
      </c>
      <c r="P718">
        <v>4.7619047620000003</v>
      </c>
      <c r="Q718">
        <v>214.38</v>
      </c>
      <c r="R718">
        <v>4.5</v>
      </c>
      <c r="S718">
        <v>96.173500000000004</v>
      </c>
      <c r="T718">
        <v>16.840900000000001</v>
      </c>
    </row>
    <row r="719" spans="1:20" x14ac:dyDescent="0.3">
      <c r="A719" t="s">
        <v>1156</v>
      </c>
      <c r="B719" t="s">
        <v>21</v>
      </c>
      <c r="C719" t="s">
        <v>365</v>
      </c>
      <c r="D719" t="s">
        <v>23</v>
      </c>
      <c r="E719" t="s">
        <v>24</v>
      </c>
      <c r="F719" t="s">
        <v>36</v>
      </c>
      <c r="G719" t="s">
        <v>60</v>
      </c>
      <c r="H719">
        <v>11.94</v>
      </c>
      <c r="I719">
        <v>4</v>
      </c>
      <c r="J719">
        <v>2.3879999999999999</v>
      </c>
      <c r="K719">
        <v>47.76</v>
      </c>
      <c r="L719" s="1">
        <v>43597</v>
      </c>
      <c r="M719" s="2">
        <v>0.53263888888888888</v>
      </c>
      <c r="N719" t="s">
        <v>37</v>
      </c>
      <c r="O719">
        <v>35.82</v>
      </c>
      <c r="P719">
        <v>4.7619047620000003</v>
      </c>
      <c r="Q719">
        <v>11.94</v>
      </c>
      <c r="R719">
        <v>8.1</v>
      </c>
      <c r="S719">
        <v>96.173500000000004</v>
      </c>
      <c r="T719">
        <v>16.840900000000001</v>
      </c>
    </row>
    <row r="720" spans="1:20" x14ac:dyDescent="0.3">
      <c r="A720" t="s">
        <v>1157</v>
      </c>
      <c r="B720" t="s">
        <v>21</v>
      </c>
      <c r="C720" t="s">
        <v>39</v>
      </c>
      <c r="D720" t="s">
        <v>23</v>
      </c>
      <c r="E720" t="s">
        <v>32</v>
      </c>
      <c r="F720" t="s">
        <v>36</v>
      </c>
      <c r="G720" t="s">
        <v>68</v>
      </c>
      <c r="H720">
        <v>45.38</v>
      </c>
      <c r="I720">
        <v>3</v>
      </c>
      <c r="J720">
        <v>6.8070000000000004</v>
      </c>
      <c r="K720">
        <v>136.13999999999999</v>
      </c>
      <c r="L720" s="1">
        <v>43466</v>
      </c>
      <c r="M720" s="2">
        <v>0.56527777777777777</v>
      </c>
      <c r="N720" t="s">
        <v>37</v>
      </c>
      <c r="O720">
        <v>136.13999999999999</v>
      </c>
      <c r="P720">
        <v>4.7619047620000003</v>
      </c>
      <c r="Q720">
        <v>0</v>
      </c>
      <c r="R720">
        <v>7.2</v>
      </c>
      <c r="S720">
        <v>96.173500000000004</v>
      </c>
      <c r="T720">
        <v>16.840900000000001</v>
      </c>
    </row>
    <row r="721" spans="1:20" x14ac:dyDescent="0.3">
      <c r="A721" t="s">
        <v>1158</v>
      </c>
      <c r="B721" t="s">
        <v>51</v>
      </c>
      <c r="C721" t="s">
        <v>145</v>
      </c>
      <c r="D721" t="s">
        <v>53</v>
      </c>
      <c r="E721" t="s">
        <v>24</v>
      </c>
      <c r="F721" t="s">
        <v>25</v>
      </c>
      <c r="G721" t="s">
        <v>68</v>
      </c>
      <c r="H721">
        <v>17.48</v>
      </c>
      <c r="I721">
        <v>11</v>
      </c>
      <c r="J721">
        <v>9.6140000000000008</v>
      </c>
      <c r="K721">
        <v>192.28</v>
      </c>
      <c r="L721" s="1">
        <v>43820</v>
      </c>
      <c r="M721" s="2">
        <v>0.62777777777777777</v>
      </c>
      <c r="N721" t="s">
        <v>37</v>
      </c>
      <c r="O721">
        <v>104.88</v>
      </c>
      <c r="P721">
        <v>4.7619047620000003</v>
      </c>
      <c r="Q721">
        <v>87.4</v>
      </c>
      <c r="R721">
        <v>7.32</v>
      </c>
      <c r="S721">
        <v>96.089100000000002</v>
      </c>
      <c r="T721">
        <v>21.9588</v>
      </c>
    </row>
    <row r="722" spans="1:20" x14ac:dyDescent="0.3">
      <c r="A722" t="s">
        <v>1159</v>
      </c>
      <c r="B722" t="s">
        <v>51</v>
      </c>
      <c r="C722" t="s">
        <v>830</v>
      </c>
      <c r="D722" t="s">
        <v>53</v>
      </c>
      <c r="E722" t="s">
        <v>32</v>
      </c>
      <c r="F722" t="s">
        <v>25</v>
      </c>
      <c r="G722" t="s">
        <v>68</v>
      </c>
      <c r="H722">
        <v>25.56</v>
      </c>
      <c r="I722">
        <v>10</v>
      </c>
      <c r="J722">
        <v>12.78</v>
      </c>
      <c r="K722">
        <v>255.6</v>
      </c>
      <c r="L722" s="1">
        <v>43620</v>
      </c>
      <c r="M722" s="2">
        <v>0.86250000000000004</v>
      </c>
      <c r="N722" t="s">
        <v>33</v>
      </c>
      <c r="O722">
        <v>178.92</v>
      </c>
      <c r="P722">
        <v>4.7619047620000003</v>
      </c>
      <c r="Q722">
        <v>76.680000000000007</v>
      </c>
      <c r="R722">
        <v>8.52</v>
      </c>
      <c r="S722">
        <v>96.089100000000002</v>
      </c>
      <c r="T722">
        <v>21.9588</v>
      </c>
    </row>
    <row r="723" spans="1:20" x14ac:dyDescent="0.3">
      <c r="A723" t="s">
        <v>1160</v>
      </c>
      <c r="B723" t="s">
        <v>29</v>
      </c>
      <c r="C723" t="s">
        <v>1161</v>
      </c>
      <c r="D723" t="s">
        <v>31</v>
      </c>
      <c r="E723" t="s">
        <v>24</v>
      </c>
      <c r="F723" t="s">
        <v>25</v>
      </c>
      <c r="G723" t="s">
        <v>68</v>
      </c>
      <c r="H723">
        <v>90.63</v>
      </c>
      <c r="I723">
        <v>15</v>
      </c>
      <c r="J723">
        <v>67.972499999999997</v>
      </c>
      <c r="K723">
        <v>1359.45</v>
      </c>
      <c r="L723" s="1">
        <v>43548</v>
      </c>
      <c r="M723" s="2">
        <v>0.64444444444444449</v>
      </c>
      <c r="N723" t="s">
        <v>33</v>
      </c>
      <c r="O723">
        <v>815.67</v>
      </c>
      <c r="P723">
        <v>4.7619047620000003</v>
      </c>
      <c r="Q723">
        <v>543.78</v>
      </c>
      <c r="R723">
        <v>5.3550000000000004</v>
      </c>
      <c r="S723">
        <v>96.078500000000005</v>
      </c>
      <c r="T723">
        <v>19.763300000000001</v>
      </c>
    </row>
    <row r="724" spans="1:20" x14ac:dyDescent="0.3">
      <c r="A724" t="s">
        <v>1162</v>
      </c>
      <c r="B724" t="s">
        <v>51</v>
      </c>
      <c r="C724" t="s">
        <v>104</v>
      </c>
      <c r="D724" t="s">
        <v>53</v>
      </c>
      <c r="E724" t="s">
        <v>32</v>
      </c>
      <c r="F724" t="s">
        <v>36</v>
      </c>
      <c r="G724" t="s">
        <v>77</v>
      </c>
      <c r="H724">
        <v>44.12</v>
      </c>
      <c r="I724">
        <v>4</v>
      </c>
      <c r="J724">
        <v>8.8239999999999998</v>
      </c>
      <c r="K724">
        <v>176.48</v>
      </c>
      <c r="L724" s="1">
        <v>43618</v>
      </c>
      <c r="M724" s="2">
        <v>0.57291666666666663</v>
      </c>
      <c r="N724" t="s">
        <v>37</v>
      </c>
      <c r="O724">
        <v>132.36000000000001</v>
      </c>
      <c r="P724">
        <v>4.7619047620000003</v>
      </c>
      <c r="Q724">
        <v>44.12</v>
      </c>
      <c r="R724">
        <v>9.48</v>
      </c>
      <c r="S724">
        <v>96.089100000000002</v>
      </c>
      <c r="T724">
        <v>21.9588</v>
      </c>
    </row>
    <row r="725" spans="1:20" x14ac:dyDescent="0.3">
      <c r="A725" t="s">
        <v>1163</v>
      </c>
      <c r="B725" t="s">
        <v>29</v>
      </c>
      <c r="C725" t="s">
        <v>598</v>
      </c>
      <c r="D725" t="s">
        <v>31</v>
      </c>
      <c r="E725" t="s">
        <v>24</v>
      </c>
      <c r="F725" t="s">
        <v>25</v>
      </c>
      <c r="G725" t="s">
        <v>63</v>
      </c>
      <c r="H725">
        <v>36.770000000000003</v>
      </c>
      <c r="I725">
        <v>11</v>
      </c>
      <c r="J725">
        <v>20.223500000000001</v>
      </c>
      <c r="K725">
        <v>404.47</v>
      </c>
      <c r="L725" s="1">
        <v>43478</v>
      </c>
      <c r="M725" s="2">
        <v>0.84027777777777779</v>
      </c>
      <c r="N725" t="s">
        <v>33</v>
      </c>
      <c r="O725">
        <v>257.39</v>
      </c>
      <c r="P725">
        <v>4.7619047620000003</v>
      </c>
      <c r="Q725">
        <v>147.08000000000001</v>
      </c>
      <c r="R725">
        <v>7.77</v>
      </c>
      <c r="S725">
        <v>96.078500000000005</v>
      </c>
      <c r="T725">
        <v>19.763300000000001</v>
      </c>
    </row>
    <row r="726" spans="1:20" x14ac:dyDescent="0.3">
      <c r="A726" t="s">
        <v>1164</v>
      </c>
      <c r="B726" t="s">
        <v>51</v>
      </c>
      <c r="C726" t="s">
        <v>665</v>
      </c>
      <c r="D726" t="s">
        <v>53</v>
      </c>
      <c r="E726" t="s">
        <v>24</v>
      </c>
      <c r="F726" t="s">
        <v>36</v>
      </c>
      <c r="G726" t="s">
        <v>63</v>
      </c>
      <c r="H726">
        <v>23.34</v>
      </c>
      <c r="I726">
        <v>8</v>
      </c>
      <c r="J726">
        <v>9.3360000000000003</v>
      </c>
      <c r="K726">
        <v>186.72</v>
      </c>
      <c r="L726" s="1">
        <v>43478</v>
      </c>
      <c r="M726" s="2">
        <v>0.78680555555555554</v>
      </c>
      <c r="N726" t="s">
        <v>27</v>
      </c>
      <c r="O726">
        <v>93.36</v>
      </c>
      <c r="P726">
        <v>4.7619047620000003</v>
      </c>
      <c r="Q726">
        <v>93.36</v>
      </c>
      <c r="R726">
        <v>8.8800000000000008</v>
      </c>
      <c r="S726">
        <v>96.089100000000002</v>
      </c>
      <c r="T726">
        <v>21.9588</v>
      </c>
    </row>
    <row r="727" spans="1:20" x14ac:dyDescent="0.3">
      <c r="A727" t="s">
        <v>1165</v>
      </c>
      <c r="B727" t="s">
        <v>29</v>
      </c>
      <c r="C727" t="s">
        <v>999</v>
      </c>
      <c r="D727" t="s">
        <v>31</v>
      </c>
      <c r="E727" t="s">
        <v>24</v>
      </c>
      <c r="F727" t="s">
        <v>25</v>
      </c>
      <c r="G727" t="s">
        <v>26</v>
      </c>
      <c r="H727">
        <v>28.5</v>
      </c>
      <c r="I727">
        <v>14</v>
      </c>
      <c r="J727">
        <v>19.95</v>
      </c>
      <c r="K727">
        <v>399</v>
      </c>
      <c r="L727" s="1">
        <v>43788</v>
      </c>
      <c r="M727" s="2">
        <v>0.6</v>
      </c>
      <c r="N727" t="s">
        <v>33</v>
      </c>
      <c r="O727">
        <v>228</v>
      </c>
      <c r="P727">
        <v>4.7619047620000003</v>
      </c>
      <c r="Q727">
        <v>171</v>
      </c>
      <c r="S727">
        <v>96.078500000000005</v>
      </c>
      <c r="T727">
        <v>19.763300000000001</v>
      </c>
    </row>
    <row r="728" spans="1:20" x14ac:dyDescent="0.3">
      <c r="A728" t="s">
        <v>1166</v>
      </c>
      <c r="B728" t="s">
        <v>29</v>
      </c>
      <c r="C728" t="s">
        <v>893</v>
      </c>
      <c r="D728" t="s">
        <v>31</v>
      </c>
      <c r="E728" t="s">
        <v>24</v>
      </c>
      <c r="F728" t="s">
        <v>36</v>
      </c>
      <c r="G728" t="s">
        <v>77</v>
      </c>
      <c r="H728">
        <v>55.57</v>
      </c>
      <c r="I728">
        <v>6</v>
      </c>
      <c r="J728">
        <v>16.670999999999999</v>
      </c>
      <c r="K728">
        <v>333.42</v>
      </c>
      <c r="L728" s="1">
        <v>43568</v>
      </c>
      <c r="M728" s="2">
        <v>0.48749999999999999</v>
      </c>
      <c r="N728" t="s">
        <v>37</v>
      </c>
      <c r="O728">
        <v>166.71</v>
      </c>
      <c r="P728">
        <v>4.7619047620000003</v>
      </c>
      <c r="Q728">
        <v>166.71</v>
      </c>
      <c r="S728">
        <v>96.078500000000005</v>
      </c>
      <c r="T728">
        <v>19.763300000000001</v>
      </c>
    </row>
    <row r="729" spans="1:20" x14ac:dyDescent="0.3">
      <c r="A729" t="s">
        <v>1167</v>
      </c>
      <c r="B729" t="s">
        <v>51</v>
      </c>
      <c r="C729" t="s">
        <v>282</v>
      </c>
      <c r="D729" t="s">
        <v>53</v>
      </c>
      <c r="E729" t="s">
        <v>32</v>
      </c>
      <c r="F729" t="s">
        <v>36</v>
      </c>
      <c r="G729" t="s">
        <v>68</v>
      </c>
      <c r="H729">
        <v>69.739999999999995</v>
      </c>
      <c r="I729">
        <v>14</v>
      </c>
      <c r="J729">
        <v>48.817999999999998</v>
      </c>
      <c r="K729">
        <v>976.36</v>
      </c>
      <c r="L729" s="1">
        <v>43496</v>
      </c>
      <c r="M729" s="2">
        <v>0.74236111111111114</v>
      </c>
      <c r="N729" t="s">
        <v>37</v>
      </c>
      <c r="O729">
        <v>697.4</v>
      </c>
      <c r="P729">
        <v>4.7619047620000003</v>
      </c>
      <c r="Q729">
        <v>278.95999999999998</v>
      </c>
      <c r="S729">
        <v>96.089100000000002</v>
      </c>
      <c r="T729">
        <v>21.9588</v>
      </c>
    </row>
    <row r="730" spans="1:20" x14ac:dyDescent="0.3">
      <c r="A730" t="s">
        <v>1168</v>
      </c>
      <c r="B730" t="s">
        <v>29</v>
      </c>
      <c r="C730" t="s">
        <v>990</v>
      </c>
      <c r="D730" t="s">
        <v>31</v>
      </c>
      <c r="E730" t="s">
        <v>32</v>
      </c>
      <c r="F730" t="s">
        <v>36</v>
      </c>
      <c r="G730" t="s">
        <v>100</v>
      </c>
      <c r="H730">
        <v>97.26</v>
      </c>
      <c r="I730">
        <v>5</v>
      </c>
      <c r="J730">
        <v>24.315000000000001</v>
      </c>
      <c r="K730">
        <v>486.3</v>
      </c>
      <c r="L730" s="1">
        <v>43817</v>
      </c>
      <c r="M730" s="2">
        <v>0.6479166666666667</v>
      </c>
      <c r="N730" t="s">
        <v>27</v>
      </c>
      <c r="O730">
        <v>389.04</v>
      </c>
      <c r="P730">
        <v>4.7619047620000003</v>
      </c>
      <c r="Q730">
        <v>97.26</v>
      </c>
      <c r="S730">
        <v>96.078500000000005</v>
      </c>
      <c r="T730">
        <v>19.763300000000001</v>
      </c>
    </row>
    <row r="731" spans="1:20" x14ac:dyDescent="0.3">
      <c r="A731" t="s">
        <v>1169</v>
      </c>
      <c r="B731" t="s">
        <v>51</v>
      </c>
      <c r="C731" t="s">
        <v>926</v>
      </c>
      <c r="D731" t="s">
        <v>53</v>
      </c>
      <c r="E731" t="s">
        <v>24</v>
      </c>
      <c r="F731" t="s">
        <v>25</v>
      </c>
      <c r="G731" t="s">
        <v>77</v>
      </c>
      <c r="H731">
        <v>52.18</v>
      </c>
      <c r="I731">
        <v>14</v>
      </c>
      <c r="J731">
        <v>36.526000000000003</v>
      </c>
      <c r="K731">
        <v>730.52</v>
      </c>
      <c r="L731" s="1">
        <v>43697</v>
      </c>
      <c r="M731" s="2">
        <v>0.45416666666666666</v>
      </c>
      <c r="N731" t="s">
        <v>33</v>
      </c>
      <c r="O731">
        <v>365.26</v>
      </c>
      <c r="P731">
        <v>4.7619047620000003</v>
      </c>
      <c r="Q731">
        <v>365.26</v>
      </c>
      <c r="S731">
        <v>96.089100000000002</v>
      </c>
      <c r="T731">
        <v>21.9588</v>
      </c>
    </row>
    <row r="732" spans="1:20" x14ac:dyDescent="0.3">
      <c r="A732" t="s">
        <v>1170</v>
      </c>
      <c r="B732" t="s">
        <v>21</v>
      </c>
      <c r="C732" t="s">
        <v>205</v>
      </c>
      <c r="D732" t="s">
        <v>23</v>
      </c>
      <c r="E732" t="s">
        <v>24</v>
      </c>
      <c r="F732" t="s">
        <v>25</v>
      </c>
      <c r="G732" t="s">
        <v>100</v>
      </c>
      <c r="H732">
        <v>22.32</v>
      </c>
      <c r="I732">
        <v>6</v>
      </c>
      <c r="J732">
        <v>6.6959999999999997</v>
      </c>
      <c r="K732">
        <v>133.91999999999999</v>
      </c>
      <c r="L732" s="1">
        <v>43498</v>
      </c>
      <c r="M732" s="2">
        <v>0.68263888888888891</v>
      </c>
      <c r="N732" t="s">
        <v>37</v>
      </c>
      <c r="O732">
        <v>89.28</v>
      </c>
      <c r="P732">
        <v>4.7619047620000003</v>
      </c>
      <c r="Q732">
        <v>44.64</v>
      </c>
      <c r="S732">
        <v>96.173500000000004</v>
      </c>
      <c r="T732">
        <v>16.840900000000001</v>
      </c>
    </row>
    <row r="733" spans="1:20" x14ac:dyDescent="0.3">
      <c r="A733" t="s">
        <v>1171</v>
      </c>
      <c r="B733" t="s">
        <v>21</v>
      </c>
      <c r="C733" t="s">
        <v>1172</v>
      </c>
      <c r="D733" t="s">
        <v>23</v>
      </c>
      <c r="E733" t="s">
        <v>32</v>
      </c>
      <c r="F733" t="s">
        <v>36</v>
      </c>
      <c r="G733" t="s">
        <v>26</v>
      </c>
      <c r="H733">
        <v>56</v>
      </c>
      <c r="I733">
        <v>3</v>
      </c>
      <c r="J733">
        <v>8.4</v>
      </c>
      <c r="K733">
        <v>168</v>
      </c>
      <c r="L733" s="1">
        <v>43670</v>
      </c>
      <c r="M733" s="2">
        <v>0.81458333333333333</v>
      </c>
      <c r="N733" t="s">
        <v>27</v>
      </c>
      <c r="O733">
        <v>168</v>
      </c>
      <c r="P733">
        <v>4.7619047620000003</v>
      </c>
      <c r="Q733">
        <v>0</v>
      </c>
      <c r="R733">
        <v>4.8</v>
      </c>
      <c r="S733">
        <v>96.173500000000004</v>
      </c>
      <c r="T733">
        <v>16.840900000000001</v>
      </c>
    </row>
    <row r="734" spans="1:20" x14ac:dyDescent="0.3">
      <c r="A734" t="s">
        <v>1173</v>
      </c>
      <c r="B734" t="s">
        <v>21</v>
      </c>
      <c r="C734" t="s">
        <v>41</v>
      </c>
      <c r="D734" t="s">
        <v>23</v>
      </c>
      <c r="E734" t="s">
        <v>24</v>
      </c>
      <c r="F734" t="s">
        <v>36</v>
      </c>
      <c r="G734" t="s">
        <v>100</v>
      </c>
      <c r="H734">
        <v>19.7</v>
      </c>
      <c r="I734">
        <v>1</v>
      </c>
      <c r="J734">
        <v>0.98499999999999999</v>
      </c>
      <c r="K734">
        <v>19.7</v>
      </c>
      <c r="L734" s="1">
        <v>43820</v>
      </c>
      <c r="M734" s="2">
        <v>0.48541666666666666</v>
      </c>
      <c r="N734" t="s">
        <v>27</v>
      </c>
      <c r="O734">
        <v>19.7</v>
      </c>
      <c r="P734">
        <v>4.7619047620000003</v>
      </c>
      <c r="Q734">
        <v>0</v>
      </c>
      <c r="R734">
        <v>9.5</v>
      </c>
      <c r="S734">
        <v>96.173500000000004</v>
      </c>
      <c r="T734">
        <v>16.840900000000001</v>
      </c>
    </row>
    <row r="735" spans="1:20" x14ac:dyDescent="0.3">
      <c r="A735" t="s">
        <v>1174</v>
      </c>
      <c r="B735" t="s">
        <v>51</v>
      </c>
      <c r="C735" t="s">
        <v>91</v>
      </c>
      <c r="D735" t="s">
        <v>53</v>
      </c>
      <c r="E735" t="s">
        <v>32</v>
      </c>
      <c r="F735" t="s">
        <v>36</v>
      </c>
      <c r="G735" t="s">
        <v>60</v>
      </c>
      <c r="H735">
        <v>75.88</v>
      </c>
      <c r="I735">
        <v>10</v>
      </c>
      <c r="J735">
        <v>37.94</v>
      </c>
      <c r="K735">
        <v>758.8</v>
      </c>
      <c r="L735" s="1">
        <v>43507</v>
      </c>
      <c r="M735" s="2">
        <v>0.44305555555555554</v>
      </c>
      <c r="N735" t="s">
        <v>27</v>
      </c>
      <c r="O735">
        <v>531.16</v>
      </c>
      <c r="P735">
        <v>4.7619047620000003</v>
      </c>
      <c r="Q735">
        <v>227.64</v>
      </c>
      <c r="R735">
        <v>10</v>
      </c>
      <c r="S735">
        <v>96.089100000000002</v>
      </c>
      <c r="T735">
        <v>21.9588</v>
      </c>
    </row>
    <row r="736" spans="1:20" x14ac:dyDescent="0.3">
      <c r="A736" t="s">
        <v>1175</v>
      </c>
      <c r="B736" t="s">
        <v>51</v>
      </c>
      <c r="C736" t="s">
        <v>1176</v>
      </c>
      <c r="D736" t="s">
        <v>53</v>
      </c>
      <c r="E736" t="s">
        <v>24</v>
      </c>
      <c r="F736" t="s">
        <v>36</v>
      </c>
      <c r="G736" t="s">
        <v>63</v>
      </c>
      <c r="H736">
        <v>53.72</v>
      </c>
      <c r="I736">
        <v>1</v>
      </c>
      <c r="J736">
        <v>2.6859999999999999</v>
      </c>
      <c r="K736">
        <v>53.72</v>
      </c>
      <c r="L736" s="1">
        <v>43610</v>
      </c>
      <c r="M736" s="2">
        <v>0.8354166666666667</v>
      </c>
      <c r="N736" t="s">
        <v>27</v>
      </c>
      <c r="O736">
        <v>53.72</v>
      </c>
      <c r="P736">
        <v>4.7619047620000003</v>
      </c>
      <c r="Q736">
        <v>0</v>
      </c>
      <c r="R736">
        <v>7.68</v>
      </c>
      <c r="S736">
        <v>96.089100000000002</v>
      </c>
      <c r="T736">
        <v>21.9588</v>
      </c>
    </row>
    <row r="737" spans="1:20" x14ac:dyDescent="0.3">
      <c r="A737" t="s">
        <v>1177</v>
      </c>
      <c r="B737" t="s">
        <v>29</v>
      </c>
      <c r="C737" t="s">
        <v>990</v>
      </c>
      <c r="D737" t="s">
        <v>31</v>
      </c>
      <c r="E737" t="s">
        <v>24</v>
      </c>
      <c r="F737" t="s">
        <v>36</v>
      </c>
      <c r="G737" t="s">
        <v>26</v>
      </c>
      <c r="H737">
        <v>81.95</v>
      </c>
      <c r="I737">
        <v>17</v>
      </c>
      <c r="J737">
        <v>69.657499999999999</v>
      </c>
      <c r="K737">
        <v>1393.15</v>
      </c>
      <c r="L737" s="1">
        <v>43824</v>
      </c>
      <c r="M737" s="2">
        <v>0.52708333333333335</v>
      </c>
      <c r="N737" t="s">
        <v>37</v>
      </c>
      <c r="O737">
        <v>819.5</v>
      </c>
      <c r="P737">
        <v>4.7619047620000003</v>
      </c>
      <c r="Q737">
        <v>573.65</v>
      </c>
      <c r="R737">
        <v>6.3</v>
      </c>
      <c r="S737">
        <v>96.078500000000005</v>
      </c>
      <c r="T737">
        <v>19.763300000000001</v>
      </c>
    </row>
    <row r="738" spans="1:20" x14ac:dyDescent="0.3">
      <c r="A738" t="s">
        <v>1178</v>
      </c>
      <c r="B738" t="s">
        <v>29</v>
      </c>
      <c r="C738" t="s">
        <v>1179</v>
      </c>
      <c r="D738" t="s">
        <v>31</v>
      </c>
      <c r="E738" t="s">
        <v>24</v>
      </c>
      <c r="F738" t="s">
        <v>25</v>
      </c>
      <c r="G738" t="s">
        <v>77</v>
      </c>
      <c r="H738">
        <v>81.2</v>
      </c>
      <c r="I738">
        <v>11</v>
      </c>
      <c r="J738">
        <v>44.66</v>
      </c>
      <c r="K738">
        <v>893.2</v>
      </c>
      <c r="L738" s="1">
        <v>43555</v>
      </c>
      <c r="M738" s="2">
        <v>0.66597222222222219</v>
      </c>
      <c r="N738" t="s">
        <v>37</v>
      </c>
      <c r="O738">
        <v>568.4</v>
      </c>
      <c r="P738">
        <v>4.7619047620000003</v>
      </c>
      <c r="Q738">
        <v>324.8</v>
      </c>
      <c r="R738">
        <v>8.5050000000000008</v>
      </c>
      <c r="S738">
        <v>96.078500000000005</v>
      </c>
      <c r="T738">
        <v>19.763300000000001</v>
      </c>
    </row>
    <row r="739" spans="1:20" x14ac:dyDescent="0.3">
      <c r="A739" t="s">
        <v>1180</v>
      </c>
      <c r="B739" t="s">
        <v>29</v>
      </c>
      <c r="C739" t="s">
        <v>1181</v>
      </c>
      <c r="D739" t="s">
        <v>31</v>
      </c>
      <c r="E739" t="s">
        <v>32</v>
      </c>
      <c r="F739" t="s">
        <v>36</v>
      </c>
      <c r="G739" t="s">
        <v>60</v>
      </c>
      <c r="H739">
        <v>58.76</v>
      </c>
      <c r="I739">
        <v>12</v>
      </c>
      <c r="J739">
        <v>35.256</v>
      </c>
      <c r="K739">
        <v>705.12</v>
      </c>
      <c r="L739" s="1">
        <v>43523</v>
      </c>
      <c r="M739" s="2">
        <v>0.60138888888888886</v>
      </c>
      <c r="N739" t="s">
        <v>27</v>
      </c>
      <c r="O739">
        <v>587.6</v>
      </c>
      <c r="P739">
        <v>4.7619047620000003</v>
      </c>
      <c r="Q739">
        <v>117.52</v>
      </c>
      <c r="R739">
        <v>9.4499999999999993</v>
      </c>
      <c r="S739">
        <v>96.078500000000005</v>
      </c>
      <c r="T739">
        <v>19.763300000000001</v>
      </c>
    </row>
    <row r="740" spans="1:20" x14ac:dyDescent="0.3">
      <c r="A740" t="s">
        <v>1182</v>
      </c>
      <c r="B740" t="s">
        <v>51</v>
      </c>
      <c r="C740" t="s">
        <v>791</v>
      </c>
      <c r="D740" t="s">
        <v>53</v>
      </c>
      <c r="E740" t="s">
        <v>24</v>
      </c>
      <c r="F740" t="s">
        <v>36</v>
      </c>
      <c r="G740" t="s">
        <v>60</v>
      </c>
      <c r="H740">
        <v>91.56</v>
      </c>
      <c r="I740">
        <v>15</v>
      </c>
      <c r="J740">
        <v>68.67</v>
      </c>
      <c r="K740">
        <v>1373.4</v>
      </c>
      <c r="L740" s="1">
        <v>43640</v>
      </c>
      <c r="M740" s="2">
        <v>0.76527777777777772</v>
      </c>
      <c r="N740" t="s">
        <v>27</v>
      </c>
      <c r="O740">
        <v>732.48</v>
      </c>
      <c r="P740">
        <v>4.7619047620000003</v>
      </c>
      <c r="Q740">
        <v>640.91999999999996</v>
      </c>
      <c r="R740">
        <v>7.2</v>
      </c>
      <c r="S740">
        <v>96.089100000000002</v>
      </c>
      <c r="T740">
        <v>21.9588</v>
      </c>
    </row>
    <row r="741" spans="1:20" x14ac:dyDescent="0.3">
      <c r="A741" t="s">
        <v>1183</v>
      </c>
      <c r="B741" t="s">
        <v>21</v>
      </c>
      <c r="C741" t="s">
        <v>339</v>
      </c>
      <c r="D741" t="s">
        <v>23</v>
      </c>
      <c r="E741" t="s">
        <v>32</v>
      </c>
      <c r="F741" t="s">
        <v>36</v>
      </c>
      <c r="G741" t="s">
        <v>77</v>
      </c>
      <c r="H741">
        <v>93.96</v>
      </c>
      <c r="I741">
        <v>9</v>
      </c>
      <c r="J741">
        <v>42.281999999999996</v>
      </c>
      <c r="K741">
        <v>845.64</v>
      </c>
      <c r="L741" s="1">
        <v>43657</v>
      </c>
      <c r="M741" s="2">
        <v>0.48055555555555557</v>
      </c>
      <c r="N741" t="s">
        <v>33</v>
      </c>
      <c r="O741">
        <v>845.64</v>
      </c>
      <c r="P741">
        <v>4.7619047620000003</v>
      </c>
      <c r="Q741">
        <v>0</v>
      </c>
      <c r="R741">
        <v>9.8000000000000007</v>
      </c>
      <c r="S741">
        <v>96.173500000000004</v>
      </c>
      <c r="T741">
        <v>16.840900000000001</v>
      </c>
    </row>
    <row r="742" spans="1:20" x14ac:dyDescent="0.3">
      <c r="A742" t="s">
        <v>1184</v>
      </c>
      <c r="B742" t="s">
        <v>29</v>
      </c>
      <c r="C742" t="s">
        <v>592</v>
      </c>
      <c r="D742" t="s">
        <v>31</v>
      </c>
      <c r="E742" t="s">
        <v>32</v>
      </c>
      <c r="F742" t="s">
        <v>36</v>
      </c>
      <c r="G742" t="s">
        <v>77</v>
      </c>
      <c r="H742">
        <v>55.61</v>
      </c>
      <c r="I742">
        <v>8</v>
      </c>
      <c r="J742">
        <v>22.244</v>
      </c>
      <c r="K742">
        <v>444.88</v>
      </c>
      <c r="L742" s="1">
        <v>43777</v>
      </c>
      <c r="M742" s="2">
        <v>0.52847222222222223</v>
      </c>
      <c r="N742" t="s">
        <v>33</v>
      </c>
      <c r="O742">
        <v>389.27</v>
      </c>
      <c r="P742">
        <v>4.7619047620000003</v>
      </c>
      <c r="Q742">
        <v>55.61</v>
      </c>
      <c r="R742">
        <v>8.9250000000000007</v>
      </c>
      <c r="S742">
        <v>96.078500000000005</v>
      </c>
      <c r="T742">
        <v>19.763300000000001</v>
      </c>
    </row>
    <row r="743" spans="1:20" x14ac:dyDescent="0.3">
      <c r="A743" t="s">
        <v>1185</v>
      </c>
      <c r="B743" t="s">
        <v>29</v>
      </c>
      <c r="C743" t="s">
        <v>466</v>
      </c>
      <c r="D743" t="s">
        <v>31</v>
      </c>
      <c r="E743" t="s">
        <v>32</v>
      </c>
      <c r="F743" t="s">
        <v>36</v>
      </c>
      <c r="G743" t="s">
        <v>63</v>
      </c>
      <c r="H743">
        <v>84.83</v>
      </c>
      <c r="I743">
        <v>1</v>
      </c>
      <c r="J743">
        <v>4.2415000000000003</v>
      </c>
      <c r="K743">
        <v>84.83</v>
      </c>
      <c r="L743" s="1">
        <v>43818</v>
      </c>
      <c r="M743" s="2">
        <v>0.63888888888888884</v>
      </c>
      <c r="N743" t="s">
        <v>27</v>
      </c>
      <c r="O743">
        <v>84.83</v>
      </c>
      <c r="P743">
        <v>4.7619047620000003</v>
      </c>
      <c r="Q743">
        <v>0</v>
      </c>
      <c r="R743">
        <v>9.24</v>
      </c>
      <c r="S743">
        <v>96.078500000000005</v>
      </c>
      <c r="T743">
        <v>19.763300000000001</v>
      </c>
    </row>
    <row r="744" spans="1:20" x14ac:dyDescent="0.3">
      <c r="A744" t="s">
        <v>1186</v>
      </c>
      <c r="B744" t="s">
        <v>21</v>
      </c>
      <c r="C744" t="s">
        <v>885</v>
      </c>
      <c r="D744" t="s">
        <v>23</v>
      </c>
      <c r="E744" t="s">
        <v>24</v>
      </c>
      <c r="F744" t="s">
        <v>25</v>
      </c>
      <c r="G744" t="s">
        <v>68</v>
      </c>
      <c r="H744">
        <v>71.63</v>
      </c>
      <c r="I744">
        <v>3</v>
      </c>
      <c r="J744">
        <v>10.7445</v>
      </c>
      <c r="K744">
        <v>214.89</v>
      </c>
      <c r="L744" s="1">
        <v>43541</v>
      </c>
      <c r="M744" s="2">
        <v>0.60624999999999996</v>
      </c>
      <c r="N744" t="s">
        <v>27</v>
      </c>
      <c r="O744">
        <v>143.26</v>
      </c>
      <c r="P744">
        <v>4.7619047620000003</v>
      </c>
      <c r="Q744">
        <v>71.63</v>
      </c>
      <c r="R744">
        <v>8.8000000000000007</v>
      </c>
      <c r="S744">
        <v>96.173500000000004</v>
      </c>
      <c r="T744">
        <v>16.840900000000001</v>
      </c>
    </row>
    <row r="745" spans="1:20" x14ac:dyDescent="0.3">
      <c r="A745" t="s">
        <v>1187</v>
      </c>
      <c r="B745" t="s">
        <v>21</v>
      </c>
      <c r="C745" t="s">
        <v>484</v>
      </c>
      <c r="D745" t="s">
        <v>23</v>
      </c>
      <c r="E745" t="s">
        <v>24</v>
      </c>
      <c r="F745" t="s">
        <v>36</v>
      </c>
      <c r="G745" t="s">
        <v>77</v>
      </c>
      <c r="H745">
        <v>37.69</v>
      </c>
      <c r="I745">
        <v>3</v>
      </c>
      <c r="J745">
        <v>5.6535000000000002</v>
      </c>
      <c r="K745">
        <v>113.07</v>
      </c>
      <c r="L745" s="1">
        <v>43669</v>
      </c>
      <c r="M745" s="2">
        <v>0.64513888888888893</v>
      </c>
      <c r="N745" t="s">
        <v>27</v>
      </c>
      <c r="O745">
        <v>75.38</v>
      </c>
      <c r="P745">
        <v>4.7619047620000003</v>
      </c>
      <c r="Q745">
        <v>37.69</v>
      </c>
      <c r="R745">
        <v>9.5</v>
      </c>
      <c r="S745">
        <v>96.173500000000004</v>
      </c>
      <c r="T745">
        <v>16.840900000000001</v>
      </c>
    </row>
    <row r="746" spans="1:20" x14ac:dyDescent="0.3">
      <c r="A746" t="s">
        <v>1188</v>
      </c>
      <c r="B746" t="s">
        <v>29</v>
      </c>
      <c r="C746" t="s">
        <v>43</v>
      </c>
      <c r="D746" t="s">
        <v>31</v>
      </c>
      <c r="E746" t="s">
        <v>24</v>
      </c>
      <c r="F746" t="s">
        <v>25</v>
      </c>
      <c r="G746" t="s">
        <v>100</v>
      </c>
      <c r="H746">
        <v>31.67</v>
      </c>
      <c r="I746">
        <v>14</v>
      </c>
      <c r="J746">
        <v>22.169</v>
      </c>
      <c r="K746">
        <v>443.38</v>
      </c>
      <c r="L746" s="1">
        <v>43618</v>
      </c>
      <c r="M746" s="2">
        <v>0.67986111111111114</v>
      </c>
      <c r="N746" t="s">
        <v>37</v>
      </c>
      <c r="O746">
        <v>253.36</v>
      </c>
      <c r="P746">
        <v>4.7619047620000003</v>
      </c>
      <c r="Q746">
        <v>190.02</v>
      </c>
      <c r="R746">
        <v>5.88</v>
      </c>
      <c r="S746">
        <v>96.078500000000005</v>
      </c>
      <c r="T746">
        <v>19.763300000000001</v>
      </c>
    </row>
    <row r="747" spans="1:20" x14ac:dyDescent="0.3">
      <c r="A747" t="s">
        <v>1189</v>
      </c>
      <c r="B747" t="s">
        <v>29</v>
      </c>
      <c r="C747" t="s">
        <v>950</v>
      </c>
      <c r="D747" t="s">
        <v>31</v>
      </c>
      <c r="E747" t="s">
        <v>24</v>
      </c>
      <c r="F747" t="s">
        <v>25</v>
      </c>
      <c r="G747" t="s">
        <v>100</v>
      </c>
      <c r="H747">
        <v>38.42</v>
      </c>
      <c r="I747">
        <v>1</v>
      </c>
      <c r="J747">
        <v>1.921</v>
      </c>
      <c r="K747">
        <v>38.42</v>
      </c>
      <c r="L747" s="1">
        <v>43610</v>
      </c>
      <c r="M747" s="2">
        <v>0.68958333333333333</v>
      </c>
      <c r="N747" t="s">
        <v>33</v>
      </c>
      <c r="O747">
        <v>38.42</v>
      </c>
      <c r="P747">
        <v>4.7619047620000003</v>
      </c>
      <c r="Q747">
        <v>0</v>
      </c>
      <c r="R747">
        <v>9.0299999999999994</v>
      </c>
      <c r="S747">
        <v>96.078500000000005</v>
      </c>
      <c r="T747">
        <v>19.763300000000001</v>
      </c>
    </row>
    <row r="748" spans="1:20" x14ac:dyDescent="0.3">
      <c r="A748" t="s">
        <v>1190</v>
      </c>
      <c r="B748" t="s">
        <v>51</v>
      </c>
      <c r="C748" t="s">
        <v>889</v>
      </c>
      <c r="D748" t="s">
        <v>53</v>
      </c>
      <c r="E748" t="s">
        <v>24</v>
      </c>
      <c r="F748" t="s">
        <v>36</v>
      </c>
      <c r="G748" t="s">
        <v>100</v>
      </c>
      <c r="H748">
        <v>65.23</v>
      </c>
      <c r="I748">
        <v>20</v>
      </c>
      <c r="J748">
        <v>65.23</v>
      </c>
      <c r="K748">
        <v>1304.5999999999999</v>
      </c>
      <c r="L748" s="1">
        <v>43760</v>
      </c>
      <c r="M748" s="2">
        <v>0.79652777777777772</v>
      </c>
      <c r="N748" t="s">
        <v>37</v>
      </c>
      <c r="O748">
        <v>652.29999999999995</v>
      </c>
      <c r="P748">
        <v>4.7619047620000003</v>
      </c>
      <c r="Q748">
        <v>652.29999999999995</v>
      </c>
      <c r="R748">
        <v>6.24</v>
      </c>
      <c r="S748">
        <v>96.089100000000002</v>
      </c>
      <c r="T748">
        <v>21.9588</v>
      </c>
    </row>
    <row r="749" spans="1:20" x14ac:dyDescent="0.3">
      <c r="A749" t="s">
        <v>1191</v>
      </c>
      <c r="B749" t="s">
        <v>29</v>
      </c>
      <c r="C749" t="s">
        <v>1192</v>
      </c>
      <c r="D749" t="s">
        <v>31</v>
      </c>
      <c r="E749" t="s">
        <v>24</v>
      </c>
      <c r="F749" t="s">
        <v>25</v>
      </c>
      <c r="G749" t="s">
        <v>100</v>
      </c>
      <c r="H749">
        <v>10.53</v>
      </c>
      <c r="I749">
        <v>8</v>
      </c>
      <c r="J749">
        <v>4.2119999999999997</v>
      </c>
      <c r="K749">
        <v>84.24</v>
      </c>
      <c r="L749" s="1">
        <v>43708</v>
      </c>
      <c r="M749" s="2">
        <v>0.61319444444444449</v>
      </c>
      <c r="N749" t="s">
        <v>37</v>
      </c>
      <c r="O749">
        <v>52.65</v>
      </c>
      <c r="P749">
        <v>4.7619047620000003</v>
      </c>
      <c r="Q749">
        <v>31.59</v>
      </c>
      <c r="R749">
        <v>6.09</v>
      </c>
      <c r="S749">
        <v>96.078500000000005</v>
      </c>
      <c r="T749">
        <v>19.763300000000001</v>
      </c>
    </row>
    <row r="750" spans="1:20" x14ac:dyDescent="0.3">
      <c r="A750" t="s">
        <v>1193</v>
      </c>
      <c r="B750" t="s">
        <v>51</v>
      </c>
      <c r="C750" t="s">
        <v>104</v>
      </c>
      <c r="D750" t="s">
        <v>53</v>
      </c>
      <c r="E750" t="s">
        <v>24</v>
      </c>
      <c r="F750" t="s">
        <v>25</v>
      </c>
      <c r="G750" t="s">
        <v>100</v>
      </c>
      <c r="H750">
        <v>12.29</v>
      </c>
      <c r="I750">
        <v>18</v>
      </c>
      <c r="J750">
        <v>11.061</v>
      </c>
      <c r="K750">
        <v>221.22</v>
      </c>
      <c r="L750" s="1">
        <v>43646</v>
      </c>
      <c r="M750" s="2">
        <v>0.81111111111111112</v>
      </c>
      <c r="N750" t="s">
        <v>37</v>
      </c>
      <c r="O750">
        <v>110.61</v>
      </c>
      <c r="P750">
        <v>4.7619047620000003</v>
      </c>
      <c r="Q750">
        <v>110.61</v>
      </c>
      <c r="R750">
        <v>9.6</v>
      </c>
      <c r="S750">
        <v>96.089100000000002</v>
      </c>
      <c r="T750">
        <v>21.9588</v>
      </c>
    </row>
    <row r="751" spans="1:20" x14ac:dyDescent="0.3">
      <c r="A751" t="s">
        <v>1194</v>
      </c>
      <c r="B751" t="s">
        <v>29</v>
      </c>
      <c r="C751" t="s">
        <v>1195</v>
      </c>
      <c r="D751" t="s">
        <v>31</v>
      </c>
      <c r="E751" t="s">
        <v>24</v>
      </c>
      <c r="F751" t="s">
        <v>36</v>
      </c>
      <c r="G751" t="s">
        <v>100</v>
      </c>
      <c r="H751">
        <v>81.23</v>
      </c>
      <c r="I751">
        <v>11</v>
      </c>
      <c r="J751">
        <v>44.676499999999997</v>
      </c>
      <c r="K751">
        <v>893.53</v>
      </c>
      <c r="L751" s="1">
        <v>43706</v>
      </c>
      <c r="M751" s="2">
        <v>0.86388888888888893</v>
      </c>
      <c r="N751" t="s">
        <v>33</v>
      </c>
      <c r="O751">
        <v>568.61</v>
      </c>
      <c r="P751">
        <v>4.7619047620000003</v>
      </c>
      <c r="Q751">
        <v>324.92</v>
      </c>
      <c r="R751">
        <v>9.4499999999999993</v>
      </c>
      <c r="S751">
        <v>96.078500000000005</v>
      </c>
      <c r="T751">
        <v>19.763300000000001</v>
      </c>
    </row>
    <row r="752" spans="1:20" x14ac:dyDescent="0.3">
      <c r="A752" t="s">
        <v>1196</v>
      </c>
      <c r="B752" t="s">
        <v>51</v>
      </c>
      <c r="C752" t="s">
        <v>895</v>
      </c>
      <c r="D752" t="s">
        <v>53</v>
      </c>
      <c r="E752" t="s">
        <v>24</v>
      </c>
      <c r="F752" t="s">
        <v>25</v>
      </c>
      <c r="G752" t="s">
        <v>100</v>
      </c>
      <c r="H752">
        <v>22.32</v>
      </c>
      <c r="I752">
        <v>8</v>
      </c>
      <c r="J752">
        <v>8.9280000000000008</v>
      </c>
      <c r="K752">
        <v>178.56</v>
      </c>
      <c r="L752" s="1">
        <v>43572</v>
      </c>
      <c r="M752" s="2">
        <v>0.46944444444444444</v>
      </c>
      <c r="N752" t="s">
        <v>27</v>
      </c>
      <c r="O752">
        <v>89.28</v>
      </c>
      <c r="P752">
        <v>4.7619047620000003</v>
      </c>
      <c r="Q752">
        <v>89.28</v>
      </c>
      <c r="R752">
        <v>4.92</v>
      </c>
      <c r="S752">
        <v>96.089100000000002</v>
      </c>
      <c r="T752">
        <v>21.9588</v>
      </c>
    </row>
    <row r="753" spans="1:20" x14ac:dyDescent="0.3">
      <c r="A753" t="s">
        <v>1197</v>
      </c>
      <c r="B753" t="s">
        <v>21</v>
      </c>
      <c r="C753" t="s">
        <v>294</v>
      </c>
      <c r="D753" t="s">
        <v>23</v>
      </c>
      <c r="E753" t="s">
        <v>32</v>
      </c>
      <c r="F753" t="s">
        <v>25</v>
      </c>
      <c r="G753" t="s">
        <v>63</v>
      </c>
      <c r="H753">
        <v>27.28</v>
      </c>
      <c r="I753">
        <v>5</v>
      </c>
      <c r="J753">
        <v>6.82</v>
      </c>
      <c r="K753">
        <v>136.4</v>
      </c>
      <c r="L753" s="1">
        <v>43772</v>
      </c>
      <c r="M753" s="2">
        <v>0.43819444444444444</v>
      </c>
      <c r="N753" t="s">
        <v>37</v>
      </c>
      <c r="O753">
        <v>136.4</v>
      </c>
      <c r="P753">
        <v>4.7619047620000003</v>
      </c>
      <c r="Q753">
        <v>0</v>
      </c>
      <c r="R753">
        <v>8.6</v>
      </c>
      <c r="S753">
        <v>96.173500000000004</v>
      </c>
      <c r="T753">
        <v>16.840900000000001</v>
      </c>
    </row>
    <row r="754" spans="1:20" x14ac:dyDescent="0.3">
      <c r="A754" t="s">
        <v>1198</v>
      </c>
      <c r="B754" t="s">
        <v>21</v>
      </c>
      <c r="C754" t="s">
        <v>316</v>
      </c>
      <c r="D754" t="s">
        <v>23</v>
      </c>
      <c r="E754" t="s">
        <v>24</v>
      </c>
      <c r="F754" t="s">
        <v>25</v>
      </c>
      <c r="G754" t="s">
        <v>60</v>
      </c>
      <c r="H754">
        <v>17.420000000000002</v>
      </c>
      <c r="I754">
        <v>14</v>
      </c>
      <c r="J754">
        <v>12.194000000000001</v>
      </c>
      <c r="K754">
        <v>243.88</v>
      </c>
      <c r="L754" s="1">
        <v>43786</v>
      </c>
      <c r="M754" s="2">
        <v>0.52083333333333337</v>
      </c>
      <c r="N754" t="s">
        <v>27</v>
      </c>
      <c r="O754">
        <v>174.2</v>
      </c>
      <c r="P754">
        <v>4.7619047620000003</v>
      </c>
      <c r="Q754">
        <v>69.680000000000007</v>
      </c>
      <c r="R754">
        <v>7</v>
      </c>
      <c r="S754">
        <v>96.173500000000004</v>
      </c>
      <c r="T754">
        <v>16.840900000000001</v>
      </c>
    </row>
    <row r="755" spans="1:20" x14ac:dyDescent="0.3">
      <c r="A755" t="s">
        <v>1199</v>
      </c>
      <c r="B755" t="s">
        <v>51</v>
      </c>
      <c r="C755" t="s">
        <v>328</v>
      </c>
      <c r="D755" t="s">
        <v>53</v>
      </c>
      <c r="E755" t="s">
        <v>32</v>
      </c>
      <c r="F755" t="s">
        <v>36</v>
      </c>
      <c r="G755" t="s">
        <v>77</v>
      </c>
      <c r="H755">
        <v>73.28</v>
      </c>
      <c r="I755">
        <v>7</v>
      </c>
      <c r="J755">
        <v>25.648</v>
      </c>
      <c r="K755">
        <v>512.96</v>
      </c>
      <c r="L755" s="1">
        <v>43562</v>
      </c>
      <c r="M755" s="2">
        <v>0.62847222222222221</v>
      </c>
      <c r="N755" t="s">
        <v>27</v>
      </c>
      <c r="O755">
        <v>366.4</v>
      </c>
      <c r="P755">
        <v>4.7619047620000003</v>
      </c>
      <c r="Q755">
        <v>146.56</v>
      </c>
      <c r="R755">
        <v>10</v>
      </c>
      <c r="S755">
        <v>96.089100000000002</v>
      </c>
      <c r="T755">
        <v>21.9588</v>
      </c>
    </row>
    <row r="756" spans="1:20" x14ac:dyDescent="0.3">
      <c r="A756" t="s">
        <v>1200</v>
      </c>
      <c r="B756" t="s">
        <v>29</v>
      </c>
      <c r="C756" t="s">
        <v>1201</v>
      </c>
      <c r="D756" t="s">
        <v>31</v>
      </c>
      <c r="E756" t="s">
        <v>24</v>
      </c>
      <c r="F756" t="s">
        <v>25</v>
      </c>
      <c r="G756" t="s">
        <v>68</v>
      </c>
      <c r="H756">
        <v>84.87</v>
      </c>
      <c r="I756">
        <v>6</v>
      </c>
      <c r="J756">
        <v>25.460999999999999</v>
      </c>
      <c r="K756">
        <v>509.22</v>
      </c>
      <c r="L756" s="1">
        <v>43521</v>
      </c>
      <c r="M756" s="2">
        <v>0.77083333333333337</v>
      </c>
      <c r="N756" t="s">
        <v>27</v>
      </c>
      <c r="O756">
        <v>254.61</v>
      </c>
      <c r="P756">
        <v>4.7619047620000003</v>
      </c>
      <c r="Q756">
        <v>254.61</v>
      </c>
      <c r="R756">
        <v>7.77</v>
      </c>
      <c r="S756">
        <v>96.078500000000005</v>
      </c>
      <c r="T756">
        <v>19.763300000000001</v>
      </c>
    </row>
    <row r="757" spans="1:20" x14ac:dyDescent="0.3">
      <c r="A757" t="s">
        <v>1202</v>
      </c>
      <c r="B757" t="s">
        <v>21</v>
      </c>
      <c r="C757" t="s">
        <v>1203</v>
      </c>
      <c r="D757" t="s">
        <v>23</v>
      </c>
      <c r="E757" t="s">
        <v>32</v>
      </c>
      <c r="F757" t="s">
        <v>25</v>
      </c>
      <c r="G757" t="s">
        <v>68</v>
      </c>
      <c r="H757">
        <v>97.29</v>
      </c>
      <c r="I757">
        <v>8</v>
      </c>
      <c r="J757">
        <v>38.915999999999997</v>
      </c>
      <c r="K757">
        <v>778.32</v>
      </c>
      <c r="L757" s="1">
        <v>43512</v>
      </c>
      <c r="M757" s="2">
        <v>0.5541666666666667</v>
      </c>
      <c r="N757" t="s">
        <v>37</v>
      </c>
      <c r="O757">
        <v>778.32</v>
      </c>
      <c r="P757">
        <v>4.7619047620000003</v>
      </c>
      <c r="Q757">
        <v>0</v>
      </c>
      <c r="R757">
        <v>6.2</v>
      </c>
      <c r="S757">
        <v>96.173500000000004</v>
      </c>
      <c r="T757">
        <v>16.840900000000001</v>
      </c>
    </row>
    <row r="758" spans="1:20" x14ac:dyDescent="0.3">
      <c r="A758" t="s">
        <v>1204</v>
      </c>
      <c r="B758" t="s">
        <v>51</v>
      </c>
      <c r="C758" t="s">
        <v>636</v>
      </c>
      <c r="D758" t="s">
        <v>53</v>
      </c>
      <c r="E758" t="s">
        <v>24</v>
      </c>
      <c r="F758" t="s">
        <v>25</v>
      </c>
      <c r="G758" t="s">
        <v>68</v>
      </c>
      <c r="H758">
        <v>35.74</v>
      </c>
      <c r="I758">
        <v>15</v>
      </c>
      <c r="J758">
        <v>26.805</v>
      </c>
      <c r="K758">
        <v>536.1</v>
      </c>
      <c r="L758" s="1">
        <v>43719</v>
      </c>
      <c r="M758" s="2">
        <v>0.64444444444444449</v>
      </c>
      <c r="N758" t="s">
        <v>27</v>
      </c>
      <c r="O758">
        <v>285.92</v>
      </c>
      <c r="P758">
        <v>4.7619047620000003</v>
      </c>
      <c r="Q758">
        <v>250.18</v>
      </c>
      <c r="R758">
        <v>5.88</v>
      </c>
      <c r="S758">
        <v>96.089100000000002</v>
      </c>
      <c r="T758">
        <v>21.9588</v>
      </c>
    </row>
    <row r="759" spans="1:20" x14ac:dyDescent="0.3">
      <c r="A759" t="s">
        <v>1205</v>
      </c>
      <c r="B759" t="s">
        <v>21</v>
      </c>
      <c r="C759" t="s">
        <v>1206</v>
      </c>
      <c r="D759" t="s">
        <v>23</v>
      </c>
      <c r="E759" t="s">
        <v>32</v>
      </c>
      <c r="F759" t="s">
        <v>25</v>
      </c>
      <c r="G759" t="s">
        <v>68</v>
      </c>
      <c r="H759">
        <v>96.52</v>
      </c>
      <c r="I759">
        <v>6</v>
      </c>
      <c r="J759">
        <v>28.956</v>
      </c>
      <c r="K759">
        <v>579.12</v>
      </c>
      <c r="L759" s="1">
        <v>43585</v>
      </c>
      <c r="M759" s="2">
        <v>0.49444444444444446</v>
      </c>
      <c r="N759" t="s">
        <v>33</v>
      </c>
      <c r="O759">
        <v>579.12</v>
      </c>
      <c r="P759">
        <v>4.7619047620000003</v>
      </c>
      <c r="Q759">
        <v>0</v>
      </c>
      <c r="R759">
        <v>4.5</v>
      </c>
      <c r="S759">
        <v>96.173500000000004</v>
      </c>
      <c r="T759">
        <v>16.840900000000001</v>
      </c>
    </row>
    <row r="760" spans="1:20" x14ac:dyDescent="0.3">
      <c r="A760" t="s">
        <v>1207</v>
      </c>
      <c r="B760" t="s">
        <v>21</v>
      </c>
      <c r="C760" t="s">
        <v>1208</v>
      </c>
      <c r="D760" t="s">
        <v>23</v>
      </c>
      <c r="E760" t="s">
        <v>24</v>
      </c>
      <c r="F760" t="s">
        <v>36</v>
      </c>
      <c r="G760" t="s">
        <v>68</v>
      </c>
      <c r="H760">
        <v>18.850000000000001</v>
      </c>
      <c r="I760">
        <v>14</v>
      </c>
      <c r="J760">
        <v>13.195</v>
      </c>
      <c r="K760">
        <v>263.89999999999998</v>
      </c>
      <c r="L760" s="1">
        <v>43651</v>
      </c>
      <c r="M760" s="2">
        <v>0.76666666666666672</v>
      </c>
      <c r="N760" t="s">
        <v>27</v>
      </c>
      <c r="O760">
        <v>188.5</v>
      </c>
      <c r="P760">
        <v>4.7619047620000003</v>
      </c>
      <c r="Q760">
        <v>75.400000000000006</v>
      </c>
      <c r="R760">
        <v>5.6</v>
      </c>
      <c r="S760">
        <v>96.173500000000004</v>
      </c>
      <c r="T760">
        <v>16.840900000000001</v>
      </c>
    </row>
    <row r="761" spans="1:20" x14ac:dyDescent="0.3">
      <c r="A761" t="s">
        <v>1209</v>
      </c>
      <c r="C761" t="s">
        <v>72</v>
      </c>
      <c r="D761" t="s">
        <v>23</v>
      </c>
      <c r="E761" t="s">
        <v>32</v>
      </c>
      <c r="F761" t="s">
        <v>25</v>
      </c>
      <c r="G761" t="s">
        <v>68</v>
      </c>
      <c r="H761">
        <v>55.39</v>
      </c>
      <c r="I761">
        <v>4</v>
      </c>
      <c r="J761">
        <v>11.077999999999999</v>
      </c>
      <c r="K761">
        <v>221.56</v>
      </c>
      <c r="L761" s="1">
        <v>43530</v>
      </c>
      <c r="M761" s="2">
        <v>0.6381944444444444</v>
      </c>
      <c r="N761" t="s">
        <v>27</v>
      </c>
      <c r="O761">
        <v>221.56</v>
      </c>
      <c r="P761">
        <v>4.7619047620000003</v>
      </c>
      <c r="Q761">
        <v>0</v>
      </c>
      <c r="R761">
        <v>8</v>
      </c>
      <c r="S761">
        <v>96.173500000000004</v>
      </c>
      <c r="T761">
        <v>16.840900000000001</v>
      </c>
    </row>
    <row r="762" spans="1:20" x14ac:dyDescent="0.3">
      <c r="A762" t="s">
        <v>1210</v>
      </c>
      <c r="C762" t="s">
        <v>844</v>
      </c>
      <c r="D762" t="s">
        <v>53</v>
      </c>
      <c r="E762" t="s">
        <v>24</v>
      </c>
      <c r="F762" t="s">
        <v>25</v>
      </c>
      <c r="G762" t="s">
        <v>68</v>
      </c>
      <c r="H762">
        <v>77.2</v>
      </c>
      <c r="I762">
        <v>20</v>
      </c>
      <c r="J762">
        <v>77.2</v>
      </c>
      <c r="K762">
        <v>1544</v>
      </c>
      <c r="L762" s="1">
        <v>43744</v>
      </c>
      <c r="M762" s="2">
        <v>0.44305555555555554</v>
      </c>
      <c r="N762" t="s">
        <v>37</v>
      </c>
      <c r="O762">
        <v>772</v>
      </c>
      <c r="P762">
        <v>4.7619047620000003</v>
      </c>
      <c r="Q762">
        <v>772</v>
      </c>
      <c r="R762">
        <v>6.72</v>
      </c>
      <c r="S762">
        <v>96.089100000000002</v>
      </c>
      <c r="T762">
        <v>21.9588</v>
      </c>
    </row>
    <row r="763" spans="1:20" x14ac:dyDescent="0.3">
      <c r="A763" t="s">
        <v>1211</v>
      </c>
      <c r="C763" t="s">
        <v>428</v>
      </c>
      <c r="D763" t="s">
        <v>53</v>
      </c>
      <c r="E763" t="s">
        <v>32</v>
      </c>
      <c r="F763" t="s">
        <v>36</v>
      </c>
      <c r="G763" t="s">
        <v>68</v>
      </c>
      <c r="H763">
        <v>72.13</v>
      </c>
      <c r="I763">
        <v>14</v>
      </c>
      <c r="J763">
        <v>50.491</v>
      </c>
      <c r="K763">
        <v>1009.82</v>
      </c>
      <c r="L763" s="1">
        <v>43545</v>
      </c>
      <c r="M763" s="2">
        <v>0.6333333333333333</v>
      </c>
      <c r="N763" t="s">
        <v>37</v>
      </c>
      <c r="O763">
        <v>721.3</v>
      </c>
      <c r="P763">
        <v>4.7619047620000003</v>
      </c>
      <c r="Q763">
        <v>288.52</v>
      </c>
      <c r="R763">
        <v>5.04</v>
      </c>
      <c r="S763">
        <v>96.089100000000002</v>
      </c>
      <c r="T763">
        <v>21.9588</v>
      </c>
    </row>
    <row r="764" spans="1:20" x14ac:dyDescent="0.3">
      <c r="A764" t="s">
        <v>1212</v>
      </c>
      <c r="C764" t="s">
        <v>1213</v>
      </c>
      <c r="D764" t="s">
        <v>23</v>
      </c>
      <c r="E764" t="s">
        <v>24</v>
      </c>
      <c r="F764" t="s">
        <v>25</v>
      </c>
      <c r="G764" t="s">
        <v>68</v>
      </c>
      <c r="H764">
        <v>63.88</v>
      </c>
      <c r="I764">
        <v>11</v>
      </c>
      <c r="J764">
        <v>35.134</v>
      </c>
      <c r="K764">
        <v>702.68</v>
      </c>
      <c r="L764" s="1">
        <v>43720</v>
      </c>
      <c r="M764" s="2">
        <v>0.7416666666666667</v>
      </c>
      <c r="N764" t="s">
        <v>27</v>
      </c>
      <c r="O764">
        <v>511.04</v>
      </c>
      <c r="P764">
        <v>4.7619047620000003</v>
      </c>
      <c r="Q764">
        <v>191.64</v>
      </c>
      <c r="R764">
        <v>9.9</v>
      </c>
      <c r="S764">
        <v>96.173500000000004</v>
      </c>
      <c r="T764">
        <v>16.840900000000001</v>
      </c>
    </row>
    <row r="765" spans="1:20" x14ac:dyDescent="0.3">
      <c r="A765" t="s">
        <v>1214</v>
      </c>
      <c r="C765" t="s">
        <v>284</v>
      </c>
      <c r="D765" t="s">
        <v>23</v>
      </c>
      <c r="E765" t="s">
        <v>24</v>
      </c>
      <c r="F765" t="s">
        <v>25</v>
      </c>
      <c r="G765" t="s">
        <v>68</v>
      </c>
      <c r="H765">
        <v>10.69</v>
      </c>
      <c r="I765">
        <v>7</v>
      </c>
      <c r="J765">
        <v>3.7414999999999998</v>
      </c>
      <c r="K765">
        <v>74.83</v>
      </c>
      <c r="L765" s="1">
        <v>43601</v>
      </c>
      <c r="M765" s="2">
        <v>0.46319444444444446</v>
      </c>
      <c r="N765" t="s">
        <v>27</v>
      </c>
      <c r="O765">
        <v>53.45</v>
      </c>
      <c r="P765">
        <v>4.7619047620000003</v>
      </c>
      <c r="Q765">
        <v>21.38</v>
      </c>
      <c r="R765">
        <v>7.6</v>
      </c>
      <c r="S765">
        <v>96.173500000000004</v>
      </c>
      <c r="T765">
        <v>16.840900000000001</v>
      </c>
    </row>
    <row r="766" spans="1:20" x14ac:dyDescent="0.3">
      <c r="A766" t="s">
        <v>1215</v>
      </c>
      <c r="C766" t="s">
        <v>477</v>
      </c>
      <c r="D766" t="s">
        <v>23</v>
      </c>
      <c r="E766" t="s">
        <v>24</v>
      </c>
      <c r="F766" t="s">
        <v>36</v>
      </c>
      <c r="G766" t="s">
        <v>26</v>
      </c>
      <c r="H766">
        <v>55.5</v>
      </c>
      <c r="I766">
        <v>6</v>
      </c>
      <c r="J766">
        <v>16.649999999999999</v>
      </c>
      <c r="K766">
        <v>333</v>
      </c>
      <c r="L766" s="1">
        <v>43573</v>
      </c>
      <c r="M766" s="2">
        <v>0.65833333333333333</v>
      </c>
      <c r="N766" t="s">
        <v>37</v>
      </c>
      <c r="O766">
        <v>222</v>
      </c>
      <c r="P766">
        <v>4.7619047620000003</v>
      </c>
      <c r="Q766">
        <v>111</v>
      </c>
      <c r="R766">
        <v>6.6</v>
      </c>
      <c r="S766">
        <v>96.173500000000004</v>
      </c>
      <c r="T766">
        <v>16.840900000000001</v>
      </c>
    </row>
    <row r="767" spans="1:20" x14ac:dyDescent="0.3">
      <c r="A767" t="s">
        <v>1216</v>
      </c>
      <c r="C767" t="s">
        <v>361</v>
      </c>
      <c r="D767" t="s">
        <v>53</v>
      </c>
      <c r="E767" t="s">
        <v>32</v>
      </c>
      <c r="F767" t="s">
        <v>25</v>
      </c>
      <c r="G767" t="s">
        <v>77</v>
      </c>
      <c r="H767">
        <v>95.46</v>
      </c>
      <c r="I767">
        <v>11</v>
      </c>
      <c r="J767">
        <v>52.503</v>
      </c>
      <c r="K767">
        <v>1050.06</v>
      </c>
      <c r="L767" s="1">
        <v>43813</v>
      </c>
      <c r="M767" s="2">
        <v>0.81944444444444442</v>
      </c>
      <c r="N767" t="s">
        <v>27</v>
      </c>
      <c r="O767">
        <v>763.68</v>
      </c>
      <c r="P767">
        <v>4.7619047620000003</v>
      </c>
      <c r="Q767">
        <v>286.38</v>
      </c>
      <c r="R767">
        <v>5.64</v>
      </c>
      <c r="S767">
        <v>96.089100000000002</v>
      </c>
      <c r="T767">
        <v>21.9588</v>
      </c>
    </row>
    <row r="768" spans="1:20" x14ac:dyDescent="0.3">
      <c r="A768" t="s">
        <v>1217</v>
      </c>
      <c r="C768" t="s">
        <v>1161</v>
      </c>
      <c r="D768" t="s">
        <v>31</v>
      </c>
      <c r="E768" t="s">
        <v>32</v>
      </c>
      <c r="F768" t="s">
        <v>25</v>
      </c>
      <c r="G768" t="s">
        <v>100</v>
      </c>
      <c r="H768">
        <v>76.06</v>
      </c>
      <c r="I768">
        <v>4</v>
      </c>
      <c r="J768">
        <v>15.212</v>
      </c>
      <c r="K768">
        <v>304.24</v>
      </c>
      <c r="L768" s="1">
        <v>43825</v>
      </c>
      <c r="M768" s="2">
        <v>0.85416666666666663</v>
      </c>
      <c r="N768" t="s">
        <v>37</v>
      </c>
      <c r="O768">
        <v>228.18</v>
      </c>
      <c r="P768">
        <v>4.7619047620000003</v>
      </c>
      <c r="Q768">
        <v>76.06</v>
      </c>
      <c r="R768">
        <v>10</v>
      </c>
      <c r="S768">
        <v>96.078500000000005</v>
      </c>
      <c r="T768">
        <v>19.763300000000001</v>
      </c>
    </row>
    <row r="769" spans="1:20" x14ac:dyDescent="0.3">
      <c r="A769" t="s">
        <v>1218</v>
      </c>
      <c r="C769" t="s">
        <v>1219</v>
      </c>
      <c r="D769" t="s">
        <v>53</v>
      </c>
      <c r="E769" t="s">
        <v>32</v>
      </c>
      <c r="F769" t="s">
        <v>36</v>
      </c>
      <c r="G769" t="s">
        <v>68</v>
      </c>
      <c r="H769">
        <v>13.69</v>
      </c>
      <c r="I769">
        <v>8</v>
      </c>
      <c r="J769">
        <v>5.476</v>
      </c>
      <c r="K769">
        <v>109.52</v>
      </c>
      <c r="L769" s="1">
        <v>43697</v>
      </c>
      <c r="M769" s="2">
        <v>0.58263888888888893</v>
      </c>
      <c r="N769" t="s">
        <v>33</v>
      </c>
      <c r="O769">
        <v>82.14</v>
      </c>
      <c r="P769">
        <v>4.7619047620000003</v>
      </c>
      <c r="Q769">
        <v>27.38</v>
      </c>
      <c r="R769">
        <v>7.56</v>
      </c>
      <c r="S769">
        <v>96.089100000000002</v>
      </c>
      <c r="T769">
        <v>21.9588</v>
      </c>
    </row>
    <row r="770" spans="1:20" x14ac:dyDescent="0.3">
      <c r="A770" t="s">
        <v>1220</v>
      </c>
      <c r="C770" t="s">
        <v>734</v>
      </c>
      <c r="D770" t="s">
        <v>53</v>
      </c>
      <c r="E770" t="s">
        <v>32</v>
      </c>
      <c r="F770" t="s">
        <v>25</v>
      </c>
      <c r="G770" t="s">
        <v>60</v>
      </c>
      <c r="H770">
        <v>95.64</v>
      </c>
      <c r="I770">
        <v>6</v>
      </c>
      <c r="J770">
        <v>28.692</v>
      </c>
      <c r="K770">
        <v>573.84</v>
      </c>
      <c r="L770" s="1">
        <v>43575</v>
      </c>
      <c r="M770" s="2">
        <v>0.78541666666666665</v>
      </c>
      <c r="N770" t="s">
        <v>33</v>
      </c>
      <c r="O770">
        <v>382.56</v>
      </c>
      <c r="P770">
        <v>4.7619047620000003</v>
      </c>
      <c r="Q770">
        <v>191.28</v>
      </c>
      <c r="R770">
        <v>9.48</v>
      </c>
      <c r="S770">
        <v>96.089100000000002</v>
      </c>
      <c r="T770">
        <v>21.9588</v>
      </c>
    </row>
    <row r="771" spans="1:20" x14ac:dyDescent="0.3">
      <c r="A771" t="s">
        <v>1221</v>
      </c>
      <c r="C771" t="s">
        <v>971</v>
      </c>
      <c r="D771" t="s">
        <v>23</v>
      </c>
      <c r="E771" t="s">
        <v>32</v>
      </c>
      <c r="F771" t="s">
        <v>25</v>
      </c>
      <c r="G771" t="s">
        <v>77</v>
      </c>
      <c r="H771">
        <v>11.43</v>
      </c>
      <c r="I771">
        <v>6</v>
      </c>
      <c r="J771">
        <v>3.4289999999999998</v>
      </c>
      <c r="K771">
        <v>68.58</v>
      </c>
      <c r="L771" s="1">
        <v>43622</v>
      </c>
      <c r="M771" s="2">
        <v>0.72499999999999998</v>
      </c>
      <c r="N771" t="s">
        <v>33</v>
      </c>
      <c r="O771">
        <v>68.58</v>
      </c>
      <c r="P771">
        <v>4.7619047620000003</v>
      </c>
      <c r="Q771">
        <v>0</v>
      </c>
      <c r="S771">
        <v>96.173500000000004</v>
      </c>
      <c r="T771">
        <v>16.840900000000001</v>
      </c>
    </row>
    <row r="772" spans="1:20" x14ac:dyDescent="0.3">
      <c r="A772" t="s">
        <v>1222</v>
      </c>
      <c r="B772" t="s">
        <v>51</v>
      </c>
      <c r="C772" t="s">
        <v>345</v>
      </c>
      <c r="D772" t="s">
        <v>53</v>
      </c>
      <c r="E772" t="s">
        <v>24</v>
      </c>
      <c r="F772" t="s">
        <v>25</v>
      </c>
      <c r="G772" t="s">
        <v>68</v>
      </c>
      <c r="H772">
        <v>95.54</v>
      </c>
      <c r="I772">
        <v>8</v>
      </c>
      <c r="J772">
        <v>38.216000000000001</v>
      </c>
      <c r="K772">
        <v>764.32</v>
      </c>
      <c r="L772" s="1">
        <v>43659</v>
      </c>
      <c r="M772" s="2">
        <v>0.49861111111111112</v>
      </c>
      <c r="N772" t="s">
        <v>27</v>
      </c>
      <c r="O772">
        <v>382.16</v>
      </c>
      <c r="P772">
        <v>4.7619047620000003</v>
      </c>
      <c r="Q772">
        <v>382.16</v>
      </c>
      <c r="S772">
        <v>96.089100000000002</v>
      </c>
      <c r="T772">
        <v>21.9588</v>
      </c>
    </row>
    <row r="773" spans="1:20" x14ac:dyDescent="0.3">
      <c r="A773" t="s">
        <v>1223</v>
      </c>
      <c r="B773" t="s">
        <v>29</v>
      </c>
      <c r="C773" t="s">
        <v>819</v>
      </c>
      <c r="D773" t="s">
        <v>31</v>
      </c>
      <c r="E773" t="s">
        <v>24</v>
      </c>
      <c r="F773" t="s">
        <v>25</v>
      </c>
      <c r="G773" t="s">
        <v>26</v>
      </c>
      <c r="H773">
        <v>85.87</v>
      </c>
      <c r="I773">
        <v>11</v>
      </c>
      <c r="J773">
        <v>47.228499999999997</v>
      </c>
      <c r="K773">
        <v>944.57</v>
      </c>
      <c r="L773" s="1">
        <v>43625</v>
      </c>
      <c r="M773" s="2">
        <v>0.79236111111111107</v>
      </c>
      <c r="N773" t="s">
        <v>37</v>
      </c>
      <c r="O773">
        <v>601.09</v>
      </c>
      <c r="P773">
        <v>4.7619047620000003</v>
      </c>
      <c r="Q773">
        <v>343.48</v>
      </c>
      <c r="S773">
        <v>96.078500000000005</v>
      </c>
      <c r="T773">
        <v>19.763300000000001</v>
      </c>
    </row>
    <row r="774" spans="1:20" x14ac:dyDescent="0.3">
      <c r="A774" t="s">
        <v>1224</v>
      </c>
      <c r="B774" t="s">
        <v>29</v>
      </c>
      <c r="C774" t="s">
        <v>1225</v>
      </c>
      <c r="D774" t="s">
        <v>31</v>
      </c>
      <c r="E774" t="s">
        <v>24</v>
      </c>
      <c r="F774" t="s">
        <v>25</v>
      </c>
      <c r="G774" t="s">
        <v>68</v>
      </c>
      <c r="H774">
        <v>67.989999999999995</v>
      </c>
      <c r="I774">
        <v>11</v>
      </c>
      <c r="J774">
        <v>37.394500000000001</v>
      </c>
      <c r="K774">
        <v>747.89</v>
      </c>
      <c r="L774" s="1">
        <v>43532</v>
      </c>
      <c r="M774" s="2">
        <v>0.70138888888888884</v>
      </c>
      <c r="N774" t="s">
        <v>27</v>
      </c>
      <c r="O774">
        <v>475.93</v>
      </c>
      <c r="P774">
        <v>4.7619047620000003</v>
      </c>
      <c r="Q774">
        <v>271.95999999999998</v>
      </c>
      <c r="S774">
        <v>96.078500000000005</v>
      </c>
      <c r="T774">
        <v>19.763300000000001</v>
      </c>
    </row>
    <row r="775" spans="1:20" x14ac:dyDescent="0.3">
      <c r="A775" t="s">
        <v>1226</v>
      </c>
      <c r="B775" t="s">
        <v>29</v>
      </c>
      <c r="C775" t="s">
        <v>1227</v>
      </c>
      <c r="D775" t="s">
        <v>31</v>
      </c>
      <c r="E775" t="s">
        <v>32</v>
      </c>
      <c r="F775" t="s">
        <v>25</v>
      </c>
      <c r="G775" t="s">
        <v>63</v>
      </c>
      <c r="H775">
        <v>52.42</v>
      </c>
      <c r="I775">
        <v>1</v>
      </c>
      <c r="J775">
        <v>2.621</v>
      </c>
      <c r="K775">
        <v>52.42</v>
      </c>
      <c r="L775" s="1">
        <v>43526</v>
      </c>
      <c r="M775" s="2">
        <v>0.43194444444444446</v>
      </c>
      <c r="N775" t="s">
        <v>37</v>
      </c>
      <c r="O775">
        <v>52.42</v>
      </c>
      <c r="P775">
        <v>4.7619047620000003</v>
      </c>
      <c r="Q775">
        <v>0</v>
      </c>
      <c r="S775">
        <v>96.078500000000005</v>
      </c>
      <c r="T775">
        <v>19.763300000000001</v>
      </c>
    </row>
    <row r="776" spans="1:20" x14ac:dyDescent="0.3">
      <c r="A776" t="s">
        <v>1228</v>
      </c>
      <c r="B776" t="s">
        <v>29</v>
      </c>
      <c r="C776" t="s">
        <v>563</v>
      </c>
      <c r="D776" t="s">
        <v>31</v>
      </c>
      <c r="E776" t="s">
        <v>24</v>
      </c>
      <c r="F776" t="s">
        <v>36</v>
      </c>
      <c r="G776" t="s">
        <v>63</v>
      </c>
      <c r="H776">
        <v>65.650000000000006</v>
      </c>
      <c r="I776">
        <v>3</v>
      </c>
      <c r="J776">
        <v>9.8475000000000001</v>
      </c>
      <c r="K776">
        <v>196.95</v>
      </c>
      <c r="L776" s="1">
        <v>43677</v>
      </c>
      <c r="M776" s="2">
        <v>0.69861111111111107</v>
      </c>
      <c r="N776" t="s">
        <v>33</v>
      </c>
      <c r="O776">
        <v>131.30000000000001</v>
      </c>
      <c r="P776">
        <v>4.7619047620000003</v>
      </c>
      <c r="Q776">
        <v>65.650000000000006</v>
      </c>
      <c r="S776">
        <v>96.078500000000005</v>
      </c>
      <c r="T776">
        <v>19.763300000000001</v>
      </c>
    </row>
    <row r="777" spans="1:20" x14ac:dyDescent="0.3">
      <c r="A777" t="s">
        <v>1229</v>
      </c>
      <c r="B777" t="s">
        <v>51</v>
      </c>
      <c r="C777" t="s">
        <v>99</v>
      </c>
      <c r="D777" t="s">
        <v>53</v>
      </c>
      <c r="E777" t="s">
        <v>32</v>
      </c>
      <c r="F777" t="s">
        <v>25</v>
      </c>
      <c r="G777" t="s">
        <v>63</v>
      </c>
      <c r="H777">
        <v>28.86</v>
      </c>
      <c r="I777">
        <v>7</v>
      </c>
      <c r="J777">
        <v>10.101000000000001</v>
      </c>
      <c r="K777">
        <v>202.02</v>
      </c>
      <c r="L777" s="1">
        <v>43736</v>
      </c>
      <c r="M777" s="2">
        <v>0.75555555555555554</v>
      </c>
      <c r="N777" t="s">
        <v>37</v>
      </c>
      <c r="O777">
        <v>144.30000000000001</v>
      </c>
      <c r="P777">
        <v>4.7619047620000003</v>
      </c>
      <c r="Q777">
        <v>57.72</v>
      </c>
      <c r="S777">
        <v>96.089100000000002</v>
      </c>
      <c r="T777">
        <v>21.9588</v>
      </c>
    </row>
    <row r="778" spans="1:20" x14ac:dyDescent="0.3">
      <c r="A778" t="s">
        <v>1230</v>
      </c>
      <c r="B778" t="s">
        <v>29</v>
      </c>
      <c r="C778" t="s">
        <v>399</v>
      </c>
      <c r="D778" t="s">
        <v>31</v>
      </c>
      <c r="E778" t="s">
        <v>24</v>
      </c>
      <c r="F778" t="s">
        <v>36</v>
      </c>
      <c r="G778" t="s">
        <v>26</v>
      </c>
      <c r="H778">
        <v>65.31</v>
      </c>
      <c r="I778">
        <v>11</v>
      </c>
      <c r="J778">
        <v>35.920499999999997</v>
      </c>
      <c r="K778">
        <v>718.41</v>
      </c>
      <c r="L778" s="1">
        <v>43692</v>
      </c>
      <c r="M778" s="2">
        <v>0.75138888888888888</v>
      </c>
      <c r="N778" t="s">
        <v>37</v>
      </c>
      <c r="O778">
        <v>457.17</v>
      </c>
      <c r="P778">
        <v>4.7619047620000003</v>
      </c>
      <c r="Q778">
        <v>261.24</v>
      </c>
      <c r="R778">
        <v>4.41</v>
      </c>
      <c r="S778">
        <v>96.078500000000005</v>
      </c>
      <c r="T778">
        <v>19.763300000000001</v>
      </c>
    </row>
    <row r="779" spans="1:20" x14ac:dyDescent="0.3">
      <c r="A779" t="s">
        <v>1231</v>
      </c>
      <c r="B779" t="s">
        <v>51</v>
      </c>
      <c r="C779" t="s">
        <v>479</v>
      </c>
      <c r="D779" t="s">
        <v>53</v>
      </c>
      <c r="E779" t="s">
        <v>32</v>
      </c>
      <c r="F779" t="s">
        <v>36</v>
      </c>
      <c r="G779" t="s">
        <v>68</v>
      </c>
      <c r="H779">
        <v>93.38</v>
      </c>
      <c r="I779">
        <v>1</v>
      </c>
      <c r="J779">
        <v>4.6689999999999996</v>
      </c>
      <c r="K779">
        <v>93.38</v>
      </c>
      <c r="L779" s="1">
        <v>43488</v>
      </c>
      <c r="M779" s="2">
        <v>0.54652777777777772</v>
      </c>
      <c r="N779" t="s">
        <v>33</v>
      </c>
      <c r="O779">
        <v>93.38</v>
      </c>
      <c r="P779">
        <v>4.7619047620000003</v>
      </c>
      <c r="Q779">
        <v>0</v>
      </c>
      <c r="R779">
        <v>10</v>
      </c>
      <c r="S779">
        <v>96.089100000000002</v>
      </c>
      <c r="T779">
        <v>21.9588</v>
      </c>
    </row>
    <row r="780" spans="1:20" x14ac:dyDescent="0.3">
      <c r="A780" t="s">
        <v>1232</v>
      </c>
      <c r="B780" t="s">
        <v>29</v>
      </c>
      <c r="C780" t="s">
        <v>1233</v>
      </c>
      <c r="D780" t="s">
        <v>31</v>
      </c>
      <c r="E780" t="s">
        <v>24</v>
      </c>
      <c r="F780" t="s">
        <v>36</v>
      </c>
      <c r="G780" t="s">
        <v>68</v>
      </c>
      <c r="H780">
        <v>25.25</v>
      </c>
      <c r="I780">
        <v>8</v>
      </c>
      <c r="J780">
        <v>10.1</v>
      </c>
      <c r="K780">
        <v>202</v>
      </c>
      <c r="L780" s="1">
        <v>43639</v>
      </c>
      <c r="M780" s="2">
        <v>0.74444444444444446</v>
      </c>
      <c r="N780" t="s">
        <v>33</v>
      </c>
      <c r="O780">
        <v>126.25</v>
      </c>
      <c r="P780">
        <v>4.7619047620000003</v>
      </c>
      <c r="Q780">
        <v>75.75</v>
      </c>
      <c r="R780">
        <v>6.4050000000000002</v>
      </c>
      <c r="S780">
        <v>96.078500000000005</v>
      </c>
      <c r="T780">
        <v>19.763300000000001</v>
      </c>
    </row>
    <row r="781" spans="1:20" x14ac:dyDescent="0.3">
      <c r="A781" t="s">
        <v>1234</v>
      </c>
      <c r="B781" t="s">
        <v>51</v>
      </c>
      <c r="C781" t="s">
        <v>385</v>
      </c>
      <c r="D781" t="s">
        <v>53</v>
      </c>
      <c r="E781" t="s">
        <v>24</v>
      </c>
      <c r="F781" t="s">
        <v>36</v>
      </c>
      <c r="G781" t="s">
        <v>60</v>
      </c>
      <c r="H781">
        <v>87.87</v>
      </c>
      <c r="I781">
        <v>18</v>
      </c>
      <c r="J781">
        <v>79.082999999999998</v>
      </c>
      <c r="K781">
        <v>1581.66</v>
      </c>
      <c r="L781" s="1">
        <v>43628</v>
      </c>
      <c r="M781" s="2">
        <v>0.85555555555555551</v>
      </c>
      <c r="N781" t="s">
        <v>27</v>
      </c>
      <c r="O781">
        <v>790.83</v>
      </c>
      <c r="P781">
        <v>4.7619047620000003</v>
      </c>
      <c r="Q781">
        <v>790.83</v>
      </c>
      <c r="R781">
        <v>6.72</v>
      </c>
      <c r="S781">
        <v>96.089100000000002</v>
      </c>
      <c r="T781">
        <v>21.9588</v>
      </c>
    </row>
    <row r="782" spans="1:20" x14ac:dyDescent="0.3">
      <c r="A782" t="s">
        <v>1235</v>
      </c>
      <c r="B782" t="s">
        <v>29</v>
      </c>
      <c r="C782" t="s">
        <v>1236</v>
      </c>
      <c r="D782" t="s">
        <v>31</v>
      </c>
      <c r="E782" t="s">
        <v>32</v>
      </c>
      <c r="F782" t="s">
        <v>36</v>
      </c>
      <c r="G782" t="s">
        <v>26</v>
      </c>
      <c r="H782">
        <v>21.8</v>
      </c>
      <c r="I782">
        <v>10</v>
      </c>
      <c r="J782">
        <v>10.9</v>
      </c>
      <c r="K782">
        <v>218</v>
      </c>
      <c r="L782" s="1">
        <v>43726</v>
      </c>
      <c r="M782" s="2">
        <v>0.80833333333333335</v>
      </c>
      <c r="N782" t="s">
        <v>33</v>
      </c>
      <c r="O782">
        <v>174.4</v>
      </c>
      <c r="P782">
        <v>4.7619047620000003</v>
      </c>
      <c r="Q782">
        <v>43.6</v>
      </c>
      <c r="R782">
        <v>8.7149999999999999</v>
      </c>
      <c r="S782">
        <v>96.078500000000005</v>
      </c>
      <c r="T782">
        <v>19.763300000000001</v>
      </c>
    </row>
    <row r="783" spans="1:20" x14ac:dyDescent="0.3">
      <c r="A783" t="s">
        <v>1237</v>
      </c>
      <c r="B783" t="s">
        <v>21</v>
      </c>
      <c r="C783" t="s">
        <v>988</v>
      </c>
      <c r="D783" t="s">
        <v>23</v>
      </c>
      <c r="E783" t="s">
        <v>32</v>
      </c>
      <c r="F783" t="s">
        <v>25</v>
      </c>
      <c r="G783" t="s">
        <v>68</v>
      </c>
      <c r="H783">
        <v>94.76</v>
      </c>
      <c r="I783">
        <v>4</v>
      </c>
      <c r="J783">
        <v>18.952000000000002</v>
      </c>
      <c r="K783">
        <v>379.04</v>
      </c>
      <c r="L783" s="1">
        <v>43794</v>
      </c>
      <c r="M783" s="2">
        <v>0.67083333333333328</v>
      </c>
      <c r="N783" t="s">
        <v>27</v>
      </c>
      <c r="O783">
        <v>379.04</v>
      </c>
      <c r="P783">
        <v>4.7619047620000003</v>
      </c>
      <c r="Q783">
        <v>0</v>
      </c>
      <c r="R783">
        <v>7.8</v>
      </c>
      <c r="S783">
        <v>96.173500000000004</v>
      </c>
      <c r="T783">
        <v>16.840900000000001</v>
      </c>
    </row>
    <row r="784" spans="1:20" x14ac:dyDescent="0.3">
      <c r="A784" t="s">
        <v>1238</v>
      </c>
      <c r="B784" t="s">
        <v>21</v>
      </c>
      <c r="C784" t="s">
        <v>1239</v>
      </c>
      <c r="D784" t="s">
        <v>23</v>
      </c>
      <c r="E784" t="s">
        <v>24</v>
      </c>
      <c r="F784" t="s">
        <v>25</v>
      </c>
      <c r="G784" t="s">
        <v>100</v>
      </c>
      <c r="H784">
        <v>30.62</v>
      </c>
      <c r="I784">
        <v>1</v>
      </c>
      <c r="J784">
        <v>1.5309999999999999</v>
      </c>
      <c r="K784">
        <v>30.62</v>
      </c>
      <c r="L784" s="1">
        <v>43615</v>
      </c>
      <c r="M784" s="2">
        <v>0.59305555555555556</v>
      </c>
      <c r="N784" t="s">
        <v>37</v>
      </c>
      <c r="O784">
        <v>30.62</v>
      </c>
      <c r="P784">
        <v>4.7619047620000003</v>
      </c>
      <c r="Q784">
        <v>0</v>
      </c>
      <c r="R784">
        <v>4.0999999999999996</v>
      </c>
      <c r="S784">
        <v>96.173500000000004</v>
      </c>
      <c r="T784">
        <v>16.840900000000001</v>
      </c>
    </row>
    <row r="785" spans="1:20" x14ac:dyDescent="0.3">
      <c r="A785" t="s">
        <v>1240</v>
      </c>
      <c r="B785" t="s">
        <v>29</v>
      </c>
      <c r="C785" t="s">
        <v>248</v>
      </c>
      <c r="D785" t="s">
        <v>31</v>
      </c>
      <c r="E785" t="s">
        <v>32</v>
      </c>
      <c r="F785" t="s">
        <v>25</v>
      </c>
      <c r="G785" t="s">
        <v>77</v>
      </c>
      <c r="H785">
        <v>44.01</v>
      </c>
      <c r="I785">
        <v>10</v>
      </c>
      <c r="J785">
        <v>22.004999999999999</v>
      </c>
      <c r="K785">
        <v>440.1</v>
      </c>
      <c r="L785" s="1">
        <v>43771</v>
      </c>
      <c r="M785" s="2">
        <v>0.73333333333333328</v>
      </c>
      <c r="N785" t="s">
        <v>33</v>
      </c>
      <c r="O785">
        <v>352.08</v>
      </c>
      <c r="P785">
        <v>4.7619047620000003</v>
      </c>
      <c r="Q785">
        <v>88.02</v>
      </c>
      <c r="R785">
        <v>9.24</v>
      </c>
      <c r="S785">
        <v>96.078500000000005</v>
      </c>
      <c r="T785">
        <v>19.763300000000001</v>
      </c>
    </row>
    <row r="786" spans="1:20" x14ac:dyDescent="0.3">
      <c r="A786" t="s">
        <v>1241</v>
      </c>
      <c r="B786" t="s">
        <v>29</v>
      </c>
      <c r="C786" t="s">
        <v>1242</v>
      </c>
      <c r="D786" t="s">
        <v>31</v>
      </c>
      <c r="E786" t="s">
        <v>24</v>
      </c>
      <c r="F786" t="s">
        <v>25</v>
      </c>
      <c r="G786" t="s">
        <v>26</v>
      </c>
      <c r="H786">
        <v>10.16</v>
      </c>
      <c r="I786">
        <v>8</v>
      </c>
      <c r="J786">
        <v>4.0640000000000001</v>
      </c>
      <c r="K786">
        <v>81.28</v>
      </c>
      <c r="L786" s="1">
        <v>43515</v>
      </c>
      <c r="M786" s="2">
        <v>0.54722222222222228</v>
      </c>
      <c r="N786" t="s">
        <v>27</v>
      </c>
      <c r="O786">
        <v>50.8</v>
      </c>
      <c r="P786">
        <v>4.7619047620000003</v>
      </c>
      <c r="Q786">
        <v>30.48</v>
      </c>
      <c r="R786">
        <v>4.3049999999999997</v>
      </c>
      <c r="S786">
        <v>96.078500000000005</v>
      </c>
      <c r="T786">
        <v>19.763300000000001</v>
      </c>
    </row>
    <row r="787" spans="1:20" x14ac:dyDescent="0.3">
      <c r="A787" t="s">
        <v>1243</v>
      </c>
      <c r="B787" t="s">
        <v>21</v>
      </c>
      <c r="C787" t="s">
        <v>93</v>
      </c>
      <c r="D787" t="s">
        <v>23</v>
      </c>
      <c r="E787" t="s">
        <v>32</v>
      </c>
      <c r="F787" t="s">
        <v>36</v>
      </c>
      <c r="G787" t="s">
        <v>60</v>
      </c>
      <c r="H787">
        <v>74.58</v>
      </c>
      <c r="I787">
        <v>7</v>
      </c>
      <c r="J787">
        <v>26.103000000000002</v>
      </c>
      <c r="K787">
        <v>522.05999999999995</v>
      </c>
      <c r="L787" s="1">
        <v>43737</v>
      </c>
      <c r="M787" s="2">
        <v>0.67291666666666672</v>
      </c>
      <c r="N787" t="s">
        <v>37</v>
      </c>
      <c r="O787">
        <v>522.05999999999995</v>
      </c>
      <c r="P787">
        <v>4.7619047620000003</v>
      </c>
      <c r="Q787">
        <v>0</v>
      </c>
      <c r="R787">
        <v>9</v>
      </c>
      <c r="S787">
        <v>96.173500000000004</v>
      </c>
      <c r="T787">
        <v>16.840900000000001</v>
      </c>
    </row>
    <row r="788" spans="1:20" x14ac:dyDescent="0.3">
      <c r="A788" t="s">
        <v>1244</v>
      </c>
      <c r="B788" t="s">
        <v>29</v>
      </c>
      <c r="C788" t="s">
        <v>320</v>
      </c>
      <c r="D788" t="s">
        <v>31</v>
      </c>
      <c r="E788" t="s">
        <v>32</v>
      </c>
      <c r="F788" t="s">
        <v>36</v>
      </c>
      <c r="G788" t="s">
        <v>60</v>
      </c>
      <c r="H788">
        <v>71.89</v>
      </c>
      <c r="I788">
        <v>10</v>
      </c>
      <c r="J788">
        <v>35.945</v>
      </c>
      <c r="K788">
        <v>718.9</v>
      </c>
      <c r="L788" s="1">
        <v>43538</v>
      </c>
      <c r="M788" s="2">
        <v>0.48125000000000001</v>
      </c>
      <c r="N788" t="s">
        <v>27</v>
      </c>
      <c r="O788">
        <v>575.12</v>
      </c>
      <c r="P788">
        <v>4.7619047620000003</v>
      </c>
      <c r="Q788">
        <v>143.78</v>
      </c>
      <c r="R788">
        <v>5.7750000000000004</v>
      </c>
      <c r="S788">
        <v>96.078500000000005</v>
      </c>
      <c r="T788">
        <v>19.763300000000001</v>
      </c>
    </row>
    <row r="789" spans="1:20" x14ac:dyDescent="0.3">
      <c r="A789" t="s">
        <v>1245</v>
      </c>
      <c r="B789" t="s">
        <v>29</v>
      </c>
      <c r="C789" t="s">
        <v>394</v>
      </c>
      <c r="D789" t="s">
        <v>31</v>
      </c>
      <c r="E789" t="s">
        <v>32</v>
      </c>
      <c r="F789" t="s">
        <v>25</v>
      </c>
      <c r="G789" t="s">
        <v>26</v>
      </c>
      <c r="H789">
        <v>10.99</v>
      </c>
      <c r="I789">
        <v>6</v>
      </c>
      <c r="J789">
        <v>3.2970000000000002</v>
      </c>
      <c r="K789">
        <v>65.94</v>
      </c>
      <c r="L789" s="1">
        <v>43812</v>
      </c>
      <c r="M789" s="2">
        <v>0.42916666666666664</v>
      </c>
      <c r="N789" t="s">
        <v>37</v>
      </c>
      <c r="O789">
        <v>54.95</v>
      </c>
      <c r="P789">
        <v>4.7619047620000003</v>
      </c>
      <c r="Q789">
        <v>10.99</v>
      </c>
      <c r="R789">
        <v>9.7650000000000006</v>
      </c>
      <c r="S789">
        <v>96.078500000000005</v>
      </c>
      <c r="T789">
        <v>19.763300000000001</v>
      </c>
    </row>
    <row r="790" spans="1:20" x14ac:dyDescent="0.3">
      <c r="A790" t="s">
        <v>1246</v>
      </c>
      <c r="B790" t="s">
        <v>29</v>
      </c>
      <c r="C790" t="s">
        <v>651</v>
      </c>
      <c r="D790" t="s">
        <v>31</v>
      </c>
      <c r="E790" t="s">
        <v>24</v>
      </c>
      <c r="F790" t="s">
        <v>36</v>
      </c>
      <c r="G790" t="s">
        <v>26</v>
      </c>
      <c r="H790">
        <v>60.47</v>
      </c>
      <c r="I790">
        <v>6</v>
      </c>
      <c r="J790">
        <v>18.140999999999998</v>
      </c>
      <c r="K790">
        <v>362.82</v>
      </c>
      <c r="L790" s="1">
        <v>43593</v>
      </c>
      <c r="M790" s="2">
        <v>0.4548611111111111</v>
      </c>
      <c r="N790" t="s">
        <v>37</v>
      </c>
      <c r="O790">
        <v>181.41</v>
      </c>
      <c r="P790">
        <v>4.7619047620000003</v>
      </c>
      <c r="Q790">
        <v>181.41</v>
      </c>
      <c r="R790">
        <v>5.88</v>
      </c>
      <c r="S790">
        <v>96.078500000000005</v>
      </c>
      <c r="T790">
        <v>19.763300000000001</v>
      </c>
    </row>
    <row r="791" spans="1:20" x14ac:dyDescent="0.3">
      <c r="A791" t="s">
        <v>1247</v>
      </c>
      <c r="B791" t="s">
        <v>21</v>
      </c>
      <c r="C791" t="s">
        <v>62</v>
      </c>
      <c r="D791" t="s">
        <v>23</v>
      </c>
      <c r="E791" t="s">
        <v>32</v>
      </c>
      <c r="F791" t="s">
        <v>36</v>
      </c>
      <c r="G791" t="s">
        <v>68</v>
      </c>
      <c r="H791">
        <v>58.91</v>
      </c>
      <c r="I791">
        <v>7</v>
      </c>
      <c r="J791">
        <v>20.618500000000001</v>
      </c>
      <c r="K791">
        <v>412.37</v>
      </c>
      <c r="L791" s="1">
        <v>43603</v>
      </c>
      <c r="M791" s="2">
        <v>0.63541666666666663</v>
      </c>
      <c r="N791" t="s">
        <v>27</v>
      </c>
      <c r="O791">
        <v>412.37</v>
      </c>
      <c r="P791">
        <v>4.7619047620000003</v>
      </c>
      <c r="Q791">
        <v>0</v>
      </c>
      <c r="R791">
        <v>9.6999999999999993</v>
      </c>
      <c r="S791">
        <v>96.173500000000004</v>
      </c>
      <c r="T791">
        <v>16.840900000000001</v>
      </c>
    </row>
    <row r="792" spans="1:20" x14ac:dyDescent="0.3">
      <c r="A792" t="s">
        <v>1248</v>
      </c>
      <c r="B792" t="s">
        <v>21</v>
      </c>
      <c r="C792" t="s">
        <v>486</v>
      </c>
      <c r="D792" t="s">
        <v>23</v>
      </c>
      <c r="E792" t="s">
        <v>32</v>
      </c>
      <c r="F792" t="s">
        <v>36</v>
      </c>
      <c r="G792" t="s">
        <v>100</v>
      </c>
      <c r="H792">
        <v>46.41</v>
      </c>
      <c r="I792">
        <v>1</v>
      </c>
      <c r="J792">
        <v>2.3205</v>
      </c>
      <c r="K792">
        <v>46.41</v>
      </c>
      <c r="L792" s="1">
        <v>43756</v>
      </c>
      <c r="M792" s="2">
        <v>0.83750000000000002</v>
      </c>
      <c r="N792" t="s">
        <v>37</v>
      </c>
      <c r="O792">
        <v>46.41</v>
      </c>
      <c r="P792">
        <v>4.7619047620000003</v>
      </c>
      <c r="Q792">
        <v>0</v>
      </c>
      <c r="R792">
        <v>4</v>
      </c>
      <c r="S792">
        <v>96.173500000000004</v>
      </c>
      <c r="T792">
        <v>16.840900000000001</v>
      </c>
    </row>
    <row r="793" spans="1:20" x14ac:dyDescent="0.3">
      <c r="A793" t="s">
        <v>1249</v>
      </c>
      <c r="B793" t="s">
        <v>29</v>
      </c>
      <c r="C793" t="s">
        <v>1227</v>
      </c>
      <c r="D793" t="s">
        <v>31</v>
      </c>
      <c r="E793" t="s">
        <v>24</v>
      </c>
      <c r="F793" t="s">
        <v>36</v>
      </c>
      <c r="G793" t="s">
        <v>68</v>
      </c>
      <c r="H793">
        <v>68.55</v>
      </c>
      <c r="I793">
        <v>7</v>
      </c>
      <c r="J793">
        <v>23.9925</v>
      </c>
      <c r="K793">
        <v>479.85</v>
      </c>
      <c r="L793" s="1">
        <v>43499</v>
      </c>
      <c r="M793" s="2">
        <v>0.84791666666666665</v>
      </c>
      <c r="N793" t="s">
        <v>37</v>
      </c>
      <c r="O793">
        <v>274.2</v>
      </c>
      <c r="P793">
        <v>4.7619047620000003</v>
      </c>
      <c r="Q793">
        <v>205.65</v>
      </c>
      <c r="R793">
        <v>9.66</v>
      </c>
      <c r="S793">
        <v>96.078500000000005</v>
      </c>
      <c r="T793">
        <v>19.763300000000001</v>
      </c>
    </row>
    <row r="794" spans="1:20" x14ac:dyDescent="0.3">
      <c r="A794" t="s">
        <v>1250</v>
      </c>
      <c r="B794" t="s">
        <v>51</v>
      </c>
      <c r="C794" t="s">
        <v>430</v>
      </c>
      <c r="D794" t="s">
        <v>53</v>
      </c>
      <c r="E794" t="s">
        <v>32</v>
      </c>
      <c r="F794" t="s">
        <v>25</v>
      </c>
      <c r="G794" t="s">
        <v>68</v>
      </c>
      <c r="H794">
        <v>97.37</v>
      </c>
      <c r="I794">
        <v>14</v>
      </c>
      <c r="J794">
        <v>68.159000000000006</v>
      </c>
      <c r="K794">
        <v>1363.18</v>
      </c>
      <c r="L794" s="1">
        <v>43547</v>
      </c>
      <c r="M794" s="2">
        <v>0.57499999999999996</v>
      </c>
      <c r="N794" t="s">
        <v>37</v>
      </c>
      <c r="O794">
        <v>973.7</v>
      </c>
      <c r="P794">
        <v>4.7619047620000003</v>
      </c>
      <c r="Q794">
        <v>389.48</v>
      </c>
      <c r="R794">
        <v>5.88</v>
      </c>
      <c r="S794">
        <v>96.089100000000002</v>
      </c>
      <c r="T794">
        <v>21.9588</v>
      </c>
    </row>
    <row r="795" spans="1:20" x14ac:dyDescent="0.3">
      <c r="A795" t="s">
        <v>1251</v>
      </c>
      <c r="B795" t="s">
        <v>21</v>
      </c>
      <c r="C795" t="s">
        <v>1252</v>
      </c>
      <c r="D795" t="s">
        <v>23</v>
      </c>
      <c r="E795" t="s">
        <v>24</v>
      </c>
      <c r="F795" t="s">
        <v>36</v>
      </c>
      <c r="G795" t="s">
        <v>68</v>
      </c>
      <c r="H795">
        <v>92.6</v>
      </c>
      <c r="I795">
        <v>10</v>
      </c>
      <c r="J795">
        <v>46.3</v>
      </c>
      <c r="K795">
        <v>926</v>
      </c>
      <c r="L795" s="1">
        <v>43781</v>
      </c>
      <c r="M795" s="2">
        <v>0.53611111111111109</v>
      </c>
      <c r="N795" t="s">
        <v>37</v>
      </c>
      <c r="O795">
        <v>648.20000000000005</v>
      </c>
      <c r="P795">
        <v>4.7619047620000003</v>
      </c>
      <c r="Q795">
        <v>277.8</v>
      </c>
      <c r="R795">
        <v>9.3000000000000007</v>
      </c>
      <c r="S795">
        <v>96.173500000000004</v>
      </c>
      <c r="T795">
        <v>16.840900000000001</v>
      </c>
    </row>
    <row r="796" spans="1:20" x14ac:dyDescent="0.3">
      <c r="A796" t="s">
        <v>1253</v>
      </c>
      <c r="B796" t="s">
        <v>21</v>
      </c>
      <c r="C796" t="s">
        <v>219</v>
      </c>
      <c r="D796" t="s">
        <v>23</v>
      </c>
      <c r="E796" t="s">
        <v>32</v>
      </c>
      <c r="F796" t="s">
        <v>25</v>
      </c>
      <c r="G796" t="s">
        <v>68</v>
      </c>
      <c r="H796">
        <v>46.61</v>
      </c>
      <c r="I796">
        <v>2</v>
      </c>
      <c r="J796">
        <v>4.6609999999999996</v>
      </c>
      <c r="K796">
        <v>93.22</v>
      </c>
      <c r="L796" s="1">
        <v>43670</v>
      </c>
      <c r="M796" s="2">
        <v>0.51944444444444449</v>
      </c>
      <c r="N796" t="s">
        <v>37</v>
      </c>
      <c r="O796">
        <v>93.22</v>
      </c>
      <c r="P796">
        <v>4.7619047620000003</v>
      </c>
      <c r="Q796">
        <v>0</v>
      </c>
      <c r="R796">
        <v>6.6</v>
      </c>
      <c r="S796">
        <v>96.173500000000004</v>
      </c>
      <c r="T796">
        <v>16.840900000000001</v>
      </c>
    </row>
    <row r="797" spans="1:20" x14ac:dyDescent="0.3">
      <c r="A797" t="s">
        <v>1254</v>
      </c>
      <c r="B797" t="s">
        <v>51</v>
      </c>
      <c r="C797" t="s">
        <v>771</v>
      </c>
      <c r="D797" t="s">
        <v>53</v>
      </c>
      <c r="E797" t="s">
        <v>32</v>
      </c>
      <c r="F797" t="s">
        <v>36</v>
      </c>
      <c r="G797" t="s">
        <v>68</v>
      </c>
      <c r="H797">
        <v>27.18</v>
      </c>
      <c r="I797">
        <v>3</v>
      </c>
      <c r="J797">
        <v>4.077</v>
      </c>
      <c r="K797">
        <v>81.540000000000006</v>
      </c>
      <c r="L797" s="1">
        <v>43598</v>
      </c>
      <c r="M797" s="2">
        <v>0.68472222222222223</v>
      </c>
      <c r="N797" t="s">
        <v>27</v>
      </c>
      <c r="O797">
        <v>54.36</v>
      </c>
      <c r="P797">
        <v>4.7619047620000003</v>
      </c>
      <c r="Q797">
        <v>27.18</v>
      </c>
      <c r="R797">
        <v>5.16</v>
      </c>
      <c r="S797">
        <v>96.089100000000002</v>
      </c>
      <c r="T797">
        <v>21.9588</v>
      </c>
    </row>
    <row r="798" spans="1:20" x14ac:dyDescent="0.3">
      <c r="A798" t="s">
        <v>1255</v>
      </c>
      <c r="B798" t="s">
        <v>29</v>
      </c>
      <c r="C798" t="s">
        <v>810</v>
      </c>
      <c r="D798" t="s">
        <v>31</v>
      </c>
      <c r="E798" t="s">
        <v>24</v>
      </c>
      <c r="F798" t="s">
        <v>25</v>
      </c>
      <c r="G798" t="s">
        <v>68</v>
      </c>
      <c r="H798">
        <v>60.87</v>
      </c>
      <c r="I798">
        <v>1</v>
      </c>
      <c r="J798">
        <v>3.0434999999999999</v>
      </c>
      <c r="K798">
        <v>60.87</v>
      </c>
      <c r="L798" s="1">
        <v>43626</v>
      </c>
      <c r="M798" s="2">
        <v>0.55833333333333335</v>
      </c>
      <c r="N798" t="s">
        <v>33</v>
      </c>
      <c r="O798">
        <v>60.87</v>
      </c>
      <c r="P798">
        <v>4.7619047620000003</v>
      </c>
      <c r="Q798">
        <v>0</v>
      </c>
      <c r="R798">
        <v>5.7750000000000004</v>
      </c>
      <c r="S798">
        <v>96.078500000000005</v>
      </c>
      <c r="T798">
        <v>19.763300000000001</v>
      </c>
    </row>
    <row r="799" spans="1:20" x14ac:dyDescent="0.3">
      <c r="A799" t="s">
        <v>1256</v>
      </c>
      <c r="B799" t="s">
        <v>21</v>
      </c>
      <c r="C799" t="s">
        <v>716</v>
      </c>
      <c r="D799" t="s">
        <v>23</v>
      </c>
      <c r="E799" t="s">
        <v>32</v>
      </c>
      <c r="F799" t="s">
        <v>25</v>
      </c>
      <c r="G799" t="s">
        <v>68</v>
      </c>
      <c r="H799">
        <v>24.49</v>
      </c>
      <c r="I799">
        <v>10</v>
      </c>
      <c r="J799">
        <v>12.244999999999999</v>
      </c>
      <c r="K799">
        <v>244.9</v>
      </c>
      <c r="L799" s="1">
        <v>43700</v>
      </c>
      <c r="M799" s="2">
        <v>0.63541666666666663</v>
      </c>
      <c r="N799" t="s">
        <v>33</v>
      </c>
      <c r="O799">
        <v>244.9</v>
      </c>
      <c r="P799">
        <v>4.7619047620000003</v>
      </c>
      <c r="Q799">
        <v>0</v>
      </c>
      <c r="R799">
        <v>8.1</v>
      </c>
      <c r="S799">
        <v>96.173500000000004</v>
      </c>
      <c r="T799">
        <v>16.840900000000001</v>
      </c>
    </row>
    <row r="800" spans="1:20" x14ac:dyDescent="0.3">
      <c r="A800" t="s">
        <v>1257</v>
      </c>
      <c r="B800" t="s">
        <v>51</v>
      </c>
      <c r="C800" t="s">
        <v>1258</v>
      </c>
      <c r="D800" t="s">
        <v>53</v>
      </c>
      <c r="E800" t="s">
        <v>32</v>
      </c>
      <c r="F800" t="s">
        <v>36</v>
      </c>
      <c r="G800" t="s">
        <v>68</v>
      </c>
      <c r="H800">
        <v>92.78</v>
      </c>
      <c r="I800">
        <v>1</v>
      </c>
      <c r="J800">
        <v>4.6390000000000002</v>
      </c>
      <c r="K800">
        <v>92.78</v>
      </c>
      <c r="L800" s="1">
        <v>43771</v>
      </c>
      <c r="M800" s="2">
        <v>0.4513888888888889</v>
      </c>
      <c r="N800" t="s">
        <v>37</v>
      </c>
      <c r="O800">
        <v>92.78</v>
      </c>
      <c r="P800">
        <v>4.7619047620000003</v>
      </c>
      <c r="Q800">
        <v>0</v>
      </c>
      <c r="R800">
        <v>10</v>
      </c>
      <c r="S800">
        <v>96.089100000000002</v>
      </c>
      <c r="T800">
        <v>21.9588</v>
      </c>
    </row>
    <row r="801" spans="1:20" x14ac:dyDescent="0.3">
      <c r="A801" t="s">
        <v>1259</v>
      </c>
      <c r="B801" t="s">
        <v>29</v>
      </c>
      <c r="C801" t="s">
        <v>1260</v>
      </c>
      <c r="D801" t="s">
        <v>31</v>
      </c>
      <c r="E801" t="s">
        <v>32</v>
      </c>
      <c r="F801" t="s">
        <v>36</v>
      </c>
      <c r="G801" t="s">
        <v>77</v>
      </c>
      <c r="H801">
        <v>86.69</v>
      </c>
      <c r="I801">
        <v>6</v>
      </c>
      <c r="J801">
        <v>26.007000000000001</v>
      </c>
      <c r="K801">
        <v>520.14</v>
      </c>
      <c r="L801" s="1">
        <v>43689</v>
      </c>
      <c r="M801" s="2">
        <v>0.77638888888888891</v>
      </c>
      <c r="N801" t="s">
        <v>27</v>
      </c>
      <c r="O801">
        <v>433.45</v>
      </c>
      <c r="P801">
        <v>4.7619047620000003</v>
      </c>
      <c r="Q801">
        <v>86.69</v>
      </c>
      <c r="R801">
        <v>9.8699999999999992</v>
      </c>
      <c r="S801">
        <v>96.078500000000005</v>
      </c>
      <c r="T801">
        <v>19.763300000000001</v>
      </c>
    </row>
    <row r="802" spans="1:20" x14ac:dyDescent="0.3">
      <c r="A802" t="s">
        <v>1261</v>
      </c>
      <c r="B802" t="s">
        <v>51</v>
      </c>
      <c r="C802" t="s">
        <v>1262</v>
      </c>
      <c r="D802" t="s">
        <v>53</v>
      </c>
      <c r="E802" t="s">
        <v>32</v>
      </c>
      <c r="F802" t="s">
        <v>36</v>
      </c>
      <c r="G802" t="s">
        <v>68</v>
      </c>
      <c r="H802">
        <v>23.01</v>
      </c>
      <c r="I802">
        <v>8</v>
      </c>
      <c r="J802">
        <v>9.2040000000000006</v>
      </c>
      <c r="K802">
        <v>184.08</v>
      </c>
      <c r="L802" s="1">
        <v>43660</v>
      </c>
      <c r="M802" s="2">
        <v>0.69791666666666663</v>
      </c>
      <c r="N802" t="s">
        <v>27</v>
      </c>
      <c r="O802">
        <v>138.06</v>
      </c>
      <c r="P802">
        <v>4.7619047620000003</v>
      </c>
      <c r="Q802">
        <v>46.02</v>
      </c>
      <c r="R802">
        <v>9.48</v>
      </c>
      <c r="S802">
        <v>96.089100000000002</v>
      </c>
      <c r="T802">
        <v>21.9588</v>
      </c>
    </row>
    <row r="803" spans="1:20" x14ac:dyDescent="0.3">
      <c r="A803" t="s">
        <v>1263</v>
      </c>
      <c r="B803" t="s">
        <v>29</v>
      </c>
      <c r="C803" t="s">
        <v>371</v>
      </c>
      <c r="D803" t="s">
        <v>31</v>
      </c>
      <c r="E803" t="s">
        <v>32</v>
      </c>
      <c r="F803" t="s">
        <v>25</v>
      </c>
      <c r="G803" t="s">
        <v>60</v>
      </c>
      <c r="H803">
        <v>30.2</v>
      </c>
      <c r="I803">
        <v>10</v>
      </c>
      <c r="J803">
        <v>15.1</v>
      </c>
      <c r="K803">
        <v>302</v>
      </c>
      <c r="L803" s="1">
        <v>43627</v>
      </c>
      <c r="M803" s="2">
        <v>0.8125</v>
      </c>
      <c r="N803" t="s">
        <v>27</v>
      </c>
      <c r="O803">
        <v>241.6</v>
      </c>
      <c r="P803">
        <v>4.7619047620000003</v>
      </c>
      <c r="Q803">
        <v>60.4</v>
      </c>
      <c r="R803">
        <v>5.3550000000000004</v>
      </c>
      <c r="S803">
        <v>96.078500000000005</v>
      </c>
      <c r="T803">
        <v>19.763300000000001</v>
      </c>
    </row>
    <row r="804" spans="1:20" x14ac:dyDescent="0.3">
      <c r="A804" t="s">
        <v>1264</v>
      </c>
      <c r="B804" t="s">
        <v>29</v>
      </c>
      <c r="C804" t="s">
        <v>1265</v>
      </c>
      <c r="D804" t="s">
        <v>31</v>
      </c>
      <c r="E804" t="s">
        <v>32</v>
      </c>
      <c r="F804" t="s">
        <v>36</v>
      </c>
      <c r="G804" t="s">
        <v>100</v>
      </c>
      <c r="H804">
        <v>67.39</v>
      </c>
      <c r="I804">
        <v>8</v>
      </c>
      <c r="J804">
        <v>26.956</v>
      </c>
      <c r="K804">
        <v>539.12</v>
      </c>
      <c r="L804" s="1">
        <v>43560</v>
      </c>
      <c r="M804" s="2">
        <v>0.55763888888888891</v>
      </c>
      <c r="N804" t="s">
        <v>27</v>
      </c>
      <c r="O804">
        <v>471.73</v>
      </c>
      <c r="P804">
        <v>4.7619047620000003</v>
      </c>
      <c r="Q804">
        <v>67.39</v>
      </c>
      <c r="R804">
        <v>7.2450000000000001</v>
      </c>
      <c r="S804">
        <v>96.078500000000005</v>
      </c>
      <c r="T804">
        <v>19.763300000000001</v>
      </c>
    </row>
    <row r="805" spans="1:20" x14ac:dyDescent="0.3">
      <c r="A805" t="s">
        <v>1266</v>
      </c>
      <c r="B805" t="s">
        <v>21</v>
      </c>
      <c r="C805" t="s">
        <v>680</v>
      </c>
      <c r="D805" t="s">
        <v>23</v>
      </c>
      <c r="E805" t="s">
        <v>24</v>
      </c>
      <c r="F805" t="s">
        <v>25</v>
      </c>
      <c r="G805" t="s">
        <v>100</v>
      </c>
      <c r="H805">
        <v>48.96</v>
      </c>
      <c r="I805">
        <v>13</v>
      </c>
      <c r="J805">
        <v>31.824000000000002</v>
      </c>
      <c r="K805">
        <v>636.48</v>
      </c>
      <c r="L805" s="1">
        <v>43505</v>
      </c>
      <c r="M805" s="2">
        <v>0.47708333333333336</v>
      </c>
      <c r="N805" t="s">
        <v>33</v>
      </c>
      <c r="O805">
        <v>440.64</v>
      </c>
      <c r="P805">
        <v>4.7619047620000003</v>
      </c>
      <c r="Q805">
        <v>195.84</v>
      </c>
      <c r="R805">
        <v>8</v>
      </c>
      <c r="S805">
        <v>96.173500000000004</v>
      </c>
      <c r="T805">
        <v>16.840900000000001</v>
      </c>
    </row>
    <row r="806" spans="1:20" x14ac:dyDescent="0.3">
      <c r="A806" t="s">
        <v>1267</v>
      </c>
      <c r="B806" t="s">
        <v>51</v>
      </c>
      <c r="C806" t="s">
        <v>117</v>
      </c>
      <c r="D806" t="s">
        <v>53</v>
      </c>
      <c r="E806" t="s">
        <v>24</v>
      </c>
      <c r="F806" t="s">
        <v>25</v>
      </c>
      <c r="G806" t="s">
        <v>100</v>
      </c>
      <c r="H806">
        <v>75.59</v>
      </c>
      <c r="I806">
        <v>18</v>
      </c>
      <c r="J806">
        <v>68.031000000000006</v>
      </c>
      <c r="K806">
        <v>1360.62</v>
      </c>
      <c r="L806" s="1">
        <v>43816</v>
      </c>
      <c r="M806" s="2">
        <v>0.46666666666666667</v>
      </c>
      <c r="N806" t="s">
        <v>33</v>
      </c>
      <c r="O806">
        <v>680.31</v>
      </c>
      <c r="P806">
        <v>4.7619047620000003</v>
      </c>
      <c r="Q806">
        <v>680.31</v>
      </c>
      <c r="R806">
        <v>9.6</v>
      </c>
      <c r="S806">
        <v>96.089100000000002</v>
      </c>
      <c r="T806">
        <v>21.9588</v>
      </c>
    </row>
    <row r="807" spans="1:20" x14ac:dyDescent="0.3">
      <c r="A807" t="s">
        <v>1268</v>
      </c>
      <c r="B807" t="s">
        <v>21</v>
      </c>
      <c r="C807" t="s">
        <v>1269</v>
      </c>
      <c r="D807" t="s">
        <v>23</v>
      </c>
      <c r="E807" t="s">
        <v>32</v>
      </c>
      <c r="F807" t="s">
        <v>25</v>
      </c>
      <c r="G807" t="s">
        <v>100</v>
      </c>
      <c r="H807">
        <v>77.47</v>
      </c>
      <c r="I807">
        <v>4</v>
      </c>
      <c r="J807">
        <v>15.494</v>
      </c>
      <c r="K807">
        <v>309.88</v>
      </c>
      <c r="L807" s="1">
        <v>43676</v>
      </c>
      <c r="M807" s="2">
        <v>0.69166666666666665</v>
      </c>
      <c r="N807" t="s">
        <v>33</v>
      </c>
      <c r="O807">
        <v>309.88</v>
      </c>
      <c r="P807">
        <v>4.7619047620000003</v>
      </c>
      <c r="Q807">
        <v>0</v>
      </c>
      <c r="R807">
        <v>4.2</v>
      </c>
      <c r="S807">
        <v>96.173500000000004</v>
      </c>
      <c r="T807">
        <v>16.840900000000001</v>
      </c>
    </row>
    <row r="808" spans="1:20" x14ac:dyDescent="0.3">
      <c r="A808" t="s">
        <v>1270</v>
      </c>
      <c r="B808" t="s">
        <v>21</v>
      </c>
      <c r="C808" t="s">
        <v>1271</v>
      </c>
      <c r="D808" t="s">
        <v>23</v>
      </c>
      <c r="E808" t="s">
        <v>32</v>
      </c>
      <c r="F808" t="s">
        <v>25</v>
      </c>
      <c r="G808" t="s">
        <v>100</v>
      </c>
      <c r="H808">
        <v>93.18</v>
      </c>
      <c r="I808">
        <v>2</v>
      </c>
      <c r="J808">
        <v>9.3179999999999996</v>
      </c>
      <c r="K808">
        <v>186.36</v>
      </c>
      <c r="L808" s="1">
        <v>43745</v>
      </c>
      <c r="M808" s="2">
        <v>0.77847222222222223</v>
      </c>
      <c r="N808" t="s">
        <v>37</v>
      </c>
      <c r="O808">
        <v>186.36</v>
      </c>
      <c r="P808">
        <v>4.7619047620000003</v>
      </c>
      <c r="Q808">
        <v>0</v>
      </c>
      <c r="R808">
        <v>8.5</v>
      </c>
      <c r="S808">
        <v>96.173500000000004</v>
      </c>
      <c r="T808">
        <v>16.840900000000001</v>
      </c>
    </row>
    <row r="809" spans="1:20" x14ac:dyDescent="0.3">
      <c r="A809" t="s">
        <v>1272</v>
      </c>
      <c r="B809" t="s">
        <v>21</v>
      </c>
      <c r="C809" t="s">
        <v>274</v>
      </c>
      <c r="D809" t="s">
        <v>23</v>
      </c>
      <c r="E809" t="s">
        <v>32</v>
      </c>
      <c r="F809" t="s">
        <v>25</v>
      </c>
      <c r="G809" t="s">
        <v>100</v>
      </c>
      <c r="H809">
        <v>50.23</v>
      </c>
      <c r="I809">
        <v>4</v>
      </c>
      <c r="J809">
        <v>10.045999999999999</v>
      </c>
      <c r="K809">
        <v>200.92</v>
      </c>
      <c r="L809" s="1">
        <v>43476</v>
      </c>
      <c r="M809" s="2">
        <v>0.71666666666666667</v>
      </c>
      <c r="N809" t="s">
        <v>33</v>
      </c>
      <c r="O809">
        <v>200.92</v>
      </c>
      <c r="P809">
        <v>4.7619047620000003</v>
      </c>
      <c r="Q809">
        <v>0</v>
      </c>
      <c r="R809">
        <v>9</v>
      </c>
      <c r="S809">
        <v>96.173500000000004</v>
      </c>
      <c r="T809">
        <v>16.840900000000001</v>
      </c>
    </row>
    <row r="810" spans="1:20" x14ac:dyDescent="0.3">
      <c r="A810" t="s">
        <v>1273</v>
      </c>
      <c r="B810" t="s">
        <v>51</v>
      </c>
      <c r="C810" t="s">
        <v>385</v>
      </c>
      <c r="D810" t="s">
        <v>53</v>
      </c>
      <c r="E810" t="s">
        <v>32</v>
      </c>
      <c r="F810" t="s">
        <v>25</v>
      </c>
      <c r="G810" t="s">
        <v>100</v>
      </c>
      <c r="H810">
        <v>17.75</v>
      </c>
      <c r="I810">
        <v>1</v>
      </c>
      <c r="J810">
        <v>0.88749999999999996</v>
      </c>
      <c r="K810">
        <v>17.75</v>
      </c>
      <c r="L810" s="1">
        <v>43774</v>
      </c>
      <c r="M810" s="2">
        <v>0.44305555555555554</v>
      </c>
      <c r="N810" t="s">
        <v>33</v>
      </c>
      <c r="O810">
        <v>17.75</v>
      </c>
      <c r="P810">
        <v>4.7619047620000003</v>
      </c>
      <c r="Q810">
        <v>0</v>
      </c>
      <c r="R810">
        <v>10</v>
      </c>
      <c r="S810">
        <v>96.089100000000002</v>
      </c>
      <c r="T810">
        <v>21.9588</v>
      </c>
    </row>
    <row r="811" spans="1:20" x14ac:dyDescent="0.3">
      <c r="A811" t="s">
        <v>1274</v>
      </c>
      <c r="B811" t="s">
        <v>29</v>
      </c>
      <c r="C811" t="s">
        <v>79</v>
      </c>
      <c r="D811" t="s">
        <v>31</v>
      </c>
      <c r="E811" t="s">
        <v>32</v>
      </c>
      <c r="F811" t="s">
        <v>25</v>
      </c>
      <c r="G811" t="s">
        <v>100</v>
      </c>
      <c r="H811">
        <v>62.18</v>
      </c>
      <c r="I811">
        <v>12</v>
      </c>
      <c r="J811">
        <v>37.308</v>
      </c>
      <c r="K811">
        <v>746.16</v>
      </c>
      <c r="L811" s="1">
        <v>43681</v>
      </c>
      <c r="M811" s="2">
        <v>0.43958333333333333</v>
      </c>
      <c r="N811" t="s">
        <v>27</v>
      </c>
      <c r="O811">
        <v>621.79999999999995</v>
      </c>
      <c r="P811">
        <v>4.7619047620000003</v>
      </c>
      <c r="Q811">
        <v>124.36</v>
      </c>
      <c r="R811">
        <v>6.3</v>
      </c>
      <c r="S811">
        <v>96.078500000000005</v>
      </c>
      <c r="T811">
        <v>19.763300000000001</v>
      </c>
    </row>
    <row r="812" spans="1:20" x14ac:dyDescent="0.3">
      <c r="A812" t="s">
        <v>1275</v>
      </c>
      <c r="B812" t="s">
        <v>51</v>
      </c>
      <c r="C812" t="s">
        <v>479</v>
      </c>
      <c r="D812" t="s">
        <v>53</v>
      </c>
      <c r="E812" t="s">
        <v>32</v>
      </c>
      <c r="F812" t="s">
        <v>36</v>
      </c>
      <c r="G812" t="s">
        <v>100</v>
      </c>
      <c r="H812">
        <v>10.75</v>
      </c>
      <c r="I812">
        <v>11</v>
      </c>
      <c r="J812">
        <v>5.9124999999999996</v>
      </c>
      <c r="K812">
        <v>118.25</v>
      </c>
      <c r="L812" s="1">
        <v>43731</v>
      </c>
      <c r="M812" s="2">
        <v>0.60972222222222228</v>
      </c>
      <c r="N812" t="s">
        <v>27</v>
      </c>
      <c r="O812">
        <v>86</v>
      </c>
      <c r="P812">
        <v>4.7619047620000003</v>
      </c>
      <c r="Q812">
        <v>32.25</v>
      </c>
      <c r="R812">
        <v>7.44</v>
      </c>
      <c r="S812">
        <v>96.089100000000002</v>
      </c>
      <c r="T812">
        <v>21.9588</v>
      </c>
    </row>
    <row r="813" spans="1:20" x14ac:dyDescent="0.3">
      <c r="A813" t="s">
        <v>1276</v>
      </c>
      <c r="B813" t="s">
        <v>21</v>
      </c>
      <c r="C813" t="s">
        <v>1277</v>
      </c>
      <c r="D813" t="s">
        <v>23</v>
      </c>
      <c r="E813" t="s">
        <v>32</v>
      </c>
      <c r="F813" t="s">
        <v>25</v>
      </c>
      <c r="G813" t="s">
        <v>100</v>
      </c>
      <c r="H813">
        <v>40.26</v>
      </c>
      <c r="I813">
        <v>10</v>
      </c>
      <c r="J813">
        <v>20.13</v>
      </c>
      <c r="K813">
        <v>402.6</v>
      </c>
      <c r="L813" s="1">
        <v>43626</v>
      </c>
      <c r="M813" s="2">
        <v>0.75416666666666665</v>
      </c>
      <c r="N813" t="s">
        <v>37</v>
      </c>
      <c r="O813">
        <v>402.6</v>
      </c>
      <c r="P813">
        <v>4.7619047620000003</v>
      </c>
      <c r="Q813">
        <v>0</v>
      </c>
      <c r="R813">
        <v>5</v>
      </c>
      <c r="S813">
        <v>96.173500000000004</v>
      </c>
      <c r="T813">
        <v>16.840900000000001</v>
      </c>
    </row>
    <row r="814" spans="1:20" x14ac:dyDescent="0.3">
      <c r="A814" t="s">
        <v>1278</v>
      </c>
      <c r="B814" t="s">
        <v>29</v>
      </c>
      <c r="C814" t="s">
        <v>1279</v>
      </c>
      <c r="D814" t="s">
        <v>31</v>
      </c>
      <c r="E814" t="s">
        <v>24</v>
      </c>
      <c r="F814" t="s">
        <v>25</v>
      </c>
      <c r="G814" t="s">
        <v>100</v>
      </c>
      <c r="H814">
        <v>64.97</v>
      </c>
      <c r="I814">
        <v>8</v>
      </c>
      <c r="J814">
        <v>25.988</v>
      </c>
      <c r="K814">
        <v>519.76</v>
      </c>
      <c r="L814" s="1">
        <v>43751</v>
      </c>
      <c r="M814" s="2">
        <v>0.53611111111111109</v>
      </c>
      <c r="N814" t="s">
        <v>37</v>
      </c>
      <c r="O814">
        <v>324.85000000000002</v>
      </c>
      <c r="P814">
        <v>4.7619047620000003</v>
      </c>
      <c r="Q814">
        <v>194.91</v>
      </c>
      <c r="R814">
        <v>6.8250000000000002</v>
      </c>
      <c r="S814">
        <v>96.078500000000005</v>
      </c>
      <c r="T814">
        <v>19.763300000000001</v>
      </c>
    </row>
    <row r="815" spans="1:20" x14ac:dyDescent="0.3">
      <c r="A815" t="s">
        <v>1280</v>
      </c>
      <c r="B815" t="s">
        <v>21</v>
      </c>
      <c r="C815" t="s">
        <v>397</v>
      </c>
      <c r="D815" t="s">
        <v>23</v>
      </c>
      <c r="E815" t="s">
        <v>32</v>
      </c>
      <c r="F815" t="s">
        <v>36</v>
      </c>
      <c r="G815" t="s">
        <v>100</v>
      </c>
      <c r="H815">
        <v>95.15</v>
      </c>
      <c r="I815">
        <v>1</v>
      </c>
      <c r="J815">
        <v>4.7575000000000003</v>
      </c>
      <c r="K815">
        <v>95.15</v>
      </c>
      <c r="L815" s="1">
        <v>43509</v>
      </c>
      <c r="M815" s="2">
        <v>0.58333333333333337</v>
      </c>
      <c r="N815" t="s">
        <v>33</v>
      </c>
      <c r="O815">
        <v>95.15</v>
      </c>
      <c r="P815">
        <v>4.7619047620000003</v>
      </c>
      <c r="Q815">
        <v>0</v>
      </c>
      <c r="R815">
        <v>6</v>
      </c>
      <c r="S815">
        <v>96.173500000000004</v>
      </c>
      <c r="T815">
        <v>16.840900000000001</v>
      </c>
    </row>
    <row r="816" spans="1:20" x14ac:dyDescent="0.3">
      <c r="A816" t="s">
        <v>1281</v>
      </c>
      <c r="B816" t="s">
        <v>21</v>
      </c>
      <c r="C816" t="s">
        <v>1282</v>
      </c>
      <c r="D816" t="s">
        <v>23</v>
      </c>
      <c r="E816" t="s">
        <v>24</v>
      </c>
      <c r="F816" t="s">
        <v>25</v>
      </c>
      <c r="G816" t="s">
        <v>100</v>
      </c>
      <c r="H816">
        <v>48.62</v>
      </c>
      <c r="I816">
        <v>11</v>
      </c>
      <c r="J816">
        <v>26.741</v>
      </c>
      <c r="K816">
        <v>534.82000000000005</v>
      </c>
      <c r="L816" s="1">
        <v>43603</v>
      </c>
      <c r="M816" s="2">
        <v>0.45624999999999999</v>
      </c>
      <c r="N816" t="s">
        <v>33</v>
      </c>
      <c r="O816">
        <v>388.96</v>
      </c>
      <c r="P816">
        <v>4.7619047620000003</v>
      </c>
      <c r="Q816">
        <v>145.86000000000001</v>
      </c>
      <c r="R816">
        <v>5</v>
      </c>
      <c r="S816">
        <v>96.173500000000004</v>
      </c>
      <c r="T816">
        <v>16.840900000000001</v>
      </c>
    </row>
    <row r="817" spans="1:20" x14ac:dyDescent="0.3">
      <c r="A817" t="s">
        <v>1283</v>
      </c>
      <c r="B817" t="s">
        <v>51</v>
      </c>
      <c r="C817" t="s">
        <v>948</v>
      </c>
      <c r="D817" t="s">
        <v>53</v>
      </c>
      <c r="E817" t="s">
        <v>32</v>
      </c>
      <c r="F817" t="s">
        <v>25</v>
      </c>
      <c r="G817" t="s">
        <v>63</v>
      </c>
      <c r="H817">
        <v>53.21</v>
      </c>
      <c r="I817">
        <v>11</v>
      </c>
      <c r="J817">
        <v>29.265499999999999</v>
      </c>
      <c r="K817">
        <v>585.30999999999995</v>
      </c>
      <c r="L817" s="1">
        <v>43822</v>
      </c>
      <c r="M817" s="2">
        <v>0.69791666666666663</v>
      </c>
      <c r="N817" t="s">
        <v>27</v>
      </c>
      <c r="O817">
        <v>425.68</v>
      </c>
      <c r="P817">
        <v>4.7619047620000003</v>
      </c>
      <c r="Q817">
        <v>159.63</v>
      </c>
      <c r="R817">
        <v>6</v>
      </c>
      <c r="S817">
        <v>96.089100000000002</v>
      </c>
      <c r="T817">
        <v>21.9588</v>
      </c>
    </row>
    <row r="818" spans="1:20" x14ac:dyDescent="0.3">
      <c r="A818" t="s">
        <v>1284</v>
      </c>
      <c r="B818" t="s">
        <v>29</v>
      </c>
      <c r="C818" t="s">
        <v>1285</v>
      </c>
      <c r="D818" t="s">
        <v>31</v>
      </c>
      <c r="E818" t="s">
        <v>32</v>
      </c>
      <c r="F818" t="s">
        <v>25</v>
      </c>
      <c r="G818" t="s">
        <v>100</v>
      </c>
      <c r="H818">
        <v>45.44</v>
      </c>
      <c r="I818">
        <v>8</v>
      </c>
      <c r="J818">
        <v>18.175999999999998</v>
      </c>
      <c r="K818">
        <v>363.52</v>
      </c>
      <c r="L818" s="1">
        <v>43764</v>
      </c>
      <c r="M818" s="2">
        <v>0.46875</v>
      </c>
      <c r="N818" t="s">
        <v>33</v>
      </c>
      <c r="O818">
        <v>318.08</v>
      </c>
      <c r="P818">
        <v>4.7619047620000003</v>
      </c>
      <c r="Q818">
        <v>45.44</v>
      </c>
      <c r="R818">
        <v>9.66</v>
      </c>
      <c r="S818">
        <v>96.078500000000005</v>
      </c>
      <c r="T818">
        <v>19.763300000000001</v>
      </c>
    </row>
    <row r="819" spans="1:20" x14ac:dyDescent="0.3">
      <c r="A819" t="s">
        <v>1286</v>
      </c>
      <c r="C819" t="s">
        <v>1016</v>
      </c>
      <c r="D819" t="s">
        <v>23</v>
      </c>
      <c r="E819" t="s">
        <v>32</v>
      </c>
      <c r="F819" t="s">
        <v>36</v>
      </c>
      <c r="G819" t="s">
        <v>63</v>
      </c>
      <c r="H819">
        <v>33.880000000000003</v>
      </c>
      <c r="I819">
        <v>8</v>
      </c>
      <c r="J819">
        <v>13.552</v>
      </c>
      <c r="K819">
        <v>271.04000000000002</v>
      </c>
      <c r="L819" s="1">
        <v>43800</v>
      </c>
      <c r="M819" s="2">
        <v>0.85347222222222219</v>
      </c>
      <c r="N819" t="s">
        <v>27</v>
      </c>
      <c r="O819">
        <v>271.04000000000002</v>
      </c>
      <c r="P819">
        <v>4.7619047620000003</v>
      </c>
      <c r="Q819">
        <v>0</v>
      </c>
      <c r="R819">
        <v>9.6</v>
      </c>
      <c r="S819">
        <v>96.173500000000004</v>
      </c>
      <c r="T819">
        <v>16.840900000000001</v>
      </c>
    </row>
    <row r="820" spans="1:20" x14ac:dyDescent="0.3">
      <c r="A820" t="s">
        <v>1287</v>
      </c>
      <c r="C820" t="s">
        <v>382</v>
      </c>
      <c r="D820" t="s">
        <v>53</v>
      </c>
      <c r="E820" t="s">
        <v>24</v>
      </c>
      <c r="F820" t="s">
        <v>36</v>
      </c>
      <c r="G820" t="s">
        <v>26</v>
      </c>
      <c r="H820">
        <v>96.16</v>
      </c>
      <c r="I820">
        <v>8</v>
      </c>
      <c r="J820">
        <v>38.463999999999999</v>
      </c>
      <c r="K820">
        <v>769.28</v>
      </c>
      <c r="L820" s="1">
        <v>43663</v>
      </c>
      <c r="M820" s="2">
        <v>0.8354166666666667</v>
      </c>
      <c r="N820" t="s">
        <v>37</v>
      </c>
      <c r="O820">
        <v>384.64</v>
      </c>
      <c r="P820">
        <v>4.7619047620000003</v>
      </c>
      <c r="Q820">
        <v>384.64</v>
      </c>
      <c r="R820">
        <v>10</v>
      </c>
      <c r="S820">
        <v>96.089100000000002</v>
      </c>
      <c r="T820">
        <v>21.9588</v>
      </c>
    </row>
    <row r="821" spans="1:20" x14ac:dyDescent="0.3">
      <c r="A821" t="s">
        <v>1288</v>
      </c>
      <c r="C821" t="s">
        <v>134</v>
      </c>
      <c r="D821" t="s">
        <v>53</v>
      </c>
      <c r="E821" t="s">
        <v>24</v>
      </c>
      <c r="F821" t="s">
        <v>36</v>
      </c>
      <c r="G821" t="s">
        <v>63</v>
      </c>
      <c r="H821">
        <v>47.16</v>
      </c>
      <c r="I821">
        <v>10</v>
      </c>
      <c r="J821">
        <v>23.58</v>
      </c>
      <c r="K821">
        <v>471.6</v>
      </c>
      <c r="L821" s="1">
        <v>43626</v>
      </c>
      <c r="M821" s="2">
        <v>0.60763888888888884</v>
      </c>
      <c r="N821" t="s">
        <v>37</v>
      </c>
      <c r="O821">
        <v>235.8</v>
      </c>
      <c r="P821">
        <v>4.7619047620000003</v>
      </c>
      <c r="Q821">
        <v>235.8</v>
      </c>
      <c r="S821">
        <v>96.089100000000002</v>
      </c>
      <c r="T821">
        <v>21.9588</v>
      </c>
    </row>
    <row r="822" spans="1:20" x14ac:dyDescent="0.3">
      <c r="A822" t="s">
        <v>1289</v>
      </c>
      <c r="C822" t="s">
        <v>498</v>
      </c>
      <c r="D822" t="s">
        <v>53</v>
      </c>
      <c r="E822" t="s">
        <v>32</v>
      </c>
      <c r="F822" t="s">
        <v>36</v>
      </c>
      <c r="G822" t="s">
        <v>60</v>
      </c>
      <c r="H822">
        <v>52.89</v>
      </c>
      <c r="I822">
        <v>6</v>
      </c>
      <c r="J822">
        <v>15.867000000000001</v>
      </c>
      <c r="K822">
        <v>317.33999999999997</v>
      </c>
      <c r="L822" s="1">
        <v>43524</v>
      </c>
      <c r="M822" s="2">
        <v>0.68888888888888888</v>
      </c>
      <c r="N822" t="s">
        <v>27</v>
      </c>
      <c r="O822">
        <v>211.56</v>
      </c>
      <c r="P822">
        <v>4.7619047620000003</v>
      </c>
      <c r="Q822">
        <v>105.78</v>
      </c>
      <c r="S822">
        <v>96.089100000000002</v>
      </c>
      <c r="T822">
        <v>21.9588</v>
      </c>
    </row>
    <row r="823" spans="1:20" x14ac:dyDescent="0.3">
      <c r="A823" t="s">
        <v>1290</v>
      </c>
      <c r="C823" t="s">
        <v>994</v>
      </c>
      <c r="D823" t="s">
        <v>23</v>
      </c>
      <c r="E823" t="s">
        <v>24</v>
      </c>
      <c r="F823" t="s">
        <v>25</v>
      </c>
      <c r="G823" t="s">
        <v>77</v>
      </c>
      <c r="H823">
        <v>47.68</v>
      </c>
      <c r="I823">
        <v>3</v>
      </c>
      <c r="J823">
        <v>7.1520000000000001</v>
      </c>
      <c r="K823">
        <v>143.04</v>
      </c>
      <c r="L823" s="1">
        <v>43702</v>
      </c>
      <c r="M823" s="2">
        <v>0.4236111111111111</v>
      </c>
      <c r="N823" t="s">
        <v>37</v>
      </c>
      <c r="O823">
        <v>95.36</v>
      </c>
      <c r="P823">
        <v>4.7619047620000003</v>
      </c>
      <c r="Q823">
        <v>47.68</v>
      </c>
      <c r="S823">
        <v>96.173500000000004</v>
      </c>
      <c r="T823">
        <v>16.840900000000001</v>
      </c>
    </row>
    <row r="824" spans="1:20" x14ac:dyDescent="0.3">
      <c r="A824" t="s">
        <v>1291</v>
      </c>
      <c r="B824" t="s">
        <v>29</v>
      </c>
      <c r="C824" t="s">
        <v>1292</v>
      </c>
      <c r="D824" t="s">
        <v>31</v>
      </c>
      <c r="E824" t="s">
        <v>24</v>
      </c>
      <c r="F824" t="s">
        <v>36</v>
      </c>
      <c r="G824" t="s">
        <v>68</v>
      </c>
      <c r="H824">
        <v>10.17</v>
      </c>
      <c r="I824">
        <v>1</v>
      </c>
      <c r="J824">
        <v>0.50849999999999995</v>
      </c>
      <c r="K824">
        <v>10.17</v>
      </c>
      <c r="L824" s="1">
        <v>43733</v>
      </c>
      <c r="M824" s="2">
        <v>0.59375</v>
      </c>
      <c r="N824" t="s">
        <v>33</v>
      </c>
      <c r="O824">
        <v>10.17</v>
      </c>
      <c r="P824">
        <v>4.7619047620000003</v>
      </c>
      <c r="Q824">
        <v>0</v>
      </c>
      <c r="S824">
        <v>96.078500000000005</v>
      </c>
      <c r="T824">
        <v>19.763300000000001</v>
      </c>
    </row>
    <row r="825" spans="1:20" x14ac:dyDescent="0.3">
      <c r="A825" t="s">
        <v>1293</v>
      </c>
      <c r="B825" t="s">
        <v>21</v>
      </c>
      <c r="C825" t="s">
        <v>1294</v>
      </c>
      <c r="D825" t="s">
        <v>23</v>
      </c>
      <c r="E825" t="s">
        <v>32</v>
      </c>
      <c r="F825" t="s">
        <v>25</v>
      </c>
      <c r="G825" t="s">
        <v>68</v>
      </c>
      <c r="H825">
        <v>68.709999999999994</v>
      </c>
      <c r="I825">
        <v>3</v>
      </c>
      <c r="J825">
        <v>10.3065</v>
      </c>
      <c r="K825">
        <v>206.13</v>
      </c>
      <c r="L825" s="1">
        <v>43756</v>
      </c>
      <c r="M825" s="2">
        <v>0.4201388888888889</v>
      </c>
      <c r="N825" t="s">
        <v>33</v>
      </c>
      <c r="O825">
        <v>206.13</v>
      </c>
      <c r="P825">
        <v>4.7619047620000003</v>
      </c>
      <c r="Q825">
        <v>0</v>
      </c>
      <c r="S825">
        <v>96.173500000000004</v>
      </c>
      <c r="T825">
        <v>16.840900000000001</v>
      </c>
    </row>
    <row r="826" spans="1:20" x14ac:dyDescent="0.3">
      <c r="A826" t="s">
        <v>1295</v>
      </c>
      <c r="B826" t="s">
        <v>51</v>
      </c>
      <c r="C826" t="s">
        <v>123</v>
      </c>
      <c r="D826" t="s">
        <v>53</v>
      </c>
      <c r="E826" t="s">
        <v>24</v>
      </c>
      <c r="F826" t="s">
        <v>25</v>
      </c>
      <c r="G826" t="s">
        <v>68</v>
      </c>
      <c r="H826">
        <v>60.08</v>
      </c>
      <c r="I826">
        <v>14</v>
      </c>
      <c r="J826">
        <v>42.055999999999997</v>
      </c>
      <c r="K826">
        <v>841.12</v>
      </c>
      <c r="L826" s="1">
        <v>43746</v>
      </c>
      <c r="M826" s="2">
        <v>0.48333333333333334</v>
      </c>
      <c r="N826" t="s">
        <v>37</v>
      </c>
      <c r="O826">
        <v>420.56</v>
      </c>
      <c r="P826">
        <v>4.7619047620000003</v>
      </c>
      <c r="Q826">
        <v>420.56</v>
      </c>
      <c r="S826">
        <v>96.089100000000002</v>
      </c>
      <c r="T826">
        <v>21.9588</v>
      </c>
    </row>
    <row r="827" spans="1:20" x14ac:dyDescent="0.3">
      <c r="A827" t="s">
        <v>1296</v>
      </c>
      <c r="B827" t="s">
        <v>21</v>
      </c>
      <c r="C827" t="s">
        <v>1297</v>
      </c>
      <c r="D827" t="s">
        <v>23</v>
      </c>
      <c r="E827" t="s">
        <v>24</v>
      </c>
      <c r="F827" t="s">
        <v>25</v>
      </c>
      <c r="G827" t="s">
        <v>68</v>
      </c>
      <c r="H827">
        <v>22.01</v>
      </c>
      <c r="I827">
        <v>6</v>
      </c>
      <c r="J827">
        <v>6.6029999999999998</v>
      </c>
      <c r="K827">
        <v>132.06</v>
      </c>
      <c r="L827" s="1">
        <v>43630</v>
      </c>
      <c r="M827" s="2">
        <v>0.76041666666666663</v>
      </c>
      <c r="N827" t="s">
        <v>37</v>
      </c>
      <c r="O827">
        <v>88.04</v>
      </c>
      <c r="P827">
        <v>4.7619047620000003</v>
      </c>
      <c r="Q827">
        <v>44.02</v>
      </c>
      <c r="S827">
        <v>96.173500000000004</v>
      </c>
      <c r="T827">
        <v>16.840900000000001</v>
      </c>
    </row>
    <row r="828" spans="1:20" x14ac:dyDescent="0.3">
      <c r="A828" t="s">
        <v>1298</v>
      </c>
      <c r="B828" t="s">
        <v>51</v>
      </c>
      <c r="C828" t="s">
        <v>104</v>
      </c>
      <c r="D828" t="s">
        <v>53</v>
      </c>
      <c r="E828" t="s">
        <v>24</v>
      </c>
      <c r="F828" t="s">
        <v>25</v>
      </c>
      <c r="G828" t="s">
        <v>68</v>
      </c>
      <c r="H828">
        <v>72.11</v>
      </c>
      <c r="I828">
        <v>18</v>
      </c>
      <c r="J828">
        <v>64.899000000000001</v>
      </c>
      <c r="K828">
        <v>1297.98</v>
      </c>
      <c r="L828" s="1">
        <v>43767</v>
      </c>
      <c r="M828" s="2">
        <v>0.57847222222222228</v>
      </c>
      <c r="N828" t="s">
        <v>37</v>
      </c>
      <c r="O828">
        <v>648.99</v>
      </c>
      <c r="P828">
        <v>4.7619047620000003</v>
      </c>
      <c r="Q828">
        <v>648.99</v>
      </c>
      <c r="S828">
        <v>96.089100000000002</v>
      </c>
      <c r="T828">
        <v>21.9588</v>
      </c>
    </row>
    <row r="829" spans="1:20" x14ac:dyDescent="0.3">
      <c r="A829" t="s">
        <v>1299</v>
      </c>
      <c r="B829" t="s">
        <v>21</v>
      </c>
      <c r="C829" t="s">
        <v>1300</v>
      </c>
      <c r="D829" t="s">
        <v>23</v>
      </c>
      <c r="E829" t="s">
        <v>24</v>
      </c>
      <c r="F829" t="s">
        <v>36</v>
      </c>
      <c r="G829" t="s">
        <v>68</v>
      </c>
      <c r="H829">
        <v>41.28</v>
      </c>
      <c r="I829">
        <v>4</v>
      </c>
      <c r="J829">
        <v>8.2560000000000002</v>
      </c>
      <c r="K829">
        <v>165.12</v>
      </c>
      <c r="L829" s="1">
        <v>43815</v>
      </c>
      <c r="M829" s="2">
        <v>0.77569444444444446</v>
      </c>
      <c r="N829" t="s">
        <v>37</v>
      </c>
      <c r="O829">
        <v>123.84</v>
      </c>
      <c r="P829">
        <v>4.7619047620000003</v>
      </c>
      <c r="Q829">
        <v>41.28</v>
      </c>
      <c r="S829">
        <v>96.173500000000004</v>
      </c>
      <c r="T829">
        <v>16.840900000000001</v>
      </c>
    </row>
    <row r="830" spans="1:20" x14ac:dyDescent="0.3">
      <c r="A830" t="s">
        <v>1301</v>
      </c>
      <c r="B830" t="s">
        <v>29</v>
      </c>
      <c r="C830" t="s">
        <v>534</v>
      </c>
      <c r="D830" t="s">
        <v>31</v>
      </c>
      <c r="E830" t="s">
        <v>32</v>
      </c>
      <c r="F830" t="s">
        <v>36</v>
      </c>
      <c r="G830" t="s">
        <v>68</v>
      </c>
      <c r="H830">
        <v>64.95</v>
      </c>
      <c r="I830">
        <v>12</v>
      </c>
      <c r="J830">
        <v>38.97</v>
      </c>
      <c r="K830">
        <v>779.4</v>
      </c>
      <c r="L830" s="1">
        <v>43467</v>
      </c>
      <c r="M830" s="2">
        <v>0.76875000000000004</v>
      </c>
      <c r="N830" t="s">
        <v>33</v>
      </c>
      <c r="O830">
        <v>649.5</v>
      </c>
      <c r="P830">
        <v>4.7619047620000003</v>
      </c>
      <c r="Q830">
        <v>129.9</v>
      </c>
      <c r="S830">
        <v>96.078500000000005</v>
      </c>
      <c r="T830">
        <v>19.763300000000001</v>
      </c>
    </row>
    <row r="831" spans="1:20" x14ac:dyDescent="0.3">
      <c r="A831" t="s">
        <v>1302</v>
      </c>
      <c r="B831" t="s">
        <v>21</v>
      </c>
      <c r="C831" t="s">
        <v>1146</v>
      </c>
      <c r="D831" t="s">
        <v>23</v>
      </c>
      <c r="E831" t="s">
        <v>24</v>
      </c>
      <c r="F831" t="s">
        <v>25</v>
      </c>
      <c r="G831" t="s">
        <v>68</v>
      </c>
      <c r="H831">
        <v>74.22</v>
      </c>
      <c r="I831">
        <v>14</v>
      </c>
      <c r="J831">
        <v>51.954000000000001</v>
      </c>
      <c r="K831">
        <v>1039.08</v>
      </c>
      <c r="L831" s="1">
        <v>43815</v>
      </c>
      <c r="M831" s="2">
        <v>0.61250000000000004</v>
      </c>
      <c r="N831" t="s">
        <v>37</v>
      </c>
      <c r="O831">
        <v>742.2</v>
      </c>
      <c r="P831">
        <v>4.7619047620000003</v>
      </c>
      <c r="Q831">
        <v>296.88</v>
      </c>
      <c r="S831">
        <v>96.173500000000004</v>
      </c>
      <c r="T831">
        <v>16.840900000000001</v>
      </c>
    </row>
    <row r="832" spans="1:20" x14ac:dyDescent="0.3">
      <c r="A832" t="s">
        <v>1303</v>
      </c>
      <c r="B832" t="s">
        <v>21</v>
      </c>
      <c r="C832" t="s">
        <v>311</v>
      </c>
      <c r="D832" t="s">
        <v>23</v>
      </c>
      <c r="E832" t="s">
        <v>32</v>
      </c>
      <c r="F832" t="s">
        <v>36</v>
      </c>
      <c r="G832" t="s">
        <v>68</v>
      </c>
      <c r="H832">
        <v>10.56</v>
      </c>
      <c r="I832">
        <v>8</v>
      </c>
      <c r="J832">
        <v>4.2240000000000002</v>
      </c>
      <c r="K832">
        <v>84.48</v>
      </c>
      <c r="L832" s="1">
        <v>43743</v>
      </c>
      <c r="M832" s="2">
        <v>0.73819444444444449</v>
      </c>
      <c r="N832" t="s">
        <v>33</v>
      </c>
      <c r="O832">
        <v>84.48</v>
      </c>
      <c r="P832">
        <v>4.7619047620000003</v>
      </c>
      <c r="Q832">
        <v>0</v>
      </c>
      <c r="S832">
        <v>96.173500000000004</v>
      </c>
      <c r="T832">
        <v>16.840900000000001</v>
      </c>
    </row>
    <row r="833" spans="1:20" x14ac:dyDescent="0.3">
      <c r="A833" t="s">
        <v>1304</v>
      </c>
      <c r="B833" t="s">
        <v>51</v>
      </c>
      <c r="C833" t="s">
        <v>382</v>
      </c>
      <c r="D833" t="s">
        <v>53</v>
      </c>
      <c r="E833" t="s">
        <v>32</v>
      </c>
      <c r="F833" t="s">
        <v>36</v>
      </c>
      <c r="G833" t="s">
        <v>68</v>
      </c>
      <c r="H833">
        <v>62.57</v>
      </c>
      <c r="I833">
        <v>6</v>
      </c>
      <c r="J833">
        <v>18.771000000000001</v>
      </c>
      <c r="K833">
        <v>375.42</v>
      </c>
      <c r="L833" s="1">
        <v>43796</v>
      </c>
      <c r="M833" s="2">
        <v>0.77569444444444446</v>
      </c>
      <c r="N833" t="s">
        <v>33</v>
      </c>
      <c r="O833">
        <v>250.28</v>
      </c>
      <c r="P833">
        <v>4.7619047620000003</v>
      </c>
      <c r="Q833">
        <v>125.14</v>
      </c>
      <c r="S833">
        <v>96.089100000000002</v>
      </c>
      <c r="T833">
        <v>21.9588</v>
      </c>
    </row>
    <row r="834" spans="1:20" x14ac:dyDescent="0.3">
      <c r="A834" t="s">
        <v>1305</v>
      </c>
      <c r="B834" t="s">
        <v>51</v>
      </c>
      <c r="C834" t="s">
        <v>356</v>
      </c>
      <c r="D834" t="s">
        <v>53</v>
      </c>
      <c r="E834" t="s">
        <v>24</v>
      </c>
      <c r="F834" t="s">
        <v>25</v>
      </c>
      <c r="G834" t="s">
        <v>68</v>
      </c>
      <c r="H834">
        <v>11.85</v>
      </c>
      <c r="I834">
        <v>15</v>
      </c>
      <c r="J834">
        <v>8.8874999999999993</v>
      </c>
      <c r="K834">
        <v>177.75</v>
      </c>
      <c r="L834" s="1">
        <v>43730</v>
      </c>
      <c r="M834" s="2">
        <v>0.69027777777777777</v>
      </c>
      <c r="N834" t="s">
        <v>33</v>
      </c>
      <c r="O834">
        <v>94.8</v>
      </c>
      <c r="P834">
        <v>4.7619047620000003</v>
      </c>
      <c r="Q834">
        <v>82.95</v>
      </c>
      <c r="S834">
        <v>96.089100000000002</v>
      </c>
      <c r="T834">
        <v>21.9588</v>
      </c>
    </row>
    <row r="835" spans="1:20" x14ac:dyDescent="0.3">
      <c r="A835" t="s">
        <v>1306</v>
      </c>
      <c r="B835" t="s">
        <v>21</v>
      </c>
      <c r="C835" t="s">
        <v>1307</v>
      </c>
      <c r="D835" t="s">
        <v>23</v>
      </c>
      <c r="E835" t="s">
        <v>24</v>
      </c>
      <c r="F835" t="s">
        <v>36</v>
      </c>
      <c r="G835" t="s">
        <v>26</v>
      </c>
      <c r="H835">
        <v>91.3</v>
      </c>
      <c r="I835">
        <v>1</v>
      </c>
      <c r="J835">
        <v>4.5650000000000004</v>
      </c>
      <c r="K835">
        <v>91.3</v>
      </c>
      <c r="L835" s="1">
        <v>43766</v>
      </c>
      <c r="M835" s="2">
        <v>0.61250000000000004</v>
      </c>
      <c r="N835" t="s">
        <v>27</v>
      </c>
      <c r="O835">
        <v>91.3</v>
      </c>
      <c r="P835">
        <v>4.7619047620000003</v>
      </c>
      <c r="Q835">
        <v>0</v>
      </c>
      <c r="R835">
        <v>9.1999999999999993</v>
      </c>
      <c r="S835">
        <v>96.173500000000004</v>
      </c>
      <c r="T835">
        <v>16.840900000000001</v>
      </c>
    </row>
    <row r="836" spans="1:20" x14ac:dyDescent="0.3">
      <c r="A836" t="s">
        <v>1308</v>
      </c>
      <c r="B836" t="s">
        <v>51</v>
      </c>
      <c r="C836" t="s">
        <v>123</v>
      </c>
      <c r="D836" t="s">
        <v>53</v>
      </c>
      <c r="E836" t="s">
        <v>32</v>
      </c>
      <c r="F836" t="s">
        <v>25</v>
      </c>
      <c r="G836" t="s">
        <v>77</v>
      </c>
      <c r="H836">
        <v>40.729999999999997</v>
      </c>
      <c r="I836">
        <v>10</v>
      </c>
      <c r="J836">
        <v>20.364999999999998</v>
      </c>
      <c r="K836">
        <v>407.3</v>
      </c>
      <c r="L836" s="1">
        <v>43805</v>
      </c>
      <c r="M836" s="2">
        <v>0.45902777777777776</v>
      </c>
      <c r="N836" t="s">
        <v>27</v>
      </c>
      <c r="O836">
        <v>285.11</v>
      </c>
      <c r="P836">
        <v>4.7619047620000003</v>
      </c>
      <c r="Q836">
        <v>122.19</v>
      </c>
      <c r="R836">
        <v>6.48</v>
      </c>
      <c r="S836">
        <v>96.089100000000002</v>
      </c>
      <c r="T836">
        <v>21.9588</v>
      </c>
    </row>
    <row r="837" spans="1:20" x14ac:dyDescent="0.3">
      <c r="A837" t="s">
        <v>1309</v>
      </c>
      <c r="B837" t="s">
        <v>21</v>
      </c>
      <c r="C837" t="s">
        <v>1132</v>
      </c>
      <c r="D837" t="s">
        <v>23</v>
      </c>
      <c r="E837" t="s">
        <v>32</v>
      </c>
      <c r="F837" t="s">
        <v>36</v>
      </c>
      <c r="G837" t="s">
        <v>100</v>
      </c>
      <c r="H837">
        <v>52.38</v>
      </c>
      <c r="I837">
        <v>1</v>
      </c>
      <c r="J837">
        <v>2.6190000000000002</v>
      </c>
      <c r="K837">
        <v>52.38</v>
      </c>
      <c r="L837" s="1">
        <v>43673</v>
      </c>
      <c r="M837" s="2">
        <v>0.82222222222222219</v>
      </c>
      <c r="N837" t="s">
        <v>33</v>
      </c>
      <c r="O837">
        <v>52.38</v>
      </c>
      <c r="P837">
        <v>4.7619047620000003</v>
      </c>
      <c r="Q837">
        <v>0</v>
      </c>
      <c r="R837">
        <v>5.8</v>
      </c>
      <c r="S837">
        <v>96.173500000000004</v>
      </c>
      <c r="T837">
        <v>16.840900000000001</v>
      </c>
    </row>
    <row r="838" spans="1:20" x14ac:dyDescent="0.3">
      <c r="A838" t="s">
        <v>1310</v>
      </c>
      <c r="B838" t="s">
        <v>21</v>
      </c>
      <c r="C838" t="s">
        <v>185</v>
      </c>
      <c r="D838" t="s">
        <v>23</v>
      </c>
      <c r="E838" t="s">
        <v>32</v>
      </c>
      <c r="F838" t="s">
        <v>36</v>
      </c>
      <c r="G838" t="s">
        <v>100</v>
      </c>
      <c r="H838">
        <v>38.54</v>
      </c>
      <c r="I838">
        <v>5</v>
      </c>
      <c r="J838">
        <v>9.6349999999999998</v>
      </c>
      <c r="K838">
        <v>192.7</v>
      </c>
      <c r="L838" s="1">
        <v>43511</v>
      </c>
      <c r="M838" s="2">
        <v>0.56527777777777777</v>
      </c>
      <c r="N838" t="s">
        <v>27</v>
      </c>
      <c r="O838">
        <v>192.7</v>
      </c>
      <c r="P838">
        <v>4.7619047620000003</v>
      </c>
      <c r="Q838">
        <v>0</v>
      </c>
      <c r="R838">
        <v>5.6</v>
      </c>
      <c r="S838">
        <v>96.173500000000004</v>
      </c>
      <c r="T838">
        <v>16.840900000000001</v>
      </c>
    </row>
    <row r="839" spans="1:20" x14ac:dyDescent="0.3">
      <c r="A839" t="s">
        <v>1311</v>
      </c>
      <c r="B839" t="s">
        <v>51</v>
      </c>
      <c r="C839" t="s">
        <v>83</v>
      </c>
      <c r="D839" t="s">
        <v>53</v>
      </c>
      <c r="E839" t="s">
        <v>32</v>
      </c>
      <c r="F839" t="s">
        <v>36</v>
      </c>
      <c r="G839" t="s">
        <v>68</v>
      </c>
      <c r="H839">
        <v>44.63</v>
      </c>
      <c r="I839">
        <v>8</v>
      </c>
      <c r="J839">
        <v>17.852</v>
      </c>
      <c r="K839">
        <v>357.04</v>
      </c>
      <c r="L839" s="1">
        <v>43485</v>
      </c>
      <c r="M839" s="2">
        <v>0.83888888888888891</v>
      </c>
      <c r="N839" t="s">
        <v>37</v>
      </c>
      <c r="O839">
        <v>267.77999999999997</v>
      </c>
      <c r="P839">
        <v>4.7619047620000003</v>
      </c>
      <c r="Q839">
        <v>89.26</v>
      </c>
      <c r="R839">
        <v>6.12</v>
      </c>
      <c r="S839">
        <v>96.089100000000002</v>
      </c>
      <c r="T839">
        <v>21.9588</v>
      </c>
    </row>
    <row r="840" spans="1:20" x14ac:dyDescent="0.3">
      <c r="A840" t="s">
        <v>1312</v>
      </c>
      <c r="B840" t="s">
        <v>29</v>
      </c>
      <c r="C840" t="s">
        <v>658</v>
      </c>
      <c r="D840" t="s">
        <v>31</v>
      </c>
      <c r="E840" t="s">
        <v>32</v>
      </c>
      <c r="F840" t="s">
        <v>36</v>
      </c>
      <c r="G840" t="s">
        <v>60</v>
      </c>
      <c r="H840">
        <v>55.87</v>
      </c>
      <c r="I840">
        <v>12</v>
      </c>
      <c r="J840">
        <v>33.521999999999998</v>
      </c>
      <c r="K840">
        <v>670.44</v>
      </c>
      <c r="L840" s="1">
        <v>43792</v>
      </c>
      <c r="M840" s="2">
        <v>0.62569444444444444</v>
      </c>
      <c r="N840" t="s">
        <v>33</v>
      </c>
      <c r="O840">
        <v>558.70000000000005</v>
      </c>
      <c r="P840">
        <v>4.7619047620000003</v>
      </c>
      <c r="Q840">
        <v>111.74</v>
      </c>
      <c r="R840">
        <v>6.09</v>
      </c>
      <c r="S840">
        <v>96.078500000000005</v>
      </c>
      <c r="T840">
        <v>19.763300000000001</v>
      </c>
    </row>
    <row r="841" spans="1:20" x14ac:dyDescent="0.3">
      <c r="A841" t="s">
        <v>1313</v>
      </c>
      <c r="B841" t="s">
        <v>29</v>
      </c>
      <c r="C841" t="s">
        <v>1064</v>
      </c>
      <c r="D841" t="s">
        <v>31</v>
      </c>
      <c r="E841" t="s">
        <v>32</v>
      </c>
      <c r="F841" t="s">
        <v>25</v>
      </c>
      <c r="G841" t="s">
        <v>68</v>
      </c>
      <c r="H841">
        <v>29.22</v>
      </c>
      <c r="I841">
        <v>7</v>
      </c>
      <c r="J841">
        <v>10.227</v>
      </c>
      <c r="K841">
        <v>204.54</v>
      </c>
      <c r="L841" s="1">
        <v>43691</v>
      </c>
      <c r="M841" s="2">
        <v>0.4861111111111111</v>
      </c>
      <c r="N841" t="s">
        <v>27</v>
      </c>
      <c r="O841">
        <v>175.32</v>
      </c>
      <c r="P841">
        <v>4.7619047620000003</v>
      </c>
      <c r="Q841">
        <v>29.22</v>
      </c>
      <c r="R841">
        <v>5.25</v>
      </c>
      <c r="S841">
        <v>96.078500000000005</v>
      </c>
      <c r="T841">
        <v>19.763300000000001</v>
      </c>
    </row>
    <row r="842" spans="1:20" x14ac:dyDescent="0.3">
      <c r="A842" t="s">
        <v>1314</v>
      </c>
      <c r="B842" t="s">
        <v>21</v>
      </c>
      <c r="C842" t="s">
        <v>714</v>
      </c>
      <c r="D842" t="s">
        <v>23</v>
      </c>
      <c r="E842" t="s">
        <v>32</v>
      </c>
      <c r="F842" t="s">
        <v>36</v>
      </c>
      <c r="G842" t="s">
        <v>100</v>
      </c>
      <c r="H842">
        <v>51.94</v>
      </c>
      <c r="I842">
        <v>3</v>
      </c>
      <c r="J842">
        <v>7.7910000000000004</v>
      </c>
      <c r="K842">
        <v>155.82</v>
      </c>
      <c r="L842" s="1">
        <v>43739</v>
      </c>
      <c r="M842" s="2">
        <v>0.63958333333333328</v>
      </c>
      <c r="N842" t="s">
        <v>33</v>
      </c>
      <c r="O842">
        <v>155.82</v>
      </c>
      <c r="P842">
        <v>4.7619047620000003</v>
      </c>
      <c r="Q842">
        <v>0</v>
      </c>
      <c r="R842">
        <v>7.9</v>
      </c>
      <c r="S842">
        <v>96.173500000000004</v>
      </c>
      <c r="T842">
        <v>16.840900000000001</v>
      </c>
    </row>
    <row r="843" spans="1:20" x14ac:dyDescent="0.3">
      <c r="A843" t="s">
        <v>1315</v>
      </c>
      <c r="B843" t="s">
        <v>51</v>
      </c>
      <c r="C843" t="s">
        <v>454</v>
      </c>
      <c r="D843" t="s">
        <v>53</v>
      </c>
      <c r="E843" t="s">
        <v>32</v>
      </c>
      <c r="F843" t="s">
        <v>36</v>
      </c>
      <c r="G843" t="s">
        <v>60</v>
      </c>
      <c r="H843">
        <v>60.3</v>
      </c>
      <c r="I843">
        <v>1</v>
      </c>
      <c r="J843">
        <v>3.0150000000000001</v>
      </c>
      <c r="K843">
        <v>60.3</v>
      </c>
      <c r="L843" s="1">
        <v>43672</v>
      </c>
      <c r="M843" s="2">
        <v>0.73472222222222228</v>
      </c>
      <c r="N843" t="s">
        <v>33</v>
      </c>
      <c r="O843">
        <v>60.3</v>
      </c>
      <c r="P843">
        <v>4.7619047620000003</v>
      </c>
      <c r="Q843">
        <v>0</v>
      </c>
      <c r="R843">
        <v>7.2</v>
      </c>
      <c r="S843">
        <v>96.089100000000002</v>
      </c>
      <c r="T843">
        <v>21.9588</v>
      </c>
    </row>
    <row r="844" spans="1:20" x14ac:dyDescent="0.3">
      <c r="A844" t="s">
        <v>1316</v>
      </c>
      <c r="B844" t="s">
        <v>21</v>
      </c>
      <c r="C844" t="s">
        <v>152</v>
      </c>
      <c r="D844" t="s">
        <v>23</v>
      </c>
      <c r="E844" t="s">
        <v>32</v>
      </c>
      <c r="F844" t="s">
        <v>25</v>
      </c>
      <c r="G844" t="s">
        <v>68</v>
      </c>
      <c r="H844">
        <v>39.47</v>
      </c>
      <c r="I844">
        <v>2</v>
      </c>
      <c r="J844">
        <v>3.9470000000000001</v>
      </c>
      <c r="K844">
        <v>78.94</v>
      </c>
      <c r="L844" s="1">
        <v>43608</v>
      </c>
      <c r="M844" s="2">
        <v>0.67777777777777781</v>
      </c>
      <c r="N844" t="s">
        <v>37</v>
      </c>
      <c r="O844">
        <v>78.94</v>
      </c>
      <c r="P844">
        <v>4.7619047620000003</v>
      </c>
      <c r="Q844">
        <v>0</v>
      </c>
      <c r="R844">
        <v>5</v>
      </c>
      <c r="S844">
        <v>96.173500000000004</v>
      </c>
      <c r="T844">
        <v>16.840900000000001</v>
      </c>
    </row>
    <row r="845" spans="1:20" x14ac:dyDescent="0.3">
      <c r="A845" t="s">
        <v>1317</v>
      </c>
      <c r="B845" t="s">
        <v>29</v>
      </c>
      <c r="C845" t="s">
        <v>1318</v>
      </c>
      <c r="D845" t="s">
        <v>31</v>
      </c>
      <c r="E845" t="s">
        <v>32</v>
      </c>
      <c r="F845" t="s">
        <v>25</v>
      </c>
      <c r="G845" t="s">
        <v>63</v>
      </c>
      <c r="H845">
        <v>14.87</v>
      </c>
      <c r="I845">
        <v>2</v>
      </c>
      <c r="J845">
        <v>1.4870000000000001</v>
      </c>
      <c r="K845">
        <v>29.74</v>
      </c>
      <c r="L845" s="1">
        <v>43586</v>
      </c>
      <c r="M845" s="2">
        <v>0.76041666666666663</v>
      </c>
      <c r="N845" t="s">
        <v>37</v>
      </c>
      <c r="O845">
        <v>29.74</v>
      </c>
      <c r="P845">
        <v>4.7619047620000003</v>
      </c>
      <c r="Q845">
        <v>0</v>
      </c>
      <c r="R845">
        <v>9.3450000000000006</v>
      </c>
      <c r="S845">
        <v>96.078500000000005</v>
      </c>
      <c r="T845">
        <v>19.763300000000001</v>
      </c>
    </row>
    <row r="846" spans="1:20" x14ac:dyDescent="0.3">
      <c r="A846" t="s">
        <v>1319</v>
      </c>
      <c r="B846" t="s">
        <v>21</v>
      </c>
      <c r="C846" t="s">
        <v>432</v>
      </c>
      <c r="D846" t="s">
        <v>23</v>
      </c>
      <c r="E846" t="s">
        <v>32</v>
      </c>
      <c r="F846" t="s">
        <v>36</v>
      </c>
      <c r="G846" t="s">
        <v>100</v>
      </c>
      <c r="H846">
        <v>21.32</v>
      </c>
      <c r="I846">
        <v>1</v>
      </c>
      <c r="J846">
        <v>1.0660000000000001</v>
      </c>
      <c r="K846">
        <v>21.32</v>
      </c>
      <c r="L846" s="1">
        <v>43637</v>
      </c>
      <c r="M846" s="2">
        <v>0.52986111111111112</v>
      </c>
      <c r="N846" t="s">
        <v>33</v>
      </c>
      <c r="O846">
        <v>21.32</v>
      </c>
      <c r="P846">
        <v>4.7619047620000003</v>
      </c>
      <c r="Q846">
        <v>0</v>
      </c>
      <c r="R846">
        <v>5.9</v>
      </c>
      <c r="S846">
        <v>96.173500000000004</v>
      </c>
      <c r="T846">
        <v>16.840900000000001</v>
      </c>
    </row>
    <row r="847" spans="1:20" x14ac:dyDescent="0.3">
      <c r="A847" t="s">
        <v>1320</v>
      </c>
      <c r="B847" t="s">
        <v>21</v>
      </c>
      <c r="C847" t="s">
        <v>1050</v>
      </c>
      <c r="D847" t="s">
        <v>23</v>
      </c>
      <c r="E847" t="s">
        <v>32</v>
      </c>
      <c r="F847" t="s">
        <v>36</v>
      </c>
      <c r="G847" t="s">
        <v>60</v>
      </c>
      <c r="H847">
        <v>93.78</v>
      </c>
      <c r="I847">
        <v>3</v>
      </c>
      <c r="J847">
        <v>14.067</v>
      </c>
      <c r="K847">
        <v>281.33999999999997</v>
      </c>
      <c r="L847" s="1">
        <v>43565</v>
      </c>
      <c r="M847" s="2">
        <v>0.48055555555555557</v>
      </c>
      <c r="N847" t="s">
        <v>37</v>
      </c>
      <c r="O847">
        <v>281.33999999999997</v>
      </c>
      <c r="P847">
        <v>4.7619047620000003</v>
      </c>
      <c r="Q847">
        <v>0</v>
      </c>
      <c r="R847">
        <v>5.9</v>
      </c>
      <c r="S847">
        <v>96.173500000000004</v>
      </c>
      <c r="T847">
        <v>16.840900000000001</v>
      </c>
    </row>
    <row r="848" spans="1:20" x14ac:dyDescent="0.3">
      <c r="A848" t="s">
        <v>1321</v>
      </c>
      <c r="B848" t="s">
        <v>21</v>
      </c>
      <c r="C848" t="s">
        <v>1322</v>
      </c>
      <c r="D848" t="s">
        <v>23</v>
      </c>
      <c r="E848" t="s">
        <v>32</v>
      </c>
      <c r="F848" t="s">
        <v>36</v>
      </c>
      <c r="G848" t="s">
        <v>60</v>
      </c>
      <c r="H848">
        <v>73.260000000000005</v>
      </c>
      <c r="I848">
        <v>1</v>
      </c>
      <c r="J848">
        <v>3.6629999999999998</v>
      </c>
      <c r="K848">
        <v>73.260000000000005</v>
      </c>
      <c r="L848" s="1">
        <v>43668</v>
      </c>
      <c r="M848" s="2">
        <v>0.75555555555555554</v>
      </c>
      <c r="N848" t="s">
        <v>27</v>
      </c>
      <c r="O848">
        <v>73.260000000000005</v>
      </c>
      <c r="P848">
        <v>4.7619047620000003</v>
      </c>
      <c r="Q848">
        <v>0</v>
      </c>
      <c r="R848">
        <v>9.6999999999999993</v>
      </c>
      <c r="S848">
        <v>96.173500000000004</v>
      </c>
      <c r="T848">
        <v>16.840900000000001</v>
      </c>
    </row>
    <row r="849" spans="1:20" x14ac:dyDescent="0.3">
      <c r="A849" t="s">
        <v>1323</v>
      </c>
      <c r="B849" t="s">
        <v>29</v>
      </c>
      <c r="C849" t="s">
        <v>596</v>
      </c>
      <c r="D849" t="s">
        <v>31</v>
      </c>
      <c r="E849" t="s">
        <v>32</v>
      </c>
      <c r="F849" t="s">
        <v>25</v>
      </c>
      <c r="G849" t="s">
        <v>68</v>
      </c>
      <c r="H849">
        <v>22.38</v>
      </c>
      <c r="I849">
        <v>1</v>
      </c>
      <c r="J849">
        <v>1.119</v>
      </c>
      <c r="K849">
        <v>22.38</v>
      </c>
      <c r="L849" s="1">
        <v>43803</v>
      </c>
      <c r="M849" s="2">
        <v>0.71388888888888891</v>
      </c>
      <c r="N849" t="s">
        <v>37</v>
      </c>
      <c r="O849">
        <v>22.38</v>
      </c>
      <c r="P849">
        <v>4.7619047620000003</v>
      </c>
      <c r="Q849">
        <v>0</v>
      </c>
      <c r="R849">
        <v>9.0299999999999994</v>
      </c>
      <c r="S849">
        <v>96.078500000000005</v>
      </c>
      <c r="T849">
        <v>19.763300000000001</v>
      </c>
    </row>
    <row r="850" spans="1:20" x14ac:dyDescent="0.3">
      <c r="A850" t="s">
        <v>1324</v>
      </c>
      <c r="B850" t="s">
        <v>29</v>
      </c>
      <c r="C850" t="s">
        <v>780</v>
      </c>
      <c r="D850" t="s">
        <v>31</v>
      </c>
      <c r="E850" t="s">
        <v>32</v>
      </c>
      <c r="F850" t="s">
        <v>25</v>
      </c>
      <c r="G850" t="s">
        <v>63</v>
      </c>
      <c r="H850">
        <v>72.88</v>
      </c>
      <c r="I850">
        <v>11</v>
      </c>
      <c r="J850">
        <v>40.084000000000003</v>
      </c>
      <c r="K850">
        <v>801.68</v>
      </c>
      <c r="L850" s="1">
        <v>43591</v>
      </c>
      <c r="M850" s="2">
        <v>0.81805555555555554</v>
      </c>
      <c r="N850" t="s">
        <v>33</v>
      </c>
      <c r="O850">
        <v>655.92</v>
      </c>
      <c r="P850">
        <v>4.7619047620000003</v>
      </c>
      <c r="Q850">
        <v>145.76</v>
      </c>
      <c r="R850">
        <v>4.2</v>
      </c>
      <c r="S850">
        <v>96.078500000000005</v>
      </c>
      <c r="T850">
        <v>19.763300000000001</v>
      </c>
    </row>
    <row r="851" spans="1:20" x14ac:dyDescent="0.3">
      <c r="A851" t="s">
        <v>1325</v>
      </c>
      <c r="B851" t="s">
        <v>21</v>
      </c>
      <c r="C851" t="s">
        <v>1326</v>
      </c>
      <c r="D851" t="s">
        <v>23</v>
      </c>
      <c r="E851" t="s">
        <v>32</v>
      </c>
      <c r="F851" t="s">
        <v>25</v>
      </c>
      <c r="G851" t="s">
        <v>100</v>
      </c>
      <c r="H851">
        <v>99.1</v>
      </c>
      <c r="I851">
        <v>6</v>
      </c>
      <c r="J851">
        <v>29.73</v>
      </c>
      <c r="K851">
        <v>594.6</v>
      </c>
      <c r="L851" s="1">
        <v>43529</v>
      </c>
      <c r="M851" s="2">
        <v>0.5493055555555556</v>
      </c>
      <c r="N851" t="s">
        <v>33</v>
      </c>
      <c r="O851">
        <v>594.6</v>
      </c>
      <c r="P851">
        <v>4.7619047620000003</v>
      </c>
      <c r="Q851">
        <v>0</v>
      </c>
      <c r="R851">
        <v>4.2</v>
      </c>
      <c r="S851">
        <v>96.173500000000004</v>
      </c>
      <c r="T851">
        <v>16.840900000000001</v>
      </c>
    </row>
    <row r="852" spans="1:20" x14ac:dyDescent="0.3">
      <c r="A852" t="s">
        <v>1327</v>
      </c>
      <c r="B852" t="s">
        <v>21</v>
      </c>
      <c r="C852" t="s">
        <v>1328</v>
      </c>
      <c r="D852" t="s">
        <v>23</v>
      </c>
      <c r="E852" t="s">
        <v>32</v>
      </c>
      <c r="F852" t="s">
        <v>36</v>
      </c>
      <c r="G852" t="s">
        <v>100</v>
      </c>
      <c r="H852">
        <v>74.099999999999994</v>
      </c>
      <c r="I852">
        <v>1</v>
      </c>
      <c r="J852">
        <v>3.7050000000000001</v>
      </c>
      <c r="K852">
        <v>74.099999999999994</v>
      </c>
      <c r="L852" s="1">
        <v>43592</v>
      </c>
      <c r="M852" s="2">
        <v>0.46180555555555558</v>
      </c>
      <c r="N852" t="s">
        <v>33</v>
      </c>
      <c r="O852">
        <v>74.099999999999994</v>
      </c>
      <c r="P852">
        <v>4.7619047620000003</v>
      </c>
      <c r="Q852">
        <v>0</v>
      </c>
      <c r="R852">
        <v>9.1999999999999993</v>
      </c>
      <c r="S852">
        <v>96.173500000000004</v>
      </c>
      <c r="T852">
        <v>16.840900000000001</v>
      </c>
    </row>
    <row r="853" spans="1:20" x14ac:dyDescent="0.3">
      <c r="A853" t="s">
        <v>1329</v>
      </c>
      <c r="B853" t="s">
        <v>21</v>
      </c>
      <c r="C853" t="s">
        <v>783</v>
      </c>
      <c r="D853" t="s">
        <v>23</v>
      </c>
      <c r="E853" t="s">
        <v>32</v>
      </c>
      <c r="F853" t="s">
        <v>25</v>
      </c>
      <c r="G853" t="s">
        <v>100</v>
      </c>
      <c r="H853">
        <v>98.48</v>
      </c>
      <c r="I853">
        <v>2</v>
      </c>
      <c r="J853">
        <v>9.8480000000000008</v>
      </c>
      <c r="K853">
        <v>196.96</v>
      </c>
      <c r="L853" s="1">
        <v>43785</v>
      </c>
      <c r="M853" s="2">
        <v>0.42499999999999999</v>
      </c>
      <c r="N853" t="s">
        <v>27</v>
      </c>
      <c r="O853">
        <v>196.96</v>
      </c>
      <c r="P853">
        <v>4.7619047620000003</v>
      </c>
      <c r="Q853">
        <v>0</v>
      </c>
      <c r="R853">
        <v>9.1999999999999993</v>
      </c>
      <c r="S853">
        <v>96.173500000000004</v>
      </c>
      <c r="T853">
        <v>16.840900000000001</v>
      </c>
    </row>
    <row r="854" spans="1:20" x14ac:dyDescent="0.3">
      <c r="A854" t="s">
        <v>1330</v>
      </c>
      <c r="B854" t="s">
        <v>29</v>
      </c>
      <c r="C854" t="s">
        <v>154</v>
      </c>
      <c r="D854" t="s">
        <v>31</v>
      </c>
      <c r="E854" t="s">
        <v>32</v>
      </c>
      <c r="F854" t="s">
        <v>36</v>
      </c>
      <c r="G854" t="s">
        <v>26</v>
      </c>
      <c r="H854">
        <v>53.19</v>
      </c>
      <c r="I854">
        <v>8</v>
      </c>
      <c r="J854">
        <v>21.276</v>
      </c>
      <c r="K854">
        <v>425.52</v>
      </c>
      <c r="L854" s="1">
        <v>43649</v>
      </c>
      <c r="M854" s="2">
        <v>0.65416666666666667</v>
      </c>
      <c r="N854" t="s">
        <v>27</v>
      </c>
      <c r="O854">
        <v>372.33</v>
      </c>
      <c r="P854">
        <v>4.7619047620000003</v>
      </c>
      <c r="Q854">
        <v>53.19</v>
      </c>
      <c r="R854">
        <v>5.25</v>
      </c>
      <c r="S854">
        <v>96.078500000000005</v>
      </c>
      <c r="T854">
        <v>19.763300000000001</v>
      </c>
    </row>
    <row r="855" spans="1:20" x14ac:dyDescent="0.3">
      <c r="A855" t="s">
        <v>1331</v>
      </c>
      <c r="B855" t="s">
        <v>51</v>
      </c>
      <c r="C855" t="s">
        <v>83</v>
      </c>
      <c r="D855" t="s">
        <v>53</v>
      </c>
      <c r="E855" t="s">
        <v>32</v>
      </c>
      <c r="F855" t="s">
        <v>25</v>
      </c>
      <c r="G855" t="s">
        <v>60</v>
      </c>
      <c r="H855">
        <v>52.79</v>
      </c>
      <c r="I855">
        <v>14</v>
      </c>
      <c r="J855">
        <v>36.953000000000003</v>
      </c>
      <c r="K855">
        <v>739.06</v>
      </c>
      <c r="L855" s="1">
        <v>43589</v>
      </c>
      <c r="M855" s="2">
        <v>0.49861111111111112</v>
      </c>
      <c r="N855" t="s">
        <v>27</v>
      </c>
      <c r="O855">
        <v>527.9</v>
      </c>
      <c r="P855">
        <v>4.7619047620000003</v>
      </c>
      <c r="Q855">
        <v>211.16</v>
      </c>
      <c r="R855">
        <v>10</v>
      </c>
      <c r="S855">
        <v>96.089100000000002</v>
      </c>
      <c r="T855">
        <v>21.9588</v>
      </c>
    </row>
    <row r="856" spans="1:20" x14ac:dyDescent="0.3">
      <c r="A856" t="s">
        <v>1332</v>
      </c>
      <c r="B856" t="s">
        <v>21</v>
      </c>
      <c r="C856" t="s">
        <v>97</v>
      </c>
      <c r="D856" t="s">
        <v>23</v>
      </c>
      <c r="E856" t="s">
        <v>32</v>
      </c>
      <c r="F856" t="s">
        <v>25</v>
      </c>
      <c r="G856" t="s">
        <v>26</v>
      </c>
      <c r="H856">
        <v>95.95</v>
      </c>
      <c r="I856">
        <v>5</v>
      </c>
      <c r="J856">
        <v>23.987500000000001</v>
      </c>
      <c r="K856">
        <v>479.75</v>
      </c>
      <c r="L856" s="1">
        <v>43643</v>
      </c>
      <c r="M856" s="2">
        <v>0.59791666666666665</v>
      </c>
      <c r="N856" t="s">
        <v>27</v>
      </c>
      <c r="O856">
        <v>479.75</v>
      </c>
      <c r="P856">
        <v>4.7619047620000003</v>
      </c>
      <c r="Q856">
        <v>0</v>
      </c>
      <c r="R856">
        <v>8.8000000000000007</v>
      </c>
      <c r="S856">
        <v>96.173500000000004</v>
      </c>
      <c r="T856">
        <v>16.840900000000001</v>
      </c>
    </row>
    <row r="857" spans="1:20" x14ac:dyDescent="0.3">
      <c r="A857" t="s">
        <v>1333</v>
      </c>
      <c r="B857" t="s">
        <v>51</v>
      </c>
      <c r="C857" t="s">
        <v>331</v>
      </c>
      <c r="D857" t="s">
        <v>53</v>
      </c>
      <c r="E857" t="s">
        <v>32</v>
      </c>
      <c r="F857" t="s">
        <v>25</v>
      </c>
      <c r="G857" t="s">
        <v>100</v>
      </c>
      <c r="H857">
        <v>36.51</v>
      </c>
      <c r="I857">
        <v>13</v>
      </c>
      <c r="J857">
        <v>23.7315</v>
      </c>
      <c r="K857">
        <v>474.63</v>
      </c>
      <c r="L857" s="1">
        <v>43793</v>
      </c>
      <c r="M857" s="2">
        <v>0.45277777777777778</v>
      </c>
      <c r="N857" t="s">
        <v>33</v>
      </c>
      <c r="O857">
        <v>328.59</v>
      </c>
      <c r="P857">
        <v>4.7619047620000003</v>
      </c>
      <c r="Q857">
        <v>146.04</v>
      </c>
      <c r="R857">
        <v>5.04</v>
      </c>
      <c r="S857">
        <v>96.089100000000002</v>
      </c>
      <c r="T857">
        <v>21.9588</v>
      </c>
    </row>
    <row r="858" spans="1:20" x14ac:dyDescent="0.3">
      <c r="A858" t="s">
        <v>1334</v>
      </c>
      <c r="B858" t="s">
        <v>51</v>
      </c>
      <c r="C858" t="s">
        <v>1052</v>
      </c>
      <c r="D858" t="s">
        <v>53</v>
      </c>
      <c r="E858" t="s">
        <v>32</v>
      </c>
      <c r="F858" t="s">
        <v>36</v>
      </c>
      <c r="G858" t="s">
        <v>63</v>
      </c>
      <c r="H858">
        <v>21.12</v>
      </c>
      <c r="I858">
        <v>11</v>
      </c>
      <c r="J858">
        <v>11.616</v>
      </c>
      <c r="K858">
        <v>232.32</v>
      </c>
      <c r="L858" s="1">
        <v>43739</v>
      </c>
      <c r="M858" s="2">
        <v>0.81319444444444444</v>
      </c>
      <c r="N858" t="s">
        <v>33</v>
      </c>
      <c r="O858">
        <v>168.96</v>
      </c>
      <c r="P858">
        <v>4.7619047620000003</v>
      </c>
      <c r="Q858">
        <v>63.36</v>
      </c>
      <c r="R858">
        <v>7.56</v>
      </c>
      <c r="S858">
        <v>96.089100000000002</v>
      </c>
      <c r="T858">
        <v>21.9588</v>
      </c>
    </row>
    <row r="859" spans="1:20" x14ac:dyDescent="0.3">
      <c r="A859" t="s">
        <v>1335</v>
      </c>
      <c r="B859" t="s">
        <v>21</v>
      </c>
      <c r="C859" t="s">
        <v>354</v>
      </c>
      <c r="D859" t="s">
        <v>23</v>
      </c>
      <c r="E859" t="s">
        <v>32</v>
      </c>
      <c r="F859" t="s">
        <v>25</v>
      </c>
      <c r="G859" t="s">
        <v>77</v>
      </c>
      <c r="H859">
        <v>28.31</v>
      </c>
      <c r="I859">
        <v>4</v>
      </c>
      <c r="J859">
        <v>5.6619999999999999</v>
      </c>
      <c r="K859">
        <v>113.24</v>
      </c>
      <c r="L859" s="1">
        <v>43602</v>
      </c>
      <c r="M859" s="2">
        <v>0.77430555555555558</v>
      </c>
      <c r="N859" t="s">
        <v>33</v>
      </c>
      <c r="O859">
        <v>113.24</v>
      </c>
      <c r="P859">
        <v>4.7619047620000003</v>
      </c>
      <c r="Q859">
        <v>0</v>
      </c>
      <c r="R859">
        <v>8.1999999999999993</v>
      </c>
      <c r="S859">
        <v>96.173500000000004</v>
      </c>
      <c r="T859">
        <v>16.840900000000001</v>
      </c>
    </row>
    <row r="860" spans="1:20" x14ac:dyDescent="0.3">
      <c r="A860" t="s">
        <v>1336</v>
      </c>
      <c r="B860" t="s">
        <v>51</v>
      </c>
      <c r="C860" t="s">
        <v>803</v>
      </c>
      <c r="D860" t="s">
        <v>53</v>
      </c>
      <c r="E860" t="s">
        <v>32</v>
      </c>
      <c r="F860" t="s">
        <v>36</v>
      </c>
      <c r="G860" t="s">
        <v>26</v>
      </c>
      <c r="H860">
        <v>57.59</v>
      </c>
      <c r="I860">
        <v>8</v>
      </c>
      <c r="J860">
        <v>23.036000000000001</v>
      </c>
      <c r="K860">
        <v>460.72</v>
      </c>
      <c r="L860" s="1">
        <v>43480</v>
      </c>
      <c r="M860" s="2">
        <v>0.57708333333333328</v>
      </c>
      <c r="N860" t="s">
        <v>33</v>
      </c>
      <c r="O860">
        <v>345.54</v>
      </c>
      <c r="P860">
        <v>4.7619047620000003</v>
      </c>
      <c r="Q860">
        <v>115.18</v>
      </c>
      <c r="R860">
        <v>6.12</v>
      </c>
      <c r="S860">
        <v>96.089100000000002</v>
      </c>
      <c r="T860">
        <v>21.9588</v>
      </c>
    </row>
    <row r="861" spans="1:20" x14ac:dyDescent="0.3">
      <c r="A861" t="s">
        <v>1337</v>
      </c>
      <c r="B861" t="s">
        <v>21</v>
      </c>
      <c r="C861" t="s">
        <v>387</v>
      </c>
      <c r="D861" t="s">
        <v>23</v>
      </c>
      <c r="E861" t="s">
        <v>32</v>
      </c>
      <c r="F861" t="s">
        <v>25</v>
      </c>
      <c r="G861" t="s">
        <v>68</v>
      </c>
      <c r="H861">
        <v>47.63</v>
      </c>
      <c r="I861">
        <v>9</v>
      </c>
      <c r="J861">
        <v>21.433499999999999</v>
      </c>
      <c r="K861">
        <v>428.67</v>
      </c>
      <c r="L861" s="1">
        <v>43537</v>
      </c>
      <c r="M861" s="2">
        <v>0.52430555555555558</v>
      </c>
      <c r="N861" t="s">
        <v>33</v>
      </c>
      <c r="O861">
        <v>428.67</v>
      </c>
      <c r="P861">
        <v>4.7619047620000003</v>
      </c>
      <c r="Q861">
        <v>0</v>
      </c>
      <c r="R861">
        <v>5</v>
      </c>
      <c r="S861">
        <v>96.173500000000004</v>
      </c>
      <c r="T861">
        <v>16.840900000000001</v>
      </c>
    </row>
    <row r="862" spans="1:20" x14ac:dyDescent="0.3">
      <c r="A862" t="s">
        <v>1338</v>
      </c>
      <c r="B862" t="s">
        <v>29</v>
      </c>
      <c r="C862" t="s">
        <v>424</v>
      </c>
      <c r="D862" t="s">
        <v>31</v>
      </c>
      <c r="E862" t="s">
        <v>32</v>
      </c>
      <c r="F862" t="s">
        <v>25</v>
      </c>
      <c r="G862" t="s">
        <v>68</v>
      </c>
      <c r="H862">
        <v>86.27</v>
      </c>
      <c r="I862">
        <v>1</v>
      </c>
      <c r="J862">
        <v>4.3135000000000003</v>
      </c>
      <c r="K862">
        <v>86.27</v>
      </c>
      <c r="L862" s="1">
        <v>43493</v>
      </c>
      <c r="M862" s="2">
        <v>0.55833333333333335</v>
      </c>
      <c r="N862" t="s">
        <v>27</v>
      </c>
      <c r="O862">
        <v>86.27</v>
      </c>
      <c r="P862">
        <v>4.7619047620000003</v>
      </c>
      <c r="Q862">
        <v>0</v>
      </c>
      <c r="R862">
        <v>7.35</v>
      </c>
      <c r="S862">
        <v>96.078500000000005</v>
      </c>
      <c r="T862">
        <v>19.763300000000001</v>
      </c>
    </row>
    <row r="863" spans="1:20" x14ac:dyDescent="0.3">
      <c r="A863" t="s">
        <v>1339</v>
      </c>
      <c r="B863" t="s">
        <v>21</v>
      </c>
      <c r="C863" t="s">
        <v>700</v>
      </c>
      <c r="D863" t="s">
        <v>23</v>
      </c>
      <c r="E863" t="s">
        <v>32</v>
      </c>
      <c r="F863" t="s">
        <v>36</v>
      </c>
      <c r="G863" t="s">
        <v>68</v>
      </c>
      <c r="H863">
        <v>12.76</v>
      </c>
      <c r="I863">
        <v>2</v>
      </c>
      <c r="J863">
        <v>1.276</v>
      </c>
      <c r="K863">
        <v>25.52</v>
      </c>
      <c r="L863" s="1">
        <v>43655</v>
      </c>
      <c r="M863" s="2">
        <v>0.75416666666666665</v>
      </c>
      <c r="N863" t="s">
        <v>27</v>
      </c>
      <c r="O863">
        <v>25.52</v>
      </c>
      <c r="P863">
        <v>4.7619047620000003</v>
      </c>
      <c r="Q863">
        <v>0</v>
      </c>
      <c r="R863">
        <v>7.8</v>
      </c>
      <c r="S863">
        <v>96.173500000000004</v>
      </c>
      <c r="T863">
        <v>16.840900000000001</v>
      </c>
    </row>
    <row r="864" spans="1:20" x14ac:dyDescent="0.3">
      <c r="A864" t="s">
        <v>1340</v>
      </c>
      <c r="B864" t="s">
        <v>51</v>
      </c>
      <c r="C864" t="s">
        <v>91</v>
      </c>
      <c r="D864" t="s">
        <v>53</v>
      </c>
      <c r="E864" t="s">
        <v>32</v>
      </c>
      <c r="F864" t="s">
        <v>25</v>
      </c>
      <c r="G864" t="s">
        <v>68</v>
      </c>
      <c r="H864">
        <v>11.28</v>
      </c>
      <c r="I864">
        <v>13</v>
      </c>
      <c r="J864">
        <v>7.3319999999999999</v>
      </c>
      <c r="K864">
        <v>146.63999999999999</v>
      </c>
      <c r="L864" s="1">
        <v>43784</v>
      </c>
      <c r="M864" s="2">
        <v>0.49652777777777779</v>
      </c>
      <c r="N864" t="s">
        <v>37</v>
      </c>
      <c r="O864">
        <v>101.52</v>
      </c>
      <c r="P864">
        <v>4.7619047620000003</v>
      </c>
      <c r="Q864">
        <v>45.12</v>
      </c>
      <c r="R864">
        <v>5.16</v>
      </c>
      <c r="S864">
        <v>96.089100000000002</v>
      </c>
      <c r="T864">
        <v>21.9588</v>
      </c>
    </row>
    <row r="865" spans="1:20" x14ac:dyDescent="0.3">
      <c r="A865" t="s">
        <v>1341</v>
      </c>
      <c r="B865" t="s">
        <v>51</v>
      </c>
      <c r="C865" t="s">
        <v>636</v>
      </c>
      <c r="D865" t="s">
        <v>53</v>
      </c>
      <c r="E865" t="s">
        <v>32</v>
      </c>
      <c r="F865" t="s">
        <v>25</v>
      </c>
      <c r="G865" t="s">
        <v>68</v>
      </c>
      <c r="H865">
        <v>51.07</v>
      </c>
      <c r="I865">
        <v>10</v>
      </c>
      <c r="J865">
        <v>25.535</v>
      </c>
      <c r="K865">
        <v>510.7</v>
      </c>
      <c r="L865" s="1">
        <v>43720</v>
      </c>
      <c r="M865" s="2">
        <v>0.48749999999999999</v>
      </c>
      <c r="N865" t="s">
        <v>33</v>
      </c>
      <c r="O865">
        <v>357.49</v>
      </c>
      <c r="P865">
        <v>4.7619047620000003</v>
      </c>
      <c r="Q865">
        <v>153.21</v>
      </c>
      <c r="R865">
        <v>8.4</v>
      </c>
      <c r="S865">
        <v>96.089100000000002</v>
      </c>
      <c r="T865">
        <v>21.9588</v>
      </c>
    </row>
    <row r="866" spans="1:20" x14ac:dyDescent="0.3">
      <c r="A866" t="s">
        <v>1342</v>
      </c>
      <c r="B866" t="s">
        <v>21</v>
      </c>
      <c r="C866" t="s">
        <v>1343</v>
      </c>
      <c r="D866" t="s">
        <v>23</v>
      </c>
      <c r="E866" t="s">
        <v>32</v>
      </c>
      <c r="F866" t="s">
        <v>25</v>
      </c>
      <c r="G866" t="s">
        <v>68</v>
      </c>
      <c r="H866">
        <v>79.59</v>
      </c>
      <c r="I866">
        <v>3</v>
      </c>
      <c r="J866">
        <v>11.938499999999999</v>
      </c>
      <c r="K866">
        <v>238.77</v>
      </c>
      <c r="L866" s="1">
        <v>43608</v>
      </c>
      <c r="M866" s="2">
        <v>0.60416666666666663</v>
      </c>
      <c r="N866" t="s">
        <v>33</v>
      </c>
      <c r="O866">
        <v>238.77</v>
      </c>
      <c r="P866">
        <v>4.7619047620000003</v>
      </c>
      <c r="Q866">
        <v>0</v>
      </c>
      <c r="R866">
        <v>6.6</v>
      </c>
      <c r="S866">
        <v>96.173500000000004</v>
      </c>
      <c r="T866">
        <v>16.840900000000001</v>
      </c>
    </row>
    <row r="867" spans="1:20" x14ac:dyDescent="0.3">
      <c r="A867" t="s">
        <v>1344</v>
      </c>
      <c r="B867" t="s">
        <v>29</v>
      </c>
      <c r="C867" t="s">
        <v>999</v>
      </c>
      <c r="D867" t="s">
        <v>31</v>
      </c>
      <c r="E867" t="s">
        <v>32</v>
      </c>
      <c r="F867" t="s">
        <v>36</v>
      </c>
      <c r="G867" t="s">
        <v>26</v>
      </c>
      <c r="H867">
        <v>33.81</v>
      </c>
      <c r="I867">
        <v>4</v>
      </c>
      <c r="J867">
        <v>6.7619999999999996</v>
      </c>
      <c r="K867">
        <v>135.24</v>
      </c>
      <c r="L867" s="1">
        <v>43614</v>
      </c>
      <c r="M867" s="2">
        <v>0.63263888888888886</v>
      </c>
      <c r="N867" t="s">
        <v>27</v>
      </c>
      <c r="O867">
        <v>101.43</v>
      </c>
      <c r="P867">
        <v>4.7619047620000003</v>
      </c>
      <c r="Q867">
        <v>33.81</v>
      </c>
      <c r="R867">
        <v>7.665</v>
      </c>
      <c r="S867">
        <v>96.078500000000005</v>
      </c>
      <c r="T867">
        <v>19.763300000000001</v>
      </c>
    </row>
    <row r="868" spans="1:20" x14ac:dyDescent="0.3">
      <c r="A868" t="s">
        <v>1345</v>
      </c>
      <c r="B868" t="s">
        <v>51</v>
      </c>
      <c r="C868" t="s">
        <v>1346</v>
      </c>
      <c r="D868" t="s">
        <v>53</v>
      </c>
      <c r="E868" t="s">
        <v>32</v>
      </c>
      <c r="F868" t="s">
        <v>36</v>
      </c>
      <c r="G868" t="s">
        <v>68</v>
      </c>
      <c r="H868">
        <v>90.53</v>
      </c>
      <c r="I868">
        <v>11</v>
      </c>
      <c r="J868">
        <v>49.791499999999999</v>
      </c>
      <c r="K868">
        <v>995.83</v>
      </c>
      <c r="L868" s="1">
        <v>43547</v>
      </c>
      <c r="M868" s="2">
        <v>0.6166666666666667</v>
      </c>
      <c r="N868" t="s">
        <v>37</v>
      </c>
      <c r="O868">
        <v>724.24</v>
      </c>
      <c r="P868">
        <v>4.7619047620000003</v>
      </c>
      <c r="Q868">
        <v>271.58999999999997</v>
      </c>
      <c r="R868">
        <v>7.8</v>
      </c>
      <c r="S868">
        <v>96.089100000000002</v>
      </c>
      <c r="T868">
        <v>21.9588</v>
      </c>
    </row>
    <row r="869" spans="1:20" x14ac:dyDescent="0.3">
      <c r="A869" t="s">
        <v>1347</v>
      </c>
      <c r="B869" t="s">
        <v>29</v>
      </c>
      <c r="C869" t="s">
        <v>1150</v>
      </c>
      <c r="D869" t="s">
        <v>31</v>
      </c>
      <c r="E869" t="s">
        <v>32</v>
      </c>
      <c r="F869" t="s">
        <v>25</v>
      </c>
      <c r="G869" t="s">
        <v>100</v>
      </c>
      <c r="H869">
        <v>62.82</v>
      </c>
      <c r="I869">
        <v>2</v>
      </c>
      <c r="J869">
        <v>6.282</v>
      </c>
      <c r="K869">
        <v>125.64</v>
      </c>
      <c r="L869" s="1">
        <v>43780</v>
      </c>
      <c r="M869" s="2">
        <v>0.52500000000000002</v>
      </c>
      <c r="N869" t="s">
        <v>27</v>
      </c>
      <c r="O869">
        <v>125.64</v>
      </c>
      <c r="P869">
        <v>4.7619047620000003</v>
      </c>
      <c r="Q869">
        <v>0</v>
      </c>
      <c r="R869">
        <v>5.1449999999999996</v>
      </c>
      <c r="S869">
        <v>96.078500000000005</v>
      </c>
      <c r="T869">
        <v>19.763300000000001</v>
      </c>
    </row>
    <row r="870" spans="1:20" x14ac:dyDescent="0.3">
      <c r="A870" t="s">
        <v>1348</v>
      </c>
      <c r="B870" t="s">
        <v>29</v>
      </c>
      <c r="C870" t="s">
        <v>1349</v>
      </c>
      <c r="D870" t="s">
        <v>31</v>
      </c>
      <c r="E870" t="s">
        <v>24</v>
      </c>
      <c r="F870" t="s">
        <v>36</v>
      </c>
      <c r="G870" t="s">
        <v>100</v>
      </c>
      <c r="H870">
        <v>24.31</v>
      </c>
      <c r="I870">
        <v>6</v>
      </c>
      <c r="J870">
        <v>7.2930000000000001</v>
      </c>
      <c r="K870">
        <v>145.86000000000001</v>
      </c>
      <c r="L870" s="1">
        <v>43734</v>
      </c>
      <c r="M870" s="2">
        <v>0.79791666666666672</v>
      </c>
      <c r="N870" t="s">
        <v>37</v>
      </c>
      <c r="O870">
        <v>72.930000000000007</v>
      </c>
      <c r="P870">
        <v>4.7619047620000003</v>
      </c>
      <c r="Q870">
        <v>72.930000000000007</v>
      </c>
      <c r="R870">
        <v>4.5149999999999997</v>
      </c>
      <c r="S870">
        <v>96.078500000000005</v>
      </c>
      <c r="T870">
        <v>19.763300000000001</v>
      </c>
    </row>
    <row r="871" spans="1:20" x14ac:dyDescent="0.3">
      <c r="A871" t="s">
        <v>1350</v>
      </c>
      <c r="B871" t="s">
        <v>21</v>
      </c>
      <c r="C871" t="s">
        <v>365</v>
      </c>
      <c r="D871" t="s">
        <v>23</v>
      </c>
      <c r="E871" t="s">
        <v>32</v>
      </c>
      <c r="F871" t="s">
        <v>36</v>
      </c>
      <c r="G871" t="s">
        <v>100</v>
      </c>
      <c r="H871">
        <v>64.59</v>
      </c>
      <c r="I871">
        <v>4</v>
      </c>
      <c r="J871">
        <v>12.917999999999999</v>
      </c>
      <c r="K871">
        <v>258.36</v>
      </c>
      <c r="L871" s="1">
        <v>43528</v>
      </c>
      <c r="M871" s="2">
        <v>0.56597222222222221</v>
      </c>
      <c r="N871" t="s">
        <v>27</v>
      </c>
      <c r="O871">
        <v>258.36</v>
      </c>
      <c r="P871">
        <v>4.7619047620000003</v>
      </c>
      <c r="Q871">
        <v>0</v>
      </c>
      <c r="R871">
        <v>9.3000000000000007</v>
      </c>
      <c r="S871">
        <v>96.173500000000004</v>
      </c>
      <c r="T871">
        <v>16.840900000000001</v>
      </c>
    </row>
    <row r="872" spans="1:20" x14ac:dyDescent="0.3">
      <c r="A872" t="s">
        <v>1351</v>
      </c>
      <c r="B872" t="s">
        <v>21</v>
      </c>
      <c r="C872" t="s">
        <v>1297</v>
      </c>
      <c r="D872" t="s">
        <v>23</v>
      </c>
      <c r="E872" t="s">
        <v>24</v>
      </c>
      <c r="F872" t="s">
        <v>36</v>
      </c>
      <c r="G872" t="s">
        <v>100</v>
      </c>
      <c r="H872">
        <v>24.82</v>
      </c>
      <c r="I872">
        <v>10</v>
      </c>
      <c r="J872">
        <v>12.41</v>
      </c>
      <c r="K872">
        <v>248.2</v>
      </c>
      <c r="L872" s="1">
        <v>43645</v>
      </c>
      <c r="M872" s="2">
        <v>0.43958333333333333</v>
      </c>
      <c r="N872" t="s">
        <v>37</v>
      </c>
      <c r="O872">
        <v>173.74</v>
      </c>
      <c r="P872">
        <v>4.7619047620000003</v>
      </c>
      <c r="Q872">
        <v>74.459999999999994</v>
      </c>
      <c r="R872">
        <v>7.1</v>
      </c>
      <c r="S872">
        <v>96.173500000000004</v>
      </c>
      <c r="T872">
        <v>16.840900000000001</v>
      </c>
    </row>
    <row r="873" spans="1:20" x14ac:dyDescent="0.3">
      <c r="A873" t="s">
        <v>1352</v>
      </c>
      <c r="B873" t="s">
        <v>29</v>
      </c>
      <c r="C873" t="s">
        <v>107</v>
      </c>
      <c r="D873" t="s">
        <v>31</v>
      </c>
      <c r="E873" t="s">
        <v>32</v>
      </c>
      <c r="F873" t="s">
        <v>36</v>
      </c>
      <c r="G873" t="s">
        <v>100</v>
      </c>
      <c r="H873">
        <v>56.5</v>
      </c>
      <c r="I873">
        <v>1</v>
      </c>
      <c r="J873">
        <v>2.8250000000000002</v>
      </c>
      <c r="K873">
        <v>56.5</v>
      </c>
      <c r="L873" s="1">
        <v>43541</v>
      </c>
      <c r="M873" s="2">
        <v>0.65625</v>
      </c>
      <c r="N873" t="s">
        <v>27</v>
      </c>
      <c r="O873">
        <v>56.5</v>
      </c>
      <c r="P873">
        <v>4.7619047620000003</v>
      </c>
      <c r="Q873">
        <v>0</v>
      </c>
      <c r="R873">
        <v>10</v>
      </c>
      <c r="S873">
        <v>96.078500000000005</v>
      </c>
      <c r="T873">
        <v>19.763300000000001</v>
      </c>
    </row>
    <row r="874" spans="1:20" x14ac:dyDescent="0.3">
      <c r="A874" t="s">
        <v>1353</v>
      </c>
      <c r="B874" t="s">
        <v>51</v>
      </c>
      <c r="C874" t="s">
        <v>575</v>
      </c>
      <c r="D874" t="s">
        <v>53</v>
      </c>
      <c r="E874" t="s">
        <v>24</v>
      </c>
      <c r="F874" t="s">
        <v>25</v>
      </c>
      <c r="G874" t="s">
        <v>60</v>
      </c>
      <c r="H874">
        <v>21.43</v>
      </c>
      <c r="I874">
        <v>20</v>
      </c>
      <c r="J874">
        <v>21.43</v>
      </c>
      <c r="K874">
        <v>428.6</v>
      </c>
      <c r="L874" s="1">
        <v>43561</v>
      </c>
      <c r="M874" s="2">
        <v>0.49375000000000002</v>
      </c>
      <c r="N874" t="s">
        <v>33</v>
      </c>
      <c r="O874">
        <v>214.3</v>
      </c>
      <c r="P874">
        <v>4.7619047620000003</v>
      </c>
      <c r="Q874">
        <v>214.3</v>
      </c>
      <c r="R874">
        <v>7.44</v>
      </c>
      <c r="S874">
        <v>96.089100000000002</v>
      </c>
      <c r="T874">
        <v>21.9588</v>
      </c>
    </row>
    <row r="875" spans="1:20" x14ac:dyDescent="0.3">
      <c r="A875" t="s">
        <v>1354</v>
      </c>
      <c r="B875" t="s">
        <v>21</v>
      </c>
      <c r="C875" t="s">
        <v>1355</v>
      </c>
      <c r="D875" t="s">
        <v>23</v>
      </c>
      <c r="E875" t="s">
        <v>24</v>
      </c>
      <c r="F875" t="s">
        <v>36</v>
      </c>
      <c r="G875" t="s">
        <v>68</v>
      </c>
      <c r="H875">
        <v>89.06</v>
      </c>
      <c r="I875">
        <v>8</v>
      </c>
      <c r="J875">
        <v>35.624000000000002</v>
      </c>
      <c r="K875">
        <v>712.48</v>
      </c>
      <c r="L875" s="1">
        <v>43630</v>
      </c>
      <c r="M875" s="2">
        <v>0.72638888888888886</v>
      </c>
      <c r="N875" t="s">
        <v>33</v>
      </c>
      <c r="O875">
        <v>534.36</v>
      </c>
      <c r="P875">
        <v>4.7619047620000003</v>
      </c>
      <c r="Q875">
        <v>178.12</v>
      </c>
      <c r="R875">
        <v>9.9</v>
      </c>
      <c r="S875">
        <v>96.173500000000004</v>
      </c>
      <c r="T875">
        <v>16.840900000000001</v>
      </c>
    </row>
    <row r="876" spans="1:20" x14ac:dyDescent="0.3">
      <c r="A876" t="s">
        <v>1356</v>
      </c>
      <c r="B876" t="s">
        <v>21</v>
      </c>
      <c r="C876" t="s">
        <v>1172</v>
      </c>
      <c r="D876" t="s">
        <v>23</v>
      </c>
      <c r="E876" t="s">
        <v>24</v>
      </c>
      <c r="F876" t="s">
        <v>36</v>
      </c>
      <c r="G876" t="s">
        <v>77</v>
      </c>
      <c r="H876">
        <v>23.29</v>
      </c>
      <c r="I876">
        <v>6</v>
      </c>
      <c r="J876">
        <v>6.9870000000000001</v>
      </c>
      <c r="K876">
        <v>139.74</v>
      </c>
      <c r="L876" s="1">
        <v>43504</v>
      </c>
      <c r="M876" s="2">
        <v>0.49444444444444446</v>
      </c>
      <c r="N876" t="s">
        <v>37</v>
      </c>
      <c r="O876">
        <v>93.16</v>
      </c>
      <c r="P876">
        <v>4.7619047620000003</v>
      </c>
      <c r="Q876">
        <v>46.58</v>
      </c>
      <c r="R876">
        <v>5.9</v>
      </c>
      <c r="S876">
        <v>96.173500000000004</v>
      </c>
      <c r="T876">
        <v>16.840900000000001</v>
      </c>
    </row>
    <row r="877" spans="1:20" x14ac:dyDescent="0.3">
      <c r="A877" t="s">
        <v>1357</v>
      </c>
      <c r="B877" t="s">
        <v>29</v>
      </c>
      <c r="C877" t="s">
        <v>862</v>
      </c>
      <c r="D877" t="s">
        <v>31</v>
      </c>
      <c r="E877" t="s">
        <v>32</v>
      </c>
      <c r="F877" t="s">
        <v>36</v>
      </c>
      <c r="G877" t="s">
        <v>77</v>
      </c>
      <c r="H877">
        <v>65.260000000000005</v>
      </c>
      <c r="I877">
        <v>10</v>
      </c>
      <c r="J877">
        <v>32.630000000000003</v>
      </c>
      <c r="K877">
        <v>652.6</v>
      </c>
      <c r="L877" s="1">
        <v>43521</v>
      </c>
      <c r="M877" s="2">
        <v>0.58611111111111114</v>
      </c>
      <c r="N877" t="s">
        <v>27</v>
      </c>
      <c r="O877">
        <v>522.08000000000004</v>
      </c>
      <c r="P877">
        <v>4.7619047620000003</v>
      </c>
      <c r="Q877">
        <v>130.52000000000001</v>
      </c>
      <c r="R877">
        <v>6.6150000000000002</v>
      </c>
      <c r="S877">
        <v>96.078500000000005</v>
      </c>
      <c r="T877">
        <v>19.763300000000001</v>
      </c>
    </row>
    <row r="878" spans="1:20" x14ac:dyDescent="0.3">
      <c r="A878" t="s">
        <v>1358</v>
      </c>
      <c r="B878" t="s">
        <v>29</v>
      </c>
      <c r="C878" t="s">
        <v>217</v>
      </c>
      <c r="D878" t="s">
        <v>31</v>
      </c>
      <c r="E878" t="s">
        <v>32</v>
      </c>
      <c r="F878" t="s">
        <v>36</v>
      </c>
      <c r="G878" t="s">
        <v>100</v>
      </c>
      <c r="H878">
        <v>52.35</v>
      </c>
      <c r="I878">
        <v>1</v>
      </c>
      <c r="J878">
        <v>2.6175000000000002</v>
      </c>
      <c r="K878">
        <v>52.35</v>
      </c>
      <c r="L878" s="1">
        <v>43533</v>
      </c>
      <c r="M878" s="2">
        <v>0.74236111111111114</v>
      </c>
      <c r="N878" t="s">
        <v>33</v>
      </c>
      <c r="O878">
        <v>52.35</v>
      </c>
      <c r="P878">
        <v>4.7619047620000003</v>
      </c>
      <c r="Q878">
        <v>0</v>
      </c>
      <c r="R878">
        <v>4.2</v>
      </c>
      <c r="S878">
        <v>96.078500000000005</v>
      </c>
      <c r="T878">
        <v>19.763300000000001</v>
      </c>
    </row>
    <row r="879" spans="1:20" x14ac:dyDescent="0.3">
      <c r="A879" t="s">
        <v>1359</v>
      </c>
      <c r="B879" t="s">
        <v>51</v>
      </c>
      <c r="C879" t="s">
        <v>361</v>
      </c>
      <c r="D879" t="s">
        <v>53</v>
      </c>
      <c r="E879" t="s">
        <v>32</v>
      </c>
      <c r="F879" t="s">
        <v>36</v>
      </c>
      <c r="G879" t="s">
        <v>60</v>
      </c>
      <c r="H879">
        <v>39.75</v>
      </c>
      <c r="I879">
        <v>1</v>
      </c>
      <c r="J879">
        <v>1.9875</v>
      </c>
      <c r="K879">
        <v>39.75</v>
      </c>
      <c r="L879" s="1">
        <v>43495</v>
      </c>
      <c r="M879" s="2">
        <v>0.84652777777777777</v>
      </c>
      <c r="N879" t="s">
        <v>33</v>
      </c>
      <c r="O879">
        <v>39.75</v>
      </c>
      <c r="P879">
        <v>4.7619047620000003</v>
      </c>
      <c r="Q879">
        <v>0</v>
      </c>
      <c r="R879">
        <v>7.32</v>
      </c>
      <c r="S879">
        <v>96.089100000000002</v>
      </c>
      <c r="T879">
        <v>21.9588</v>
      </c>
    </row>
    <row r="880" spans="1:20" x14ac:dyDescent="0.3">
      <c r="A880" t="s">
        <v>1360</v>
      </c>
      <c r="B880" t="s">
        <v>21</v>
      </c>
      <c r="C880" t="s">
        <v>1361</v>
      </c>
      <c r="D880" t="s">
        <v>23</v>
      </c>
      <c r="E880" t="s">
        <v>32</v>
      </c>
      <c r="F880" t="s">
        <v>25</v>
      </c>
      <c r="G880" t="s">
        <v>60</v>
      </c>
      <c r="H880">
        <v>90.02</v>
      </c>
      <c r="I880">
        <v>8</v>
      </c>
      <c r="J880">
        <v>36.008000000000003</v>
      </c>
      <c r="K880">
        <v>720.16</v>
      </c>
      <c r="L880" s="1">
        <v>43726</v>
      </c>
      <c r="M880" s="2">
        <v>0.67222222222222228</v>
      </c>
      <c r="N880" t="s">
        <v>37</v>
      </c>
      <c r="O880">
        <v>720.16</v>
      </c>
      <c r="P880">
        <v>4.7619047620000003</v>
      </c>
      <c r="Q880">
        <v>0</v>
      </c>
      <c r="R880">
        <v>4.5</v>
      </c>
      <c r="S880">
        <v>96.173500000000004</v>
      </c>
      <c r="T880">
        <v>16.840900000000001</v>
      </c>
    </row>
    <row r="881" spans="1:20" x14ac:dyDescent="0.3">
      <c r="A881" t="s">
        <v>1362</v>
      </c>
      <c r="B881" t="s">
        <v>51</v>
      </c>
      <c r="C881" t="s">
        <v>859</v>
      </c>
      <c r="D881" t="s">
        <v>53</v>
      </c>
      <c r="E881" t="s">
        <v>32</v>
      </c>
      <c r="F881" t="s">
        <v>25</v>
      </c>
      <c r="G881" t="s">
        <v>60</v>
      </c>
      <c r="H881">
        <v>12.1</v>
      </c>
      <c r="I881">
        <v>11</v>
      </c>
      <c r="J881">
        <v>6.6550000000000002</v>
      </c>
      <c r="K881">
        <v>133.1</v>
      </c>
      <c r="L881" s="1">
        <v>43671</v>
      </c>
      <c r="M881" s="2">
        <v>0.4284722222222222</v>
      </c>
      <c r="N881" t="s">
        <v>27</v>
      </c>
      <c r="O881">
        <v>96.8</v>
      </c>
      <c r="P881">
        <v>4.7619047620000003</v>
      </c>
      <c r="Q881">
        <v>36.299999999999997</v>
      </c>
      <c r="R881">
        <v>10</v>
      </c>
      <c r="S881">
        <v>96.089100000000002</v>
      </c>
      <c r="T881">
        <v>21.9588</v>
      </c>
    </row>
    <row r="882" spans="1:20" x14ac:dyDescent="0.3">
      <c r="A882" t="s">
        <v>1363</v>
      </c>
      <c r="B882" t="s">
        <v>51</v>
      </c>
      <c r="C882" t="s">
        <v>52</v>
      </c>
      <c r="D882" t="s">
        <v>53</v>
      </c>
      <c r="E882" t="s">
        <v>32</v>
      </c>
      <c r="F882" t="s">
        <v>25</v>
      </c>
      <c r="G882" t="s">
        <v>63</v>
      </c>
      <c r="H882">
        <v>33.21</v>
      </c>
      <c r="I882">
        <v>14</v>
      </c>
      <c r="J882">
        <v>23.247</v>
      </c>
      <c r="K882">
        <v>464.94</v>
      </c>
      <c r="L882" s="1">
        <v>43815</v>
      </c>
      <c r="M882" s="2">
        <v>0.60069444444444442</v>
      </c>
      <c r="N882" t="s">
        <v>27</v>
      </c>
      <c r="O882">
        <v>332.1</v>
      </c>
      <c r="P882">
        <v>4.7619047620000003</v>
      </c>
      <c r="Q882">
        <v>132.84</v>
      </c>
      <c r="R882">
        <v>7.2</v>
      </c>
      <c r="S882">
        <v>96.089100000000002</v>
      </c>
      <c r="T882">
        <v>21.9588</v>
      </c>
    </row>
    <row r="883" spans="1:20" x14ac:dyDescent="0.3">
      <c r="A883" t="s">
        <v>1364</v>
      </c>
      <c r="B883" t="s">
        <v>29</v>
      </c>
      <c r="C883" t="s">
        <v>183</v>
      </c>
      <c r="D883" t="s">
        <v>31</v>
      </c>
      <c r="E883" t="s">
        <v>32</v>
      </c>
      <c r="F883" t="s">
        <v>25</v>
      </c>
      <c r="G883" t="s">
        <v>100</v>
      </c>
      <c r="H883">
        <v>10.18</v>
      </c>
      <c r="I883">
        <v>10</v>
      </c>
      <c r="J883">
        <v>5.09</v>
      </c>
      <c r="K883">
        <v>101.8</v>
      </c>
      <c r="L883" s="1">
        <v>43709</v>
      </c>
      <c r="M883" s="2">
        <v>0.53541666666666665</v>
      </c>
      <c r="N883" t="s">
        <v>37</v>
      </c>
      <c r="O883">
        <v>81.44</v>
      </c>
      <c r="P883">
        <v>4.7619047620000003</v>
      </c>
      <c r="Q883">
        <v>20.36</v>
      </c>
      <c r="R883">
        <v>9.9749999999999996</v>
      </c>
      <c r="S883">
        <v>96.078500000000005</v>
      </c>
      <c r="T883">
        <v>19.763300000000001</v>
      </c>
    </row>
    <row r="884" spans="1:20" x14ac:dyDescent="0.3">
      <c r="A884" t="s">
        <v>1365</v>
      </c>
      <c r="B884" t="s">
        <v>51</v>
      </c>
      <c r="C884" t="s">
        <v>791</v>
      </c>
      <c r="D884" t="s">
        <v>53</v>
      </c>
      <c r="E884" t="s">
        <v>32</v>
      </c>
      <c r="F884" t="s">
        <v>36</v>
      </c>
      <c r="G884" t="s">
        <v>68</v>
      </c>
      <c r="H884">
        <v>31.99</v>
      </c>
      <c r="I884">
        <v>14</v>
      </c>
      <c r="J884">
        <v>22.393000000000001</v>
      </c>
      <c r="K884">
        <v>447.86</v>
      </c>
      <c r="L884" s="1">
        <v>43665</v>
      </c>
      <c r="M884" s="2">
        <v>0.63749999999999996</v>
      </c>
      <c r="N884" t="s">
        <v>37</v>
      </c>
      <c r="O884">
        <v>319.89999999999998</v>
      </c>
      <c r="P884">
        <v>4.7619047620000003</v>
      </c>
      <c r="Q884">
        <v>127.96</v>
      </c>
      <c r="R884">
        <v>10</v>
      </c>
      <c r="S884">
        <v>96.089100000000002</v>
      </c>
      <c r="T884">
        <v>21.9588</v>
      </c>
    </row>
    <row r="885" spans="1:20" x14ac:dyDescent="0.3">
      <c r="A885" t="s">
        <v>1366</v>
      </c>
      <c r="B885" t="s">
        <v>21</v>
      </c>
      <c r="C885" t="s">
        <v>1367</v>
      </c>
      <c r="D885" t="s">
        <v>23</v>
      </c>
      <c r="E885" t="s">
        <v>32</v>
      </c>
      <c r="F885" t="s">
        <v>25</v>
      </c>
      <c r="G885" t="s">
        <v>77</v>
      </c>
      <c r="H885">
        <v>34.42</v>
      </c>
      <c r="I885">
        <v>6</v>
      </c>
      <c r="J885">
        <v>10.326000000000001</v>
      </c>
      <c r="K885">
        <v>206.52</v>
      </c>
      <c r="L885" s="1">
        <v>43790</v>
      </c>
      <c r="M885" s="2">
        <v>0.53125</v>
      </c>
      <c r="N885" t="s">
        <v>27</v>
      </c>
      <c r="O885">
        <v>206.52</v>
      </c>
      <c r="P885">
        <v>4.7619047620000003</v>
      </c>
      <c r="Q885">
        <v>0</v>
      </c>
      <c r="R885">
        <v>7.5</v>
      </c>
      <c r="S885">
        <v>96.173500000000004</v>
      </c>
      <c r="T885">
        <v>16.840900000000001</v>
      </c>
    </row>
    <row r="886" spans="1:20" x14ac:dyDescent="0.3">
      <c r="A886" t="s">
        <v>1368</v>
      </c>
      <c r="B886" t="s">
        <v>21</v>
      </c>
      <c r="C886" t="s">
        <v>1369</v>
      </c>
      <c r="D886" t="s">
        <v>23</v>
      </c>
      <c r="E886" t="s">
        <v>32</v>
      </c>
      <c r="F886" t="s">
        <v>25</v>
      </c>
      <c r="G886" t="s">
        <v>63</v>
      </c>
      <c r="H886">
        <v>83.34</v>
      </c>
      <c r="I886">
        <v>2</v>
      </c>
      <c r="J886">
        <v>8.3339999999999996</v>
      </c>
      <c r="K886">
        <v>166.68</v>
      </c>
      <c r="L886" s="1">
        <v>43708</v>
      </c>
      <c r="M886" s="2">
        <v>0.56736111111111109</v>
      </c>
      <c r="N886" t="s">
        <v>33</v>
      </c>
      <c r="O886">
        <v>166.68</v>
      </c>
      <c r="P886">
        <v>4.7619047620000003</v>
      </c>
      <c r="Q886">
        <v>0</v>
      </c>
      <c r="R886">
        <v>7.6</v>
      </c>
      <c r="S886">
        <v>96.173500000000004</v>
      </c>
      <c r="T886">
        <v>16.840900000000001</v>
      </c>
    </row>
    <row r="887" spans="1:20" x14ac:dyDescent="0.3">
      <c r="A887" t="s">
        <v>1370</v>
      </c>
      <c r="B887" t="s">
        <v>21</v>
      </c>
      <c r="C887" t="s">
        <v>1328</v>
      </c>
      <c r="D887" t="s">
        <v>23</v>
      </c>
      <c r="E887" t="s">
        <v>32</v>
      </c>
      <c r="F887" t="s">
        <v>36</v>
      </c>
      <c r="G887" t="s">
        <v>68</v>
      </c>
      <c r="H887">
        <v>45.58</v>
      </c>
      <c r="I887">
        <v>7</v>
      </c>
      <c r="J887">
        <v>15.952999999999999</v>
      </c>
      <c r="K887">
        <v>319.06</v>
      </c>
      <c r="L887" s="1">
        <v>43736</v>
      </c>
      <c r="M887" s="2">
        <v>0.41875000000000001</v>
      </c>
      <c r="N887" t="s">
        <v>33</v>
      </c>
      <c r="O887">
        <v>319.06</v>
      </c>
      <c r="P887">
        <v>4.7619047620000003</v>
      </c>
      <c r="Q887">
        <v>0</v>
      </c>
      <c r="R887">
        <v>5</v>
      </c>
      <c r="S887">
        <v>96.173500000000004</v>
      </c>
      <c r="T887">
        <v>16.840900000000001</v>
      </c>
    </row>
    <row r="888" spans="1:20" x14ac:dyDescent="0.3">
      <c r="A888" t="s">
        <v>1371</v>
      </c>
      <c r="B888" t="s">
        <v>21</v>
      </c>
      <c r="C888" t="s">
        <v>179</v>
      </c>
      <c r="D888" t="s">
        <v>23</v>
      </c>
      <c r="E888" t="s">
        <v>32</v>
      </c>
      <c r="F888" t="s">
        <v>36</v>
      </c>
      <c r="G888" t="s">
        <v>63</v>
      </c>
      <c r="H888">
        <v>87.9</v>
      </c>
      <c r="I888">
        <v>1</v>
      </c>
      <c r="J888">
        <v>4.3949999999999996</v>
      </c>
      <c r="K888">
        <v>87.9</v>
      </c>
      <c r="L888" s="1">
        <v>43580</v>
      </c>
      <c r="M888" s="2">
        <v>0.8208333333333333</v>
      </c>
      <c r="N888" t="s">
        <v>27</v>
      </c>
      <c r="O888">
        <v>87.9</v>
      </c>
      <c r="P888">
        <v>4.7619047620000003</v>
      </c>
      <c r="Q888">
        <v>0</v>
      </c>
      <c r="R888">
        <v>6.7</v>
      </c>
      <c r="S888">
        <v>96.173500000000004</v>
      </c>
      <c r="T888">
        <v>16.840900000000001</v>
      </c>
    </row>
    <row r="889" spans="1:20" x14ac:dyDescent="0.3">
      <c r="A889" t="s">
        <v>1372</v>
      </c>
      <c r="B889" t="s">
        <v>21</v>
      </c>
      <c r="C889" t="s">
        <v>1373</v>
      </c>
      <c r="D889" t="s">
        <v>23</v>
      </c>
      <c r="E889" t="s">
        <v>32</v>
      </c>
      <c r="F889" t="s">
        <v>25</v>
      </c>
      <c r="G889" t="s">
        <v>60</v>
      </c>
      <c r="H889">
        <v>73.47</v>
      </c>
      <c r="I889">
        <v>10</v>
      </c>
      <c r="J889">
        <v>36.734999999999999</v>
      </c>
      <c r="K889">
        <v>734.7</v>
      </c>
      <c r="L889" s="1">
        <v>43511</v>
      </c>
      <c r="M889" s="2">
        <v>0.55138888888888893</v>
      </c>
      <c r="N889" t="s">
        <v>27</v>
      </c>
      <c r="O889">
        <v>734.7</v>
      </c>
      <c r="P889">
        <v>4.7619047620000003</v>
      </c>
      <c r="Q889">
        <v>0</v>
      </c>
      <c r="R889">
        <v>9.5</v>
      </c>
      <c r="S889">
        <v>96.173500000000004</v>
      </c>
      <c r="T889">
        <v>16.840900000000001</v>
      </c>
    </row>
    <row r="890" spans="1:20" x14ac:dyDescent="0.3">
      <c r="A890" t="s">
        <v>1374</v>
      </c>
      <c r="B890" t="s">
        <v>29</v>
      </c>
      <c r="C890" t="s">
        <v>367</v>
      </c>
      <c r="D890" t="s">
        <v>31</v>
      </c>
      <c r="E890" t="s">
        <v>32</v>
      </c>
      <c r="F890" t="s">
        <v>25</v>
      </c>
      <c r="G890" t="s">
        <v>100</v>
      </c>
      <c r="H890">
        <v>12.19</v>
      </c>
      <c r="I890">
        <v>10</v>
      </c>
      <c r="J890">
        <v>6.0949999999999998</v>
      </c>
      <c r="K890">
        <v>121.9</v>
      </c>
      <c r="L890" s="1">
        <v>43722</v>
      </c>
      <c r="M890" s="2">
        <v>0.53263888888888888</v>
      </c>
      <c r="N890" t="s">
        <v>27</v>
      </c>
      <c r="O890">
        <v>97.52</v>
      </c>
      <c r="P890">
        <v>4.7619047620000003</v>
      </c>
      <c r="Q890">
        <v>24.38</v>
      </c>
      <c r="R890">
        <v>7.14</v>
      </c>
      <c r="S890">
        <v>96.078500000000005</v>
      </c>
      <c r="T890">
        <v>19.763300000000001</v>
      </c>
    </row>
    <row r="891" spans="1:20" x14ac:dyDescent="0.3">
      <c r="A891" t="s">
        <v>1375</v>
      </c>
      <c r="B891" t="s">
        <v>21</v>
      </c>
      <c r="C891" t="s">
        <v>606</v>
      </c>
      <c r="D891" t="s">
        <v>23</v>
      </c>
      <c r="E891" t="s">
        <v>32</v>
      </c>
      <c r="F891" t="s">
        <v>36</v>
      </c>
      <c r="G891" t="s">
        <v>68</v>
      </c>
      <c r="H891">
        <v>76.92</v>
      </c>
      <c r="I891">
        <v>10</v>
      </c>
      <c r="J891">
        <v>38.46</v>
      </c>
      <c r="K891">
        <v>769.2</v>
      </c>
      <c r="L891" s="1">
        <v>43819</v>
      </c>
      <c r="M891" s="2">
        <v>0.82847222222222228</v>
      </c>
      <c r="N891" t="s">
        <v>27</v>
      </c>
      <c r="O891">
        <v>769.2</v>
      </c>
      <c r="P891">
        <v>4.7619047620000003</v>
      </c>
      <c r="Q891">
        <v>0</v>
      </c>
      <c r="R891">
        <v>5.6</v>
      </c>
      <c r="S891">
        <v>96.173500000000004</v>
      </c>
      <c r="T891">
        <v>16.840900000000001</v>
      </c>
    </row>
    <row r="892" spans="1:20" x14ac:dyDescent="0.3">
      <c r="A892" t="s">
        <v>1376</v>
      </c>
      <c r="B892" t="s">
        <v>29</v>
      </c>
      <c r="C892" t="s">
        <v>1377</v>
      </c>
      <c r="D892" t="s">
        <v>31</v>
      </c>
      <c r="E892" t="s">
        <v>32</v>
      </c>
      <c r="F892" t="s">
        <v>25</v>
      </c>
      <c r="G892" t="s">
        <v>26</v>
      </c>
      <c r="H892">
        <v>83.66</v>
      </c>
      <c r="I892">
        <v>6</v>
      </c>
      <c r="J892">
        <v>25.097999999999999</v>
      </c>
      <c r="K892">
        <v>501.96</v>
      </c>
      <c r="L892" s="1">
        <v>43724</v>
      </c>
      <c r="M892" s="2">
        <v>0.43472222222222223</v>
      </c>
      <c r="N892" t="s">
        <v>33</v>
      </c>
      <c r="O892">
        <v>418.3</v>
      </c>
      <c r="P892">
        <v>4.7619047620000003</v>
      </c>
      <c r="Q892">
        <v>83.66</v>
      </c>
      <c r="R892">
        <v>7.56</v>
      </c>
      <c r="S892">
        <v>96.078500000000005</v>
      </c>
      <c r="T892">
        <v>19.763300000000001</v>
      </c>
    </row>
    <row r="893" spans="1:20" x14ac:dyDescent="0.3">
      <c r="A893" t="s">
        <v>1378</v>
      </c>
      <c r="B893" t="s">
        <v>51</v>
      </c>
      <c r="C893" t="s">
        <v>656</v>
      </c>
      <c r="D893" t="s">
        <v>53</v>
      </c>
      <c r="E893" t="s">
        <v>32</v>
      </c>
      <c r="F893" t="s">
        <v>25</v>
      </c>
      <c r="G893" t="s">
        <v>68</v>
      </c>
      <c r="H893">
        <v>57.91</v>
      </c>
      <c r="I893">
        <v>11</v>
      </c>
      <c r="J893">
        <v>31.8505</v>
      </c>
      <c r="K893">
        <v>637.01</v>
      </c>
      <c r="L893" s="1">
        <v>43657</v>
      </c>
      <c r="M893" s="2">
        <v>0.62916666666666665</v>
      </c>
      <c r="N893" t="s">
        <v>33</v>
      </c>
      <c r="O893">
        <v>463.28</v>
      </c>
      <c r="P893">
        <v>4.7619047620000003</v>
      </c>
      <c r="Q893">
        <v>173.73</v>
      </c>
      <c r="R893">
        <v>9.7200000000000006</v>
      </c>
      <c r="S893">
        <v>96.089100000000002</v>
      </c>
      <c r="T893">
        <v>21.9588</v>
      </c>
    </row>
    <row r="894" spans="1:20" x14ac:dyDescent="0.3">
      <c r="A894" t="s">
        <v>1379</v>
      </c>
      <c r="B894" t="s">
        <v>29</v>
      </c>
      <c r="C894" t="s">
        <v>278</v>
      </c>
      <c r="D894" t="s">
        <v>31</v>
      </c>
      <c r="E894" t="s">
        <v>32</v>
      </c>
      <c r="F894" t="s">
        <v>25</v>
      </c>
      <c r="G894" t="s">
        <v>68</v>
      </c>
      <c r="H894">
        <v>92.49</v>
      </c>
      <c r="I894">
        <v>6</v>
      </c>
      <c r="J894">
        <v>27.747</v>
      </c>
      <c r="K894">
        <v>554.94000000000005</v>
      </c>
      <c r="L894" s="1">
        <v>43584</v>
      </c>
      <c r="M894" s="2">
        <v>0.69097222222222221</v>
      </c>
      <c r="N894" t="s">
        <v>37</v>
      </c>
      <c r="O894">
        <v>462.45</v>
      </c>
      <c r="P894">
        <v>4.7619047620000003</v>
      </c>
      <c r="Q894">
        <v>92.49</v>
      </c>
      <c r="R894">
        <v>9.0299999999999994</v>
      </c>
      <c r="S894">
        <v>96.078500000000005</v>
      </c>
      <c r="T894">
        <v>19.763300000000001</v>
      </c>
    </row>
    <row r="895" spans="1:20" x14ac:dyDescent="0.3">
      <c r="A895" t="s">
        <v>1380</v>
      </c>
      <c r="B895" t="s">
        <v>51</v>
      </c>
      <c r="C895" t="s">
        <v>328</v>
      </c>
      <c r="D895" t="s">
        <v>53</v>
      </c>
      <c r="E895" t="s">
        <v>32</v>
      </c>
      <c r="F895" t="s">
        <v>36</v>
      </c>
      <c r="G895" t="s">
        <v>68</v>
      </c>
      <c r="H895">
        <v>28.38</v>
      </c>
      <c r="I895">
        <v>7</v>
      </c>
      <c r="J895">
        <v>9.9329999999999998</v>
      </c>
      <c r="K895">
        <v>198.66</v>
      </c>
      <c r="L895" s="1">
        <v>43762</v>
      </c>
      <c r="M895" s="2">
        <v>0.87291666666666667</v>
      </c>
      <c r="N895" t="s">
        <v>33</v>
      </c>
      <c r="O895">
        <v>141.9</v>
      </c>
      <c r="P895">
        <v>4.7619047620000003</v>
      </c>
      <c r="Q895">
        <v>56.76</v>
      </c>
      <c r="R895">
        <v>10</v>
      </c>
      <c r="S895">
        <v>96.089100000000002</v>
      </c>
      <c r="T895">
        <v>21.9588</v>
      </c>
    </row>
    <row r="896" spans="1:20" x14ac:dyDescent="0.3">
      <c r="A896" t="s">
        <v>1381</v>
      </c>
      <c r="B896" t="s">
        <v>51</v>
      </c>
      <c r="C896" t="s">
        <v>95</v>
      </c>
      <c r="D896" t="s">
        <v>53</v>
      </c>
      <c r="E896" t="s">
        <v>32</v>
      </c>
      <c r="F896" t="s">
        <v>36</v>
      </c>
      <c r="G896" t="s">
        <v>68</v>
      </c>
      <c r="H896">
        <v>50.45</v>
      </c>
      <c r="I896">
        <v>8</v>
      </c>
      <c r="J896">
        <v>20.18</v>
      </c>
      <c r="K896">
        <v>403.6</v>
      </c>
      <c r="L896" s="1">
        <v>43546</v>
      </c>
      <c r="M896" s="2">
        <v>0.63611111111111107</v>
      </c>
      <c r="N896" t="s">
        <v>37</v>
      </c>
      <c r="O896">
        <v>302.7</v>
      </c>
      <c r="P896">
        <v>4.7619047620000003</v>
      </c>
      <c r="Q896">
        <v>100.9</v>
      </c>
      <c r="R896">
        <v>10</v>
      </c>
      <c r="S896">
        <v>96.089100000000002</v>
      </c>
      <c r="T896">
        <v>21.9588</v>
      </c>
    </row>
    <row r="897" spans="1:20" x14ac:dyDescent="0.3">
      <c r="A897" t="s">
        <v>1382</v>
      </c>
      <c r="B897" t="s">
        <v>51</v>
      </c>
      <c r="C897" t="s">
        <v>333</v>
      </c>
      <c r="D897" t="s">
        <v>53</v>
      </c>
      <c r="E897" t="s">
        <v>32</v>
      </c>
      <c r="F897" t="s">
        <v>36</v>
      </c>
      <c r="G897" t="s">
        <v>68</v>
      </c>
      <c r="H897">
        <v>99.16</v>
      </c>
      <c r="I897">
        <v>11</v>
      </c>
      <c r="J897">
        <v>54.537999999999997</v>
      </c>
      <c r="K897">
        <v>1090.76</v>
      </c>
      <c r="L897" s="1">
        <v>43745</v>
      </c>
      <c r="M897" s="2">
        <v>0.74097222222222225</v>
      </c>
      <c r="N897" t="s">
        <v>37</v>
      </c>
      <c r="O897">
        <v>793.28</v>
      </c>
      <c r="P897">
        <v>4.7619047620000003</v>
      </c>
      <c r="Q897">
        <v>297.48</v>
      </c>
      <c r="R897">
        <v>5.04</v>
      </c>
      <c r="S897">
        <v>96.089100000000002</v>
      </c>
      <c r="T897">
        <v>21.9588</v>
      </c>
    </row>
    <row r="898" spans="1:20" x14ac:dyDescent="0.3">
      <c r="A898" t="s">
        <v>1383</v>
      </c>
      <c r="B898" t="s">
        <v>29</v>
      </c>
      <c r="C898" t="s">
        <v>685</v>
      </c>
      <c r="D898" t="s">
        <v>31</v>
      </c>
      <c r="E898" t="s">
        <v>32</v>
      </c>
      <c r="F898" t="s">
        <v>36</v>
      </c>
      <c r="G898" t="s">
        <v>68</v>
      </c>
      <c r="H898">
        <v>60.74</v>
      </c>
      <c r="I898">
        <v>8</v>
      </c>
      <c r="J898">
        <v>24.295999999999999</v>
      </c>
      <c r="K898">
        <v>485.92</v>
      </c>
      <c r="L898" s="1">
        <v>43761</v>
      </c>
      <c r="M898" s="2">
        <v>0.68263888888888891</v>
      </c>
      <c r="N898" t="s">
        <v>27</v>
      </c>
      <c r="O898">
        <v>425.18</v>
      </c>
      <c r="P898">
        <v>4.7619047620000003</v>
      </c>
      <c r="Q898">
        <v>60.74</v>
      </c>
      <c r="R898">
        <v>5.25</v>
      </c>
      <c r="S898">
        <v>96.078500000000005</v>
      </c>
      <c r="T898">
        <v>19.763300000000001</v>
      </c>
    </row>
    <row r="899" spans="1:20" x14ac:dyDescent="0.3">
      <c r="A899" t="s">
        <v>1384</v>
      </c>
      <c r="B899" t="s">
        <v>29</v>
      </c>
      <c r="C899" t="s">
        <v>509</v>
      </c>
      <c r="D899" t="s">
        <v>31</v>
      </c>
      <c r="E899" t="s">
        <v>32</v>
      </c>
      <c r="F899" t="s">
        <v>25</v>
      </c>
      <c r="G899" t="s">
        <v>68</v>
      </c>
      <c r="H899">
        <v>47.27</v>
      </c>
      <c r="I899">
        <v>7</v>
      </c>
      <c r="J899">
        <v>16.544499999999999</v>
      </c>
      <c r="K899">
        <v>330.89</v>
      </c>
      <c r="L899" s="1">
        <v>43468</v>
      </c>
      <c r="M899" s="2">
        <v>0.4284722222222222</v>
      </c>
      <c r="N899" t="s">
        <v>33</v>
      </c>
      <c r="O899">
        <v>283.62</v>
      </c>
      <c r="P899">
        <v>4.7619047620000003</v>
      </c>
      <c r="Q899">
        <v>47.27</v>
      </c>
      <c r="R899">
        <v>9.24</v>
      </c>
      <c r="S899">
        <v>96.078500000000005</v>
      </c>
      <c r="T899">
        <v>19.763300000000001</v>
      </c>
    </row>
    <row r="900" spans="1:20" x14ac:dyDescent="0.3">
      <c r="A900" t="s">
        <v>1385</v>
      </c>
      <c r="B900" t="s">
        <v>29</v>
      </c>
      <c r="C900" t="s">
        <v>347</v>
      </c>
      <c r="D900" t="s">
        <v>31</v>
      </c>
      <c r="E900" t="s">
        <v>32</v>
      </c>
      <c r="F900" t="s">
        <v>36</v>
      </c>
      <c r="G900" t="s">
        <v>68</v>
      </c>
      <c r="H900">
        <v>85.6</v>
      </c>
      <c r="I900">
        <v>8</v>
      </c>
      <c r="J900">
        <v>34.24</v>
      </c>
      <c r="K900">
        <v>684.8</v>
      </c>
      <c r="L900" s="1">
        <v>43679</v>
      </c>
      <c r="M900" s="2">
        <v>0.57638888888888884</v>
      </c>
      <c r="N900" t="s">
        <v>33</v>
      </c>
      <c r="O900">
        <v>599.20000000000005</v>
      </c>
      <c r="P900">
        <v>4.7619047620000003</v>
      </c>
      <c r="Q900">
        <v>85.6</v>
      </c>
      <c r="R900">
        <v>5.5650000000000004</v>
      </c>
      <c r="S900">
        <v>96.078500000000005</v>
      </c>
      <c r="T900">
        <v>19.763300000000001</v>
      </c>
    </row>
    <row r="901" spans="1:20" x14ac:dyDescent="0.3">
      <c r="A901" t="s">
        <v>1386</v>
      </c>
      <c r="B901" t="s">
        <v>21</v>
      </c>
      <c r="C901" t="s">
        <v>1387</v>
      </c>
      <c r="D901" t="s">
        <v>23</v>
      </c>
      <c r="E901" t="s">
        <v>32</v>
      </c>
      <c r="F901" t="s">
        <v>36</v>
      </c>
      <c r="G901" t="s">
        <v>68</v>
      </c>
      <c r="H901">
        <v>35.04</v>
      </c>
      <c r="I901">
        <v>9</v>
      </c>
      <c r="J901">
        <v>15.768000000000001</v>
      </c>
      <c r="K901">
        <v>315.36</v>
      </c>
      <c r="L901" s="1">
        <v>43518</v>
      </c>
      <c r="M901" s="2">
        <v>0.80347222222222225</v>
      </c>
      <c r="N901" t="s">
        <v>27</v>
      </c>
      <c r="O901">
        <v>315.36</v>
      </c>
      <c r="P901">
        <v>4.7619047620000003</v>
      </c>
      <c r="Q901">
        <v>0</v>
      </c>
      <c r="R901">
        <v>4.5999999999999996</v>
      </c>
      <c r="S901">
        <v>96.173500000000004</v>
      </c>
      <c r="T901">
        <v>16.840900000000001</v>
      </c>
    </row>
    <row r="902" spans="1:20" x14ac:dyDescent="0.3">
      <c r="A902" t="s">
        <v>1388</v>
      </c>
      <c r="B902" t="s">
        <v>29</v>
      </c>
      <c r="C902" t="s">
        <v>1389</v>
      </c>
      <c r="D902" t="s">
        <v>31</v>
      </c>
      <c r="E902" t="s">
        <v>32</v>
      </c>
      <c r="F902" t="s">
        <v>25</v>
      </c>
      <c r="G902" t="s">
        <v>68</v>
      </c>
      <c r="H902">
        <v>44.84</v>
      </c>
      <c r="I902">
        <v>11</v>
      </c>
      <c r="J902">
        <v>24.661999999999999</v>
      </c>
      <c r="K902">
        <v>493.24</v>
      </c>
      <c r="L902" s="1">
        <v>43805</v>
      </c>
      <c r="M902" s="2">
        <v>0.58333333333333337</v>
      </c>
      <c r="N902" t="s">
        <v>37</v>
      </c>
      <c r="O902">
        <v>403.56</v>
      </c>
      <c r="P902">
        <v>4.7619047620000003</v>
      </c>
      <c r="Q902">
        <v>89.68</v>
      </c>
      <c r="R902">
        <v>7.875</v>
      </c>
      <c r="S902">
        <v>96.078500000000005</v>
      </c>
      <c r="T902">
        <v>19.763300000000001</v>
      </c>
    </row>
    <row r="903" spans="1:20" x14ac:dyDescent="0.3">
      <c r="A903" t="s">
        <v>1390</v>
      </c>
      <c r="B903" t="s">
        <v>51</v>
      </c>
      <c r="C903" t="s">
        <v>665</v>
      </c>
      <c r="D903" t="s">
        <v>53</v>
      </c>
      <c r="E903" t="s">
        <v>32</v>
      </c>
      <c r="F903" t="s">
        <v>36</v>
      </c>
      <c r="G903" t="s">
        <v>68</v>
      </c>
      <c r="H903">
        <v>45.97</v>
      </c>
      <c r="I903">
        <v>6</v>
      </c>
      <c r="J903">
        <v>13.791</v>
      </c>
      <c r="K903">
        <v>275.82</v>
      </c>
      <c r="L903" s="1">
        <v>43608</v>
      </c>
      <c r="M903" s="2">
        <v>0.50138888888888888</v>
      </c>
      <c r="N903" t="s">
        <v>27</v>
      </c>
      <c r="O903">
        <v>183.88</v>
      </c>
      <c r="P903">
        <v>4.7619047620000003</v>
      </c>
      <c r="Q903">
        <v>91.94</v>
      </c>
      <c r="R903">
        <v>6.12</v>
      </c>
      <c r="S903">
        <v>96.089100000000002</v>
      </c>
      <c r="T903">
        <v>21.9588</v>
      </c>
    </row>
    <row r="904" spans="1:20" x14ac:dyDescent="0.3">
      <c r="A904" t="s">
        <v>1391</v>
      </c>
      <c r="B904" t="s">
        <v>21</v>
      </c>
      <c r="C904" t="s">
        <v>1294</v>
      </c>
      <c r="D904" t="s">
        <v>23</v>
      </c>
      <c r="E904" t="s">
        <v>32</v>
      </c>
      <c r="F904" t="s">
        <v>25</v>
      </c>
      <c r="G904" t="s">
        <v>26</v>
      </c>
      <c r="H904">
        <v>27.73</v>
      </c>
      <c r="I904">
        <v>5</v>
      </c>
      <c r="J904">
        <v>6.9325000000000001</v>
      </c>
      <c r="K904">
        <v>138.65</v>
      </c>
      <c r="L904" s="1">
        <v>43612</v>
      </c>
      <c r="M904" s="2">
        <v>0.84791666666666665</v>
      </c>
      <c r="N904" t="s">
        <v>37</v>
      </c>
      <c r="O904">
        <v>138.65</v>
      </c>
      <c r="P904">
        <v>4.7619047620000003</v>
      </c>
      <c r="Q904">
        <v>0</v>
      </c>
      <c r="R904">
        <v>4.2</v>
      </c>
      <c r="S904">
        <v>96.173500000000004</v>
      </c>
      <c r="T904">
        <v>16.840900000000001</v>
      </c>
    </row>
    <row r="905" spans="1:20" x14ac:dyDescent="0.3">
      <c r="A905" t="s">
        <v>1392</v>
      </c>
      <c r="B905" t="s">
        <v>21</v>
      </c>
      <c r="C905" t="s">
        <v>1146</v>
      </c>
      <c r="D905" t="s">
        <v>23</v>
      </c>
      <c r="E905" t="s">
        <v>32</v>
      </c>
      <c r="F905" t="s">
        <v>36</v>
      </c>
      <c r="G905" t="s">
        <v>63</v>
      </c>
      <c r="H905">
        <v>11.53</v>
      </c>
      <c r="I905">
        <v>7</v>
      </c>
      <c r="J905">
        <v>4.0354999999999999</v>
      </c>
      <c r="K905">
        <v>80.709999999999994</v>
      </c>
      <c r="L905" s="1">
        <v>43477</v>
      </c>
      <c r="M905" s="2">
        <v>0.73263888888888884</v>
      </c>
      <c r="N905" t="s">
        <v>33</v>
      </c>
      <c r="O905">
        <v>80.709999999999994</v>
      </c>
      <c r="P905">
        <v>4.7619047620000003</v>
      </c>
      <c r="Q905">
        <v>0</v>
      </c>
      <c r="R905">
        <v>8.1</v>
      </c>
      <c r="S905">
        <v>96.173500000000004</v>
      </c>
      <c r="T905">
        <v>16.840900000000001</v>
      </c>
    </row>
    <row r="906" spans="1:20" x14ac:dyDescent="0.3">
      <c r="A906" t="s">
        <v>1393</v>
      </c>
      <c r="B906" t="s">
        <v>29</v>
      </c>
      <c r="C906" t="s">
        <v>1394</v>
      </c>
      <c r="D906" t="s">
        <v>31</v>
      </c>
      <c r="E906" t="s">
        <v>32</v>
      </c>
      <c r="F906" t="s">
        <v>25</v>
      </c>
      <c r="G906" t="s">
        <v>26</v>
      </c>
      <c r="H906">
        <v>58.32</v>
      </c>
      <c r="I906">
        <v>2</v>
      </c>
      <c r="J906">
        <v>5.8319999999999999</v>
      </c>
      <c r="K906">
        <v>116.64</v>
      </c>
      <c r="L906" s="1">
        <v>43743</v>
      </c>
      <c r="M906" s="2">
        <v>0.52916666666666667</v>
      </c>
      <c r="N906" t="s">
        <v>27</v>
      </c>
      <c r="O906">
        <v>116.64</v>
      </c>
      <c r="P906">
        <v>4.7619047620000003</v>
      </c>
      <c r="Q906">
        <v>0</v>
      </c>
      <c r="R906">
        <v>6.3</v>
      </c>
      <c r="S906">
        <v>96.078500000000005</v>
      </c>
      <c r="T906">
        <v>19.763300000000001</v>
      </c>
    </row>
    <row r="907" spans="1:20" x14ac:dyDescent="0.3">
      <c r="A907" t="s">
        <v>1395</v>
      </c>
      <c r="B907" t="s">
        <v>29</v>
      </c>
      <c r="C907" t="s">
        <v>270</v>
      </c>
      <c r="D907" t="s">
        <v>31</v>
      </c>
      <c r="E907" t="s">
        <v>32</v>
      </c>
      <c r="F907" t="s">
        <v>25</v>
      </c>
      <c r="G907" t="s">
        <v>77</v>
      </c>
      <c r="H907">
        <v>78.38</v>
      </c>
      <c r="I907">
        <v>5</v>
      </c>
      <c r="J907">
        <v>19.594999999999999</v>
      </c>
      <c r="K907">
        <v>391.9</v>
      </c>
      <c r="L907" s="1">
        <v>43696</v>
      </c>
      <c r="M907" s="2">
        <v>0.74722222222222223</v>
      </c>
      <c r="N907" t="s">
        <v>33</v>
      </c>
      <c r="O907">
        <v>313.52</v>
      </c>
      <c r="P907">
        <v>4.7619047620000003</v>
      </c>
      <c r="Q907">
        <v>78.38</v>
      </c>
      <c r="R907">
        <v>8.2949999999999999</v>
      </c>
      <c r="S907">
        <v>96.078500000000005</v>
      </c>
      <c r="T907">
        <v>19.763300000000001</v>
      </c>
    </row>
    <row r="908" spans="1:20" x14ac:dyDescent="0.3">
      <c r="A908" t="s">
        <v>1396</v>
      </c>
      <c r="B908" t="s">
        <v>29</v>
      </c>
      <c r="C908" t="s">
        <v>1397</v>
      </c>
      <c r="D908" t="s">
        <v>31</v>
      </c>
      <c r="E908" t="s">
        <v>32</v>
      </c>
      <c r="F908" t="s">
        <v>36</v>
      </c>
      <c r="G908" t="s">
        <v>26</v>
      </c>
      <c r="H908">
        <v>84.61</v>
      </c>
      <c r="I908">
        <v>12</v>
      </c>
      <c r="J908">
        <v>50.765999999999998</v>
      </c>
      <c r="K908">
        <v>1015.32</v>
      </c>
      <c r="L908" s="1">
        <v>43602</v>
      </c>
      <c r="M908" s="2">
        <v>0.79027777777777775</v>
      </c>
      <c r="N908" t="s">
        <v>37</v>
      </c>
      <c r="O908">
        <v>846.1</v>
      </c>
      <c r="P908">
        <v>4.7619047620000003</v>
      </c>
      <c r="Q908">
        <v>169.22</v>
      </c>
      <c r="R908">
        <v>9.24</v>
      </c>
      <c r="S908">
        <v>96.078500000000005</v>
      </c>
      <c r="T908">
        <v>19.763300000000001</v>
      </c>
    </row>
    <row r="909" spans="1:20" x14ac:dyDescent="0.3">
      <c r="A909" t="s">
        <v>1398</v>
      </c>
      <c r="B909" t="s">
        <v>51</v>
      </c>
      <c r="C909" t="s">
        <v>821</v>
      </c>
      <c r="D909" t="s">
        <v>53</v>
      </c>
      <c r="E909" t="s">
        <v>32</v>
      </c>
      <c r="F909" t="s">
        <v>25</v>
      </c>
      <c r="G909" t="s">
        <v>26</v>
      </c>
      <c r="H909">
        <v>82.88</v>
      </c>
      <c r="I909">
        <v>7</v>
      </c>
      <c r="J909">
        <v>29.007999999999999</v>
      </c>
      <c r="K909">
        <v>580.16</v>
      </c>
      <c r="L909" s="1">
        <v>43538</v>
      </c>
      <c r="M909" s="2">
        <v>0.58888888888888891</v>
      </c>
      <c r="N909" t="s">
        <v>37</v>
      </c>
      <c r="O909">
        <v>414.4</v>
      </c>
      <c r="P909">
        <v>4.7619047620000003</v>
      </c>
      <c r="Q909">
        <v>165.76</v>
      </c>
      <c r="R909">
        <v>7.92</v>
      </c>
      <c r="S909">
        <v>96.089100000000002</v>
      </c>
      <c r="T909">
        <v>21.9588</v>
      </c>
    </row>
    <row r="910" spans="1:20" x14ac:dyDescent="0.3">
      <c r="A910" t="s">
        <v>1399</v>
      </c>
      <c r="B910" t="s">
        <v>21</v>
      </c>
      <c r="C910" t="s">
        <v>1400</v>
      </c>
      <c r="D910" t="s">
        <v>23</v>
      </c>
      <c r="E910" t="s">
        <v>32</v>
      </c>
      <c r="F910" t="s">
        <v>25</v>
      </c>
      <c r="G910" t="s">
        <v>63</v>
      </c>
      <c r="H910">
        <v>79.540000000000006</v>
      </c>
      <c r="I910">
        <v>2</v>
      </c>
      <c r="J910">
        <v>7.9539999999999997</v>
      </c>
      <c r="K910">
        <v>159.08000000000001</v>
      </c>
      <c r="L910" s="1">
        <v>43689</v>
      </c>
      <c r="M910" s="2">
        <v>0.6875</v>
      </c>
      <c r="N910" t="s">
        <v>27</v>
      </c>
      <c r="O910">
        <v>159.08000000000001</v>
      </c>
      <c r="P910">
        <v>4.7619047620000003</v>
      </c>
      <c r="Q910">
        <v>0</v>
      </c>
      <c r="R910">
        <v>6.2</v>
      </c>
      <c r="S910">
        <v>96.173500000000004</v>
      </c>
      <c r="T910">
        <v>16.840900000000001</v>
      </c>
    </row>
    <row r="911" spans="1:20" x14ac:dyDescent="0.3">
      <c r="A911" t="s">
        <v>1401</v>
      </c>
      <c r="B911" t="s">
        <v>51</v>
      </c>
      <c r="C911" t="s">
        <v>119</v>
      </c>
      <c r="D911" t="s">
        <v>53</v>
      </c>
      <c r="E911" t="s">
        <v>32</v>
      </c>
      <c r="F911" t="s">
        <v>25</v>
      </c>
      <c r="G911" t="s">
        <v>77</v>
      </c>
      <c r="H911">
        <v>49.01</v>
      </c>
      <c r="I911">
        <v>14</v>
      </c>
      <c r="J911">
        <v>34.307000000000002</v>
      </c>
      <c r="K911">
        <v>686.14</v>
      </c>
      <c r="L911" s="1">
        <v>43694</v>
      </c>
      <c r="M911" s="2">
        <v>0.44722222222222224</v>
      </c>
      <c r="N911" t="s">
        <v>37</v>
      </c>
      <c r="O911">
        <v>490.1</v>
      </c>
      <c r="P911">
        <v>4.7619047620000003</v>
      </c>
      <c r="Q911">
        <v>196.04</v>
      </c>
      <c r="R911">
        <v>5.04</v>
      </c>
      <c r="S911">
        <v>96.089100000000002</v>
      </c>
      <c r="T911">
        <v>21.9588</v>
      </c>
    </row>
    <row r="912" spans="1:20" x14ac:dyDescent="0.3">
      <c r="A912" t="s">
        <v>1402</v>
      </c>
      <c r="B912" t="s">
        <v>51</v>
      </c>
      <c r="C912" t="s">
        <v>1258</v>
      </c>
      <c r="D912" t="s">
        <v>53</v>
      </c>
      <c r="E912" t="s">
        <v>32</v>
      </c>
      <c r="F912" t="s">
        <v>25</v>
      </c>
      <c r="G912" t="s">
        <v>63</v>
      </c>
      <c r="H912">
        <v>29.15</v>
      </c>
      <c r="I912">
        <v>4</v>
      </c>
      <c r="J912">
        <v>5.83</v>
      </c>
      <c r="K912">
        <v>116.6</v>
      </c>
      <c r="L912" s="1">
        <v>43744</v>
      </c>
      <c r="M912" s="2">
        <v>0.85347222222222219</v>
      </c>
      <c r="N912" t="s">
        <v>37</v>
      </c>
      <c r="O912">
        <v>87.45</v>
      </c>
      <c r="P912">
        <v>4.7619047620000003</v>
      </c>
      <c r="Q912">
        <v>29.15</v>
      </c>
      <c r="R912">
        <v>8.76</v>
      </c>
      <c r="S912">
        <v>96.089100000000002</v>
      </c>
      <c r="T912">
        <v>21.9588</v>
      </c>
    </row>
    <row r="913" spans="1:20" x14ac:dyDescent="0.3">
      <c r="A913" t="s">
        <v>1403</v>
      </c>
      <c r="B913" t="s">
        <v>29</v>
      </c>
      <c r="C913" t="s">
        <v>675</v>
      </c>
      <c r="D913" t="s">
        <v>31</v>
      </c>
      <c r="E913" t="s">
        <v>32</v>
      </c>
      <c r="F913" t="s">
        <v>25</v>
      </c>
      <c r="G913" t="s">
        <v>60</v>
      </c>
      <c r="H913">
        <v>56.13</v>
      </c>
      <c r="I913">
        <v>5</v>
      </c>
      <c r="J913">
        <v>14.032500000000001</v>
      </c>
      <c r="K913">
        <v>280.64999999999998</v>
      </c>
      <c r="L913" s="1">
        <v>43542</v>
      </c>
      <c r="M913" s="2">
        <v>0.48819444444444443</v>
      </c>
      <c r="N913" t="s">
        <v>27</v>
      </c>
      <c r="O913">
        <v>224.52</v>
      </c>
      <c r="P913">
        <v>4.7619047620000003</v>
      </c>
      <c r="Q913">
        <v>56.13</v>
      </c>
      <c r="R913">
        <v>9.0299999999999994</v>
      </c>
      <c r="S913">
        <v>96.078500000000005</v>
      </c>
      <c r="T913">
        <v>19.763300000000001</v>
      </c>
    </row>
    <row r="914" spans="1:20" x14ac:dyDescent="0.3">
      <c r="A914" t="s">
        <v>1404</v>
      </c>
      <c r="B914" t="s">
        <v>21</v>
      </c>
      <c r="C914" t="s">
        <v>462</v>
      </c>
      <c r="D914" t="s">
        <v>23</v>
      </c>
      <c r="E914" t="s">
        <v>32</v>
      </c>
      <c r="F914" t="s">
        <v>25</v>
      </c>
      <c r="G914" t="s">
        <v>77</v>
      </c>
      <c r="H914">
        <v>93.12</v>
      </c>
      <c r="I914">
        <v>8</v>
      </c>
      <c r="J914">
        <v>37.247999999999998</v>
      </c>
      <c r="K914">
        <v>744.96</v>
      </c>
      <c r="L914" s="1">
        <v>43721</v>
      </c>
      <c r="M914" s="2">
        <v>0.42291666666666666</v>
      </c>
      <c r="N914" t="s">
        <v>33</v>
      </c>
      <c r="O914">
        <v>744.96</v>
      </c>
      <c r="P914">
        <v>4.7619047620000003</v>
      </c>
      <c r="Q914">
        <v>0</v>
      </c>
      <c r="R914">
        <v>6.8</v>
      </c>
      <c r="S914">
        <v>96.173500000000004</v>
      </c>
      <c r="T914">
        <v>16.840900000000001</v>
      </c>
    </row>
    <row r="915" spans="1:20" x14ac:dyDescent="0.3">
      <c r="A915" t="s">
        <v>1405</v>
      </c>
      <c r="B915" t="s">
        <v>21</v>
      </c>
      <c r="C915" t="s">
        <v>1406</v>
      </c>
      <c r="D915" t="s">
        <v>23</v>
      </c>
      <c r="E915" t="s">
        <v>32</v>
      </c>
      <c r="F915" t="s">
        <v>36</v>
      </c>
      <c r="G915" t="s">
        <v>100</v>
      </c>
      <c r="H915">
        <v>51.34</v>
      </c>
      <c r="I915">
        <v>8</v>
      </c>
      <c r="J915">
        <v>20.536000000000001</v>
      </c>
      <c r="K915">
        <v>410.72</v>
      </c>
      <c r="L915" s="1">
        <v>43648</v>
      </c>
      <c r="M915" s="2">
        <v>0.41666666666666669</v>
      </c>
      <c r="N915" t="s">
        <v>27</v>
      </c>
      <c r="O915">
        <v>410.72</v>
      </c>
      <c r="P915">
        <v>4.7619047620000003</v>
      </c>
      <c r="Q915">
        <v>0</v>
      </c>
      <c r="R915">
        <v>7.6</v>
      </c>
      <c r="S915">
        <v>96.173500000000004</v>
      </c>
      <c r="T915">
        <v>16.840900000000001</v>
      </c>
    </row>
    <row r="916" spans="1:20" x14ac:dyDescent="0.3">
      <c r="A916" t="s">
        <v>1407</v>
      </c>
      <c r="B916" t="s">
        <v>21</v>
      </c>
      <c r="C916" t="s">
        <v>1408</v>
      </c>
      <c r="D916" t="s">
        <v>23</v>
      </c>
      <c r="E916" t="s">
        <v>32</v>
      </c>
      <c r="F916" t="s">
        <v>25</v>
      </c>
      <c r="G916" t="s">
        <v>63</v>
      </c>
      <c r="H916">
        <v>99.6</v>
      </c>
      <c r="I916">
        <v>3</v>
      </c>
      <c r="J916">
        <v>14.94</v>
      </c>
      <c r="K916">
        <v>298.8</v>
      </c>
      <c r="L916" s="1">
        <v>43812</v>
      </c>
      <c r="M916" s="2">
        <v>0.78125</v>
      </c>
      <c r="N916" t="s">
        <v>33</v>
      </c>
      <c r="O916">
        <v>298.8</v>
      </c>
      <c r="P916">
        <v>4.7619047620000003</v>
      </c>
      <c r="Q916">
        <v>0</v>
      </c>
      <c r="R916">
        <v>5.8</v>
      </c>
      <c r="S916">
        <v>96.173500000000004</v>
      </c>
      <c r="T916">
        <v>16.840900000000001</v>
      </c>
    </row>
    <row r="917" spans="1:20" x14ac:dyDescent="0.3">
      <c r="A917" t="s">
        <v>1409</v>
      </c>
      <c r="B917" t="s">
        <v>29</v>
      </c>
      <c r="C917" t="s">
        <v>819</v>
      </c>
      <c r="D917" t="s">
        <v>31</v>
      </c>
      <c r="E917" t="s">
        <v>32</v>
      </c>
      <c r="F917" t="s">
        <v>25</v>
      </c>
      <c r="G917" t="s">
        <v>60</v>
      </c>
      <c r="H917">
        <v>35.49</v>
      </c>
      <c r="I917">
        <v>7</v>
      </c>
      <c r="J917">
        <v>12.4215</v>
      </c>
      <c r="K917">
        <v>248.43</v>
      </c>
      <c r="L917" s="1">
        <v>43543</v>
      </c>
      <c r="M917" s="2">
        <v>0.52777777777777779</v>
      </c>
      <c r="N917" t="s">
        <v>33</v>
      </c>
      <c r="O917">
        <v>212.94</v>
      </c>
      <c r="P917">
        <v>4.7619047620000003</v>
      </c>
      <c r="Q917">
        <v>35.49</v>
      </c>
      <c r="R917">
        <v>4.3049999999999997</v>
      </c>
      <c r="S917">
        <v>96.078500000000005</v>
      </c>
      <c r="T917">
        <v>19.763300000000001</v>
      </c>
    </row>
    <row r="918" spans="1:20" x14ac:dyDescent="0.3">
      <c r="A918" t="s">
        <v>1410</v>
      </c>
      <c r="B918" t="s">
        <v>29</v>
      </c>
      <c r="C918" t="s">
        <v>323</v>
      </c>
      <c r="D918" t="s">
        <v>31</v>
      </c>
      <c r="E918" t="s">
        <v>32</v>
      </c>
      <c r="F918" t="s">
        <v>36</v>
      </c>
      <c r="G918" t="s">
        <v>68</v>
      </c>
      <c r="H918">
        <v>42.85</v>
      </c>
      <c r="I918">
        <v>1</v>
      </c>
      <c r="J918">
        <v>2.1425000000000001</v>
      </c>
      <c r="K918">
        <v>42.85</v>
      </c>
      <c r="L918" s="1">
        <v>43525</v>
      </c>
      <c r="M918" s="2">
        <v>0.65</v>
      </c>
      <c r="N918" t="s">
        <v>37</v>
      </c>
      <c r="O918">
        <v>42.85</v>
      </c>
      <c r="P918">
        <v>4.7619047620000003</v>
      </c>
      <c r="Q918">
        <v>0</v>
      </c>
      <c r="R918">
        <v>9.7650000000000006</v>
      </c>
      <c r="S918">
        <v>96.078500000000005</v>
      </c>
      <c r="T918">
        <v>19.763300000000001</v>
      </c>
    </row>
    <row r="919" spans="1:20" x14ac:dyDescent="0.3">
      <c r="A919" t="s">
        <v>1411</v>
      </c>
      <c r="B919" t="s">
        <v>21</v>
      </c>
      <c r="C919" t="s">
        <v>589</v>
      </c>
      <c r="D919" t="s">
        <v>23</v>
      </c>
      <c r="E919" t="s">
        <v>32</v>
      </c>
      <c r="F919" t="s">
        <v>25</v>
      </c>
      <c r="G919" t="s">
        <v>100</v>
      </c>
      <c r="H919">
        <v>94.67</v>
      </c>
      <c r="I919">
        <v>4</v>
      </c>
      <c r="J919">
        <v>18.934000000000001</v>
      </c>
      <c r="K919">
        <v>378.68</v>
      </c>
      <c r="L919" s="1">
        <v>43665</v>
      </c>
      <c r="M919" s="2">
        <v>0.50277777777777777</v>
      </c>
      <c r="N919" t="s">
        <v>33</v>
      </c>
      <c r="O919">
        <v>378.68</v>
      </c>
      <c r="P919">
        <v>4.7619047620000003</v>
      </c>
      <c r="Q919">
        <v>0</v>
      </c>
      <c r="R919">
        <v>6.8</v>
      </c>
      <c r="S919">
        <v>96.173500000000004</v>
      </c>
      <c r="T919">
        <v>16.840900000000001</v>
      </c>
    </row>
    <row r="920" spans="1:20" x14ac:dyDescent="0.3">
      <c r="A920" t="s">
        <v>1412</v>
      </c>
      <c r="B920" t="s">
        <v>51</v>
      </c>
      <c r="C920" t="s">
        <v>426</v>
      </c>
      <c r="D920" t="s">
        <v>53</v>
      </c>
      <c r="E920" t="s">
        <v>32</v>
      </c>
      <c r="F920" t="s">
        <v>36</v>
      </c>
      <c r="G920" t="s">
        <v>77</v>
      </c>
      <c r="H920">
        <v>68.97</v>
      </c>
      <c r="I920">
        <v>4</v>
      </c>
      <c r="J920">
        <v>13.794</v>
      </c>
      <c r="K920">
        <v>275.88</v>
      </c>
      <c r="L920" s="1">
        <v>43766</v>
      </c>
      <c r="M920" s="2">
        <v>0.47638888888888886</v>
      </c>
      <c r="N920" t="s">
        <v>27</v>
      </c>
      <c r="O920">
        <v>206.91</v>
      </c>
      <c r="P920">
        <v>4.7619047620000003</v>
      </c>
      <c r="Q920">
        <v>68.97</v>
      </c>
      <c r="R920">
        <v>10</v>
      </c>
      <c r="S920">
        <v>96.089100000000002</v>
      </c>
      <c r="T920">
        <v>21.9588</v>
      </c>
    </row>
    <row r="921" spans="1:20" x14ac:dyDescent="0.3">
      <c r="A921" t="s">
        <v>1413</v>
      </c>
      <c r="B921" t="s">
        <v>51</v>
      </c>
      <c r="C921" t="s">
        <v>382</v>
      </c>
      <c r="D921" t="s">
        <v>53</v>
      </c>
      <c r="E921" t="s">
        <v>32</v>
      </c>
      <c r="F921" t="s">
        <v>25</v>
      </c>
      <c r="G921" t="s">
        <v>60</v>
      </c>
      <c r="H921">
        <v>26.26</v>
      </c>
      <c r="I921">
        <v>4</v>
      </c>
      <c r="J921">
        <v>5.2519999999999998</v>
      </c>
      <c r="K921">
        <v>105.04</v>
      </c>
      <c r="L921" s="1">
        <v>43642</v>
      </c>
      <c r="M921" s="2">
        <v>0.52500000000000002</v>
      </c>
      <c r="N921" t="s">
        <v>27</v>
      </c>
      <c r="O921">
        <v>78.78</v>
      </c>
      <c r="P921">
        <v>4.7619047620000003</v>
      </c>
      <c r="Q921">
        <v>26.26</v>
      </c>
      <c r="R921">
        <v>7.56</v>
      </c>
      <c r="S921">
        <v>96.089100000000002</v>
      </c>
      <c r="T921">
        <v>21.9588</v>
      </c>
    </row>
    <row r="922" spans="1:20" x14ac:dyDescent="0.3">
      <c r="A922" t="s">
        <v>1414</v>
      </c>
      <c r="B922" t="s">
        <v>29</v>
      </c>
      <c r="C922" t="s">
        <v>1415</v>
      </c>
      <c r="D922" t="s">
        <v>31</v>
      </c>
      <c r="E922" t="s">
        <v>32</v>
      </c>
      <c r="F922" t="s">
        <v>25</v>
      </c>
      <c r="G922" t="s">
        <v>77</v>
      </c>
      <c r="H922">
        <v>35.79</v>
      </c>
      <c r="I922">
        <v>11</v>
      </c>
      <c r="J922">
        <v>19.6845</v>
      </c>
      <c r="K922">
        <v>393.69</v>
      </c>
      <c r="L922" s="1">
        <v>43572</v>
      </c>
      <c r="M922" s="2">
        <v>0.62916666666666665</v>
      </c>
      <c r="N922" t="s">
        <v>37</v>
      </c>
      <c r="O922">
        <v>322.11</v>
      </c>
      <c r="P922">
        <v>4.7619047620000003</v>
      </c>
      <c r="Q922">
        <v>71.58</v>
      </c>
      <c r="R922">
        <v>5.3550000000000004</v>
      </c>
      <c r="S922">
        <v>96.078500000000005</v>
      </c>
      <c r="T922">
        <v>19.763300000000001</v>
      </c>
    </row>
    <row r="923" spans="1:20" x14ac:dyDescent="0.3">
      <c r="A923" t="s">
        <v>1416</v>
      </c>
      <c r="B923" t="s">
        <v>51</v>
      </c>
      <c r="C923" t="s">
        <v>52</v>
      </c>
      <c r="D923" t="s">
        <v>53</v>
      </c>
      <c r="E923" t="s">
        <v>32</v>
      </c>
      <c r="F923" t="s">
        <v>25</v>
      </c>
      <c r="G923" t="s">
        <v>77</v>
      </c>
      <c r="H923">
        <v>16.37</v>
      </c>
      <c r="I923">
        <v>8</v>
      </c>
      <c r="J923">
        <v>6.548</v>
      </c>
      <c r="K923">
        <v>130.96</v>
      </c>
      <c r="L923" s="1">
        <v>43671</v>
      </c>
      <c r="M923" s="2">
        <v>0.45694444444444443</v>
      </c>
      <c r="N923" t="s">
        <v>33</v>
      </c>
      <c r="O923">
        <v>98.22</v>
      </c>
      <c r="P923">
        <v>4.7619047620000003</v>
      </c>
      <c r="Q923">
        <v>32.74</v>
      </c>
      <c r="R923">
        <v>8.4</v>
      </c>
      <c r="S923">
        <v>96.089100000000002</v>
      </c>
      <c r="T923">
        <v>21.9588</v>
      </c>
    </row>
    <row r="924" spans="1:20" x14ac:dyDescent="0.3">
      <c r="A924" t="s">
        <v>1417</v>
      </c>
      <c r="B924" t="s">
        <v>29</v>
      </c>
      <c r="C924" t="s">
        <v>1418</v>
      </c>
      <c r="D924" t="s">
        <v>31</v>
      </c>
      <c r="E924" t="s">
        <v>32</v>
      </c>
      <c r="F924" t="s">
        <v>25</v>
      </c>
      <c r="G924" t="s">
        <v>77</v>
      </c>
      <c r="H924">
        <v>12.73</v>
      </c>
      <c r="I924">
        <v>2</v>
      </c>
      <c r="J924">
        <v>1.2729999999999999</v>
      </c>
      <c r="K924">
        <v>25.46</v>
      </c>
      <c r="L924" s="1">
        <v>43566</v>
      </c>
      <c r="M924" s="2">
        <v>0.50694444444444442</v>
      </c>
      <c r="N924" t="s">
        <v>37</v>
      </c>
      <c r="O924">
        <v>25.46</v>
      </c>
      <c r="P924">
        <v>4.7619047620000003</v>
      </c>
      <c r="Q924">
        <v>0</v>
      </c>
      <c r="R924">
        <v>5.46</v>
      </c>
      <c r="S924">
        <v>96.078500000000005</v>
      </c>
      <c r="T924">
        <v>19.763300000000001</v>
      </c>
    </row>
    <row r="925" spans="1:20" x14ac:dyDescent="0.3">
      <c r="A925" t="s">
        <v>1419</v>
      </c>
      <c r="B925" t="s">
        <v>29</v>
      </c>
      <c r="C925" t="s">
        <v>1292</v>
      </c>
      <c r="D925" t="s">
        <v>31</v>
      </c>
      <c r="E925" t="s">
        <v>32</v>
      </c>
      <c r="F925" t="s">
        <v>25</v>
      </c>
      <c r="G925" t="s">
        <v>68</v>
      </c>
      <c r="H925">
        <v>83.14</v>
      </c>
      <c r="I925">
        <v>8</v>
      </c>
      <c r="J925">
        <v>33.256</v>
      </c>
      <c r="K925">
        <v>665.12</v>
      </c>
      <c r="L925" s="1">
        <v>43673</v>
      </c>
      <c r="M925" s="2">
        <v>0.43819444444444444</v>
      </c>
      <c r="N925" t="s">
        <v>37</v>
      </c>
      <c r="O925">
        <v>581.98</v>
      </c>
      <c r="P925">
        <v>4.7619047620000003</v>
      </c>
      <c r="Q925">
        <v>83.14</v>
      </c>
      <c r="R925">
        <v>6.93</v>
      </c>
      <c r="S925">
        <v>96.078500000000005</v>
      </c>
      <c r="T925">
        <v>19.763300000000001</v>
      </c>
    </row>
    <row r="926" spans="1:20" x14ac:dyDescent="0.3">
      <c r="A926" t="s">
        <v>1420</v>
      </c>
      <c r="B926" t="s">
        <v>29</v>
      </c>
      <c r="C926" t="s">
        <v>1064</v>
      </c>
      <c r="D926" t="s">
        <v>31</v>
      </c>
      <c r="E926" t="s">
        <v>32</v>
      </c>
      <c r="F926" t="s">
        <v>25</v>
      </c>
      <c r="G926" t="s">
        <v>68</v>
      </c>
      <c r="H926">
        <v>35.22</v>
      </c>
      <c r="I926">
        <v>7</v>
      </c>
      <c r="J926">
        <v>12.327</v>
      </c>
      <c r="K926">
        <v>246.54</v>
      </c>
      <c r="L926" s="1">
        <v>43785</v>
      </c>
      <c r="M926" s="2">
        <v>0.5756944444444444</v>
      </c>
      <c r="N926" t="s">
        <v>27</v>
      </c>
      <c r="O926">
        <v>211.32</v>
      </c>
      <c r="P926">
        <v>4.7619047620000003</v>
      </c>
      <c r="Q926">
        <v>35.22</v>
      </c>
      <c r="R926">
        <v>6.8250000000000002</v>
      </c>
      <c r="S926">
        <v>96.078500000000005</v>
      </c>
      <c r="T926">
        <v>19.763300000000001</v>
      </c>
    </row>
    <row r="927" spans="1:20" x14ac:dyDescent="0.3">
      <c r="A927" t="s">
        <v>1421</v>
      </c>
      <c r="B927" t="s">
        <v>51</v>
      </c>
      <c r="C927" t="s">
        <v>392</v>
      </c>
      <c r="D927" t="s">
        <v>53</v>
      </c>
      <c r="E927" t="s">
        <v>32</v>
      </c>
      <c r="F927" t="s">
        <v>25</v>
      </c>
      <c r="G927" t="s">
        <v>60</v>
      </c>
      <c r="H927">
        <v>13.78</v>
      </c>
      <c r="I927">
        <v>6</v>
      </c>
      <c r="J927">
        <v>4.1340000000000003</v>
      </c>
      <c r="K927">
        <v>82.68</v>
      </c>
      <c r="L927" s="1">
        <v>43512</v>
      </c>
      <c r="M927" s="2">
        <v>0.46527777777777779</v>
      </c>
      <c r="N927" t="s">
        <v>27</v>
      </c>
      <c r="O927">
        <v>55.12</v>
      </c>
      <c r="P927">
        <v>4.7619047620000003</v>
      </c>
      <c r="Q927">
        <v>27.56</v>
      </c>
      <c r="R927">
        <v>10</v>
      </c>
      <c r="S927">
        <v>96.089100000000002</v>
      </c>
      <c r="T927">
        <v>21.9588</v>
      </c>
    </row>
    <row r="928" spans="1:20" x14ac:dyDescent="0.3">
      <c r="A928" t="s">
        <v>1422</v>
      </c>
      <c r="B928" t="s">
        <v>51</v>
      </c>
      <c r="C928" t="s">
        <v>1423</v>
      </c>
      <c r="D928" t="s">
        <v>53</v>
      </c>
      <c r="E928" t="s">
        <v>32</v>
      </c>
      <c r="F928" t="s">
        <v>36</v>
      </c>
      <c r="G928" t="s">
        <v>68</v>
      </c>
      <c r="H928">
        <v>88.31</v>
      </c>
      <c r="I928">
        <v>1</v>
      </c>
      <c r="J928">
        <v>4.4154999999999998</v>
      </c>
      <c r="K928">
        <v>88.31</v>
      </c>
      <c r="L928" s="1">
        <v>43583</v>
      </c>
      <c r="M928" s="2">
        <v>0.73472222222222228</v>
      </c>
      <c r="N928" t="s">
        <v>37</v>
      </c>
      <c r="O928">
        <v>88.31</v>
      </c>
      <c r="P928">
        <v>4.7619047620000003</v>
      </c>
      <c r="Q928">
        <v>0</v>
      </c>
      <c r="R928">
        <v>6.24</v>
      </c>
      <c r="S928">
        <v>96.089100000000002</v>
      </c>
      <c r="T928">
        <v>21.9588</v>
      </c>
    </row>
    <row r="929" spans="1:20" x14ac:dyDescent="0.3">
      <c r="A929" t="s">
        <v>1424</v>
      </c>
      <c r="B929" t="s">
        <v>21</v>
      </c>
      <c r="C929" t="s">
        <v>74</v>
      </c>
      <c r="D929" t="s">
        <v>23</v>
      </c>
      <c r="E929" t="s">
        <v>32</v>
      </c>
      <c r="F929" t="s">
        <v>25</v>
      </c>
      <c r="G929" t="s">
        <v>26</v>
      </c>
      <c r="H929">
        <v>39.619999999999997</v>
      </c>
      <c r="I929">
        <v>9</v>
      </c>
      <c r="J929">
        <v>17.829000000000001</v>
      </c>
      <c r="K929">
        <v>356.58</v>
      </c>
      <c r="L929" s="1">
        <v>43765</v>
      </c>
      <c r="M929" s="2">
        <v>0.74583333333333335</v>
      </c>
      <c r="N929" t="s">
        <v>37</v>
      </c>
      <c r="O929">
        <v>356.58</v>
      </c>
      <c r="P929">
        <v>4.7619047620000003</v>
      </c>
      <c r="Q929">
        <v>0</v>
      </c>
      <c r="R929">
        <v>6.8</v>
      </c>
      <c r="S929">
        <v>96.173500000000004</v>
      </c>
      <c r="T929">
        <v>16.840900000000001</v>
      </c>
    </row>
    <row r="930" spans="1:20" x14ac:dyDescent="0.3">
      <c r="A930" t="s">
        <v>1425</v>
      </c>
      <c r="B930" t="s">
        <v>51</v>
      </c>
      <c r="C930" t="s">
        <v>102</v>
      </c>
      <c r="D930" t="s">
        <v>53</v>
      </c>
      <c r="E930" t="s">
        <v>32</v>
      </c>
      <c r="F930" t="s">
        <v>25</v>
      </c>
      <c r="G930" t="s">
        <v>60</v>
      </c>
      <c r="H930">
        <v>88.25</v>
      </c>
      <c r="I930">
        <v>13</v>
      </c>
      <c r="J930">
        <v>57.362499999999997</v>
      </c>
      <c r="K930">
        <v>1147.25</v>
      </c>
      <c r="L930" s="1">
        <v>43744</v>
      </c>
      <c r="M930" s="2">
        <v>0.86875000000000002</v>
      </c>
      <c r="N930" t="s">
        <v>37</v>
      </c>
      <c r="O930">
        <v>794.25</v>
      </c>
      <c r="P930">
        <v>4.7619047620000003</v>
      </c>
      <c r="Q930">
        <v>353</v>
      </c>
      <c r="R930">
        <v>9.1199999999999992</v>
      </c>
      <c r="S930">
        <v>96.089100000000002</v>
      </c>
      <c r="T930">
        <v>21.9588</v>
      </c>
    </row>
    <row r="931" spans="1:20" x14ac:dyDescent="0.3">
      <c r="A931" t="s">
        <v>1426</v>
      </c>
      <c r="B931" t="s">
        <v>51</v>
      </c>
      <c r="C931" t="s">
        <v>791</v>
      </c>
      <c r="D931" t="s">
        <v>53</v>
      </c>
      <c r="E931" t="s">
        <v>32</v>
      </c>
      <c r="F931" t="s">
        <v>36</v>
      </c>
      <c r="G931" t="s">
        <v>68</v>
      </c>
      <c r="H931">
        <v>25.31</v>
      </c>
      <c r="I931">
        <v>3</v>
      </c>
      <c r="J931">
        <v>3.7965</v>
      </c>
      <c r="K931">
        <v>75.930000000000007</v>
      </c>
      <c r="L931" s="1">
        <v>43539</v>
      </c>
      <c r="M931" s="2">
        <v>0.80972222222222223</v>
      </c>
      <c r="N931" t="s">
        <v>27</v>
      </c>
      <c r="O931">
        <v>50.62</v>
      </c>
      <c r="P931">
        <v>4.7619047620000003</v>
      </c>
      <c r="Q931">
        <v>25.31</v>
      </c>
      <c r="R931">
        <v>8.64</v>
      </c>
      <c r="S931">
        <v>96.089100000000002</v>
      </c>
      <c r="T931">
        <v>21.9588</v>
      </c>
    </row>
    <row r="932" spans="1:20" x14ac:dyDescent="0.3">
      <c r="A932" t="s">
        <v>1427</v>
      </c>
      <c r="B932" t="s">
        <v>51</v>
      </c>
      <c r="C932" t="s">
        <v>52</v>
      </c>
      <c r="D932" t="s">
        <v>53</v>
      </c>
      <c r="E932" t="s">
        <v>32</v>
      </c>
      <c r="F932" t="s">
        <v>36</v>
      </c>
      <c r="G932" t="s">
        <v>77</v>
      </c>
      <c r="H932">
        <v>99.92</v>
      </c>
      <c r="I932">
        <v>8</v>
      </c>
      <c r="J932">
        <v>39.968000000000004</v>
      </c>
      <c r="K932">
        <v>799.36</v>
      </c>
      <c r="L932" s="1">
        <v>43663</v>
      </c>
      <c r="M932" s="2">
        <v>0.56458333333333333</v>
      </c>
      <c r="N932" t="s">
        <v>27</v>
      </c>
      <c r="O932">
        <v>599.52</v>
      </c>
      <c r="P932">
        <v>4.7619047620000003</v>
      </c>
      <c r="Q932">
        <v>199.84</v>
      </c>
      <c r="R932">
        <v>8.52</v>
      </c>
      <c r="S932">
        <v>96.089100000000002</v>
      </c>
      <c r="T932">
        <v>21.9588</v>
      </c>
    </row>
    <row r="933" spans="1:20" x14ac:dyDescent="0.3">
      <c r="A933" t="s">
        <v>1428</v>
      </c>
      <c r="B933" t="s">
        <v>29</v>
      </c>
      <c r="C933" t="s">
        <v>1429</v>
      </c>
      <c r="D933" t="s">
        <v>31</v>
      </c>
      <c r="E933" t="s">
        <v>32</v>
      </c>
      <c r="F933" t="s">
        <v>25</v>
      </c>
      <c r="G933" t="s">
        <v>68</v>
      </c>
      <c r="H933">
        <v>83.35</v>
      </c>
      <c r="I933">
        <v>2</v>
      </c>
      <c r="J933">
        <v>8.3350000000000009</v>
      </c>
      <c r="K933">
        <v>166.7</v>
      </c>
      <c r="L933" s="1">
        <v>43824</v>
      </c>
      <c r="M933" s="2">
        <v>0.58680555555555558</v>
      </c>
      <c r="N933" t="s">
        <v>37</v>
      </c>
      <c r="O933">
        <v>166.7</v>
      </c>
      <c r="P933">
        <v>4.7619047620000003</v>
      </c>
      <c r="Q933">
        <v>0</v>
      </c>
      <c r="R933">
        <v>9.9749999999999996</v>
      </c>
      <c r="S933">
        <v>96.078500000000005</v>
      </c>
      <c r="T933">
        <v>19.763300000000001</v>
      </c>
    </row>
    <row r="934" spans="1:20" x14ac:dyDescent="0.3">
      <c r="A934" t="s">
        <v>1430</v>
      </c>
      <c r="B934" t="s">
        <v>21</v>
      </c>
      <c r="C934" t="s">
        <v>971</v>
      </c>
      <c r="D934" t="s">
        <v>23</v>
      </c>
      <c r="E934" t="s">
        <v>32</v>
      </c>
      <c r="F934" t="s">
        <v>25</v>
      </c>
      <c r="G934" t="s">
        <v>68</v>
      </c>
      <c r="H934">
        <v>74.44</v>
      </c>
      <c r="I934">
        <v>10</v>
      </c>
      <c r="J934">
        <v>37.22</v>
      </c>
      <c r="K934">
        <v>744.4</v>
      </c>
      <c r="L934" s="1">
        <v>43745</v>
      </c>
      <c r="M934" s="2">
        <v>0.4861111111111111</v>
      </c>
      <c r="N934" t="s">
        <v>27</v>
      </c>
      <c r="O934">
        <v>744.4</v>
      </c>
      <c r="P934">
        <v>4.7619047620000003</v>
      </c>
      <c r="Q934">
        <v>0</v>
      </c>
      <c r="R934">
        <v>5.0999999999999996</v>
      </c>
      <c r="S934">
        <v>96.173500000000004</v>
      </c>
      <c r="T934">
        <v>16.840900000000001</v>
      </c>
    </row>
    <row r="935" spans="1:20" x14ac:dyDescent="0.3">
      <c r="A935" t="s">
        <v>1431</v>
      </c>
      <c r="B935" t="s">
        <v>29</v>
      </c>
      <c r="C935" t="s">
        <v>158</v>
      </c>
      <c r="D935" t="s">
        <v>31</v>
      </c>
      <c r="E935" t="s">
        <v>32</v>
      </c>
      <c r="F935" t="s">
        <v>36</v>
      </c>
      <c r="G935" t="s">
        <v>68</v>
      </c>
      <c r="H935">
        <v>64.08</v>
      </c>
      <c r="I935">
        <v>8</v>
      </c>
      <c r="J935">
        <v>25.632000000000001</v>
      </c>
      <c r="K935">
        <v>512.64</v>
      </c>
      <c r="L935" s="1">
        <v>43650</v>
      </c>
      <c r="M935" s="2">
        <v>0.51875000000000004</v>
      </c>
      <c r="N935" t="s">
        <v>27</v>
      </c>
      <c r="O935">
        <v>448.56</v>
      </c>
      <c r="P935">
        <v>4.7619047620000003</v>
      </c>
      <c r="Q935">
        <v>64.08</v>
      </c>
      <c r="R935">
        <v>7.98</v>
      </c>
      <c r="S935">
        <v>96.078500000000005</v>
      </c>
      <c r="T935">
        <v>19.763300000000001</v>
      </c>
    </row>
    <row r="936" spans="1:20" x14ac:dyDescent="0.3">
      <c r="A936" t="s">
        <v>1432</v>
      </c>
      <c r="B936" t="s">
        <v>51</v>
      </c>
      <c r="C936" t="s">
        <v>192</v>
      </c>
      <c r="D936" t="s">
        <v>53</v>
      </c>
      <c r="E936" t="s">
        <v>32</v>
      </c>
      <c r="F936" t="s">
        <v>25</v>
      </c>
      <c r="G936" t="s">
        <v>68</v>
      </c>
      <c r="H936">
        <v>63.15</v>
      </c>
      <c r="I936">
        <v>8</v>
      </c>
      <c r="J936">
        <v>25.26</v>
      </c>
      <c r="K936">
        <v>505.2</v>
      </c>
      <c r="L936" s="1">
        <v>43516</v>
      </c>
      <c r="M936" s="2">
        <v>0.85</v>
      </c>
      <c r="N936" t="s">
        <v>27</v>
      </c>
      <c r="O936">
        <v>378.9</v>
      </c>
      <c r="P936">
        <v>4.7619047620000003</v>
      </c>
      <c r="Q936">
        <v>126.3</v>
      </c>
      <c r="R936">
        <v>10</v>
      </c>
      <c r="S936">
        <v>96.089100000000002</v>
      </c>
      <c r="T936">
        <v>21.9588</v>
      </c>
    </row>
    <row r="937" spans="1:20" x14ac:dyDescent="0.3">
      <c r="A937" t="s">
        <v>1433</v>
      </c>
      <c r="B937" t="s">
        <v>29</v>
      </c>
      <c r="C937" t="s">
        <v>592</v>
      </c>
      <c r="D937" t="s">
        <v>31</v>
      </c>
      <c r="E937" t="s">
        <v>32</v>
      </c>
      <c r="F937" t="s">
        <v>36</v>
      </c>
      <c r="G937" t="s">
        <v>68</v>
      </c>
      <c r="H937">
        <v>85.72</v>
      </c>
      <c r="I937">
        <v>4</v>
      </c>
      <c r="J937">
        <v>17.143999999999998</v>
      </c>
      <c r="K937">
        <v>342.88</v>
      </c>
      <c r="L937" s="1">
        <v>43580</v>
      </c>
      <c r="M937" s="2">
        <v>0.87430555555555556</v>
      </c>
      <c r="N937" t="s">
        <v>27</v>
      </c>
      <c r="O937">
        <v>257.16000000000003</v>
      </c>
      <c r="P937">
        <v>4.7619047620000003</v>
      </c>
      <c r="Q937">
        <v>85.72</v>
      </c>
      <c r="R937">
        <v>5.3550000000000004</v>
      </c>
      <c r="S937">
        <v>96.078500000000005</v>
      </c>
      <c r="T937">
        <v>19.763300000000001</v>
      </c>
    </row>
    <row r="938" spans="1:20" x14ac:dyDescent="0.3">
      <c r="A938" t="s">
        <v>1434</v>
      </c>
      <c r="B938" t="s">
        <v>29</v>
      </c>
      <c r="C938" t="s">
        <v>1435</v>
      </c>
      <c r="D938" t="s">
        <v>31</v>
      </c>
      <c r="E938" t="s">
        <v>32</v>
      </c>
      <c r="F938" t="s">
        <v>25</v>
      </c>
      <c r="G938" t="s">
        <v>68</v>
      </c>
      <c r="H938">
        <v>78.89</v>
      </c>
      <c r="I938">
        <v>8</v>
      </c>
      <c r="J938">
        <v>31.556000000000001</v>
      </c>
      <c r="K938">
        <v>631.12</v>
      </c>
      <c r="L938" s="1">
        <v>43778</v>
      </c>
      <c r="M938" s="2">
        <v>0.82499999999999996</v>
      </c>
      <c r="N938" t="s">
        <v>27</v>
      </c>
      <c r="O938">
        <v>552.23</v>
      </c>
      <c r="P938">
        <v>4.7619047620000003</v>
      </c>
      <c r="Q938">
        <v>78.89</v>
      </c>
      <c r="R938">
        <v>7.875</v>
      </c>
      <c r="S938">
        <v>96.078500000000005</v>
      </c>
      <c r="T938">
        <v>19.763300000000001</v>
      </c>
    </row>
    <row r="939" spans="1:20" x14ac:dyDescent="0.3">
      <c r="A939" t="s">
        <v>1436</v>
      </c>
      <c r="B939" t="s">
        <v>21</v>
      </c>
      <c r="C939" t="s">
        <v>1437</v>
      </c>
      <c r="D939" t="s">
        <v>23</v>
      </c>
      <c r="E939" t="s">
        <v>32</v>
      </c>
      <c r="F939" t="s">
        <v>25</v>
      </c>
      <c r="G939" t="s">
        <v>68</v>
      </c>
      <c r="H939">
        <v>89.48</v>
      </c>
      <c r="I939">
        <v>5</v>
      </c>
      <c r="J939">
        <v>22.37</v>
      </c>
      <c r="K939">
        <v>447.4</v>
      </c>
      <c r="L939" s="1">
        <v>43541</v>
      </c>
      <c r="M939" s="2">
        <v>0.42916666666666664</v>
      </c>
      <c r="N939" t="s">
        <v>33</v>
      </c>
      <c r="O939">
        <v>447.4</v>
      </c>
      <c r="P939">
        <v>4.7619047620000003</v>
      </c>
      <c r="Q939">
        <v>0</v>
      </c>
      <c r="R939">
        <v>7.4</v>
      </c>
      <c r="S939">
        <v>96.173500000000004</v>
      </c>
      <c r="T939">
        <v>16.840900000000001</v>
      </c>
    </row>
    <row r="940" spans="1:20" x14ac:dyDescent="0.3">
      <c r="A940" t="s">
        <v>1438</v>
      </c>
      <c r="B940" t="s">
        <v>21</v>
      </c>
      <c r="C940" t="s">
        <v>339</v>
      </c>
      <c r="D940" t="s">
        <v>23</v>
      </c>
      <c r="E940" t="s">
        <v>32</v>
      </c>
      <c r="F940" t="s">
        <v>25</v>
      </c>
      <c r="G940" t="s">
        <v>68</v>
      </c>
      <c r="H940">
        <v>92.09</v>
      </c>
      <c r="I940">
        <v>3</v>
      </c>
      <c r="J940">
        <v>13.813499999999999</v>
      </c>
      <c r="K940">
        <v>276.27</v>
      </c>
      <c r="L940" s="1">
        <v>43724</v>
      </c>
      <c r="M940" s="2">
        <v>0.68541666666666667</v>
      </c>
      <c r="N940" t="s">
        <v>33</v>
      </c>
      <c r="O940">
        <v>276.27</v>
      </c>
      <c r="P940">
        <v>4.7619047620000003</v>
      </c>
      <c r="Q940">
        <v>0</v>
      </c>
      <c r="R940">
        <v>4.2</v>
      </c>
      <c r="S940">
        <v>96.173500000000004</v>
      </c>
      <c r="T940">
        <v>16.840900000000001</v>
      </c>
    </row>
    <row r="941" spans="1:20" x14ac:dyDescent="0.3">
      <c r="A941" t="s">
        <v>1439</v>
      </c>
      <c r="B941" t="s">
        <v>29</v>
      </c>
      <c r="C941" t="s">
        <v>999</v>
      </c>
      <c r="D941" t="s">
        <v>31</v>
      </c>
      <c r="E941" t="s">
        <v>32</v>
      </c>
      <c r="F941" t="s">
        <v>25</v>
      </c>
      <c r="G941" t="s">
        <v>68</v>
      </c>
      <c r="H941">
        <v>57.29</v>
      </c>
      <c r="I941">
        <v>7</v>
      </c>
      <c r="J941">
        <v>20.051500000000001</v>
      </c>
      <c r="K941">
        <v>401.03</v>
      </c>
      <c r="L941" s="1">
        <v>43498</v>
      </c>
      <c r="M941" s="2">
        <v>0.71111111111111114</v>
      </c>
      <c r="N941" t="s">
        <v>27</v>
      </c>
      <c r="O941">
        <v>343.74</v>
      </c>
      <c r="P941">
        <v>4.7619047620000003</v>
      </c>
      <c r="Q941">
        <v>57.29</v>
      </c>
      <c r="R941">
        <v>6.1950000000000003</v>
      </c>
      <c r="S941">
        <v>96.078500000000005</v>
      </c>
      <c r="T941">
        <v>19.763300000000001</v>
      </c>
    </row>
    <row r="942" spans="1:20" x14ac:dyDescent="0.3">
      <c r="A942" t="s">
        <v>1440</v>
      </c>
      <c r="B942" t="s">
        <v>21</v>
      </c>
      <c r="C942" t="s">
        <v>1441</v>
      </c>
      <c r="D942" t="s">
        <v>23</v>
      </c>
      <c r="E942" t="s">
        <v>32</v>
      </c>
      <c r="F942" t="s">
        <v>36</v>
      </c>
      <c r="G942" t="s">
        <v>68</v>
      </c>
      <c r="H942">
        <v>66.52</v>
      </c>
      <c r="I942">
        <v>4</v>
      </c>
      <c r="J942">
        <v>13.304</v>
      </c>
      <c r="K942">
        <v>266.08</v>
      </c>
      <c r="L942" s="1">
        <v>43556</v>
      </c>
      <c r="M942" s="2">
        <v>0.75972222222222219</v>
      </c>
      <c r="N942" t="s">
        <v>27</v>
      </c>
      <c r="O942">
        <v>266.08</v>
      </c>
      <c r="P942">
        <v>4.7619047620000003</v>
      </c>
      <c r="Q942">
        <v>0</v>
      </c>
      <c r="R942">
        <v>6.9</v>
      </c>
      <c r="S942">
        <v>96.173500000000004</v>
      </c>
      <c r="T942">
        <v>16.840900000000001</v>
      </c>
    </row>
    <row r="943" spans="1:20" x14ac:dyDescent="0.3">
      <c r="A943" t="s">
        <v>1442</v>
      </c>
      <c r="B943" t="s">
        <v>29</v>
      </c>
      <c r="C943" t="s">
        <v>1010</v>
      </c>
      <c r="D943" t="s">
        <v>31</v>
      </c>
      <c r="E943" t="s">
        <v>32</v>
      </c>
      <c r="F943" t="s">
        <v>36</v>
      </c>
      <c r="G943" t="s">
        <v>68</v>
      </c>
      <c r="H943">
        <v>99.82</v>
      </c>
      <c r="I943">
        <v>11</v>
      </c>
      <c r="J943">
        <v>54.901000000000003</v>
      </c>
      <c r="K943">
        <v>1098.02</v>
      </c>
      <c r="L943" s="1">
        <v>43691</v>
      </c>
      <c r="M943" s="2">
        <v>0.4465277777777778</v>
      </c>
      <c r="N943" t="s">
        <v>33</v>
      </c>
      <c r="O943">
        <v>898.38</v>
      </c>
      <c r="P943">
        <v>4.7619047620000003</v>
      </c>
      <c r="Q943">
        <v>199.64</v>
      </c>
      <c r="R943">
        <v>6.93</v>
      </c>
      <c r="S943">
        <v>96.078500000000005</v>
      </c>
      <c r="T943">
        <v>19.763300000000001</v>
      </c>
    </row>
    <row r="944" spans="1:20" x14ac:dyDescent="0.3">
      <c r="A944" t="s">
        <v>1443</v>
      </c>
      <c r="B944" t="s">
        <v>21</v>
      </c>
      <c r="C944" t="s">
        <v>1300</v>
      </c>
      <c r="D944" t="s">
        <v>23</v>
      </c>
      <c r="E944" t="s">
        <v>32</v>
      </c>
      <c r="F944" t="s">
        <v>25</v>
      </c>
      <c r="G944" t="s">
        <v>77</v>
      </c>
      <c r="H944">
        <v>45.68</v>
      </c>
      <c r="I944">
        <v>10</v>
      </c>
      <c r="J944">
        <v>22.84</v>
      </c>
      <c r="K944">
        <v>456.8</v>
      </c>
      <c r="L944" s="1">
        <v>43696</v>
      </c>
      <c r="M944" s="2">
        <v>0.8125</v>
      </c>
      <c r="N944" t="s">
        <v>27</v>
      </c>
      <c r="O944">
        <v>456.8</v>
      </c>
      <c r="P944">
        <v>4.7619047620000003</v>
      </c>
      <c r="Q944">
        <v>0</v>
      </c>
      <c r="R944">
        <v>5.7</v>
      </c>
      <c r="S944">
        <v>96.173500000000004</v>
      </c>
      <c r="T944">
        <v>16.840900000000001</v>
      </c>
    </row>
    <row r="945" spans="1:20" x14ac:dyDescent="0.3">
      <c r="A945" t="s">
        <v>1444</v>
      </c>
      <c r="B945" t="s">
        <v>21</v>
      </c>
      <c r="C945" t="s">
        <v>238</v>
      </c>
      <c r="D945" t="s">
        <v>23</v>
      </c>
      <c r="E945" t="s">
        <v>32</v>
      </c>
      <c r="F945" t="s">
        <v>36</v>
      </c>
      <c r="G945" t="s">
        <v>26</v>
      </c>
      <c r="H945">
        <v>50.79</v>
      </c>
      <c r="I945">
        <v>5</v>
      </c>
      <c r="J945">
        <v>12.6975</v>
      </c>
      <c r="K945">
        <v>253.95</v>
      </c>
      <c r="L945" s="1">
        <v>43620</v>
      </c>
      <c r="M945" s="2">
        <v>0.62013888888888891</v>
      </c>
      <c r="N945" t="s">
        <v>37</v>
      </c>
      <c r="O945">
        <v>253.95</v>
      </c>
      <c r="P945">
        <v>4.7619047620000003</v>
      </c>
      <c r="Q945">
        <v>0</v>
      </c>
      <c r="R945">
        <v>5.3</v>
      </c>
      <c r="S945">
        <v>96.173500000000004</v>
      </c>
      <c r="T945">
        <v>16.840900000000001</v>
      </c>
    </row>
    <row r="946" spans="1:20" x14ac:dyDescent="0.3">
      <c r="A946" t="s">
        <v>1445</v>
      </c>
      <c r="B946" t="s">
        <v>21</v>
      </c>
      <c r="C946" t="s">
        <v>743</v>
      </c>
      <c r="D946" t="s">
        <v>23</v>
      </c>
      <c r="E946" t="s">
        <v>32</v>
      </c>
      <c r="F946" t="s">
        <v>36</v>
      </c>
      <c r="G946" t="s">
        <v>26</v>
      </c>
      <c r="H946">
        <v>10.08</v>
      </c>
      <c r="I946">
        <v>7</v>
      </c>
      <c r="J946">
        <v>3.528</v>
      </c>
      <c r="K946">
        <v>70.56</v>
      </c>
      <c r="L946" s="1">
        <v>43787</v>
      </c>
      <c r="M946" s="2">
        <v>0.84305555555555556</v>
      </c>
      <c r="N946" t="s">
        <v>33</v>
      </c>
      <c r="O946">
        <v>70.56</v>
      </c>
      <c r="P946">
        <v>4.7619047620000003</v>
      </c>
      <c r="Q946">
        <v>0</v>
      </c>
      <c r="R946">
        <v>4.2</v>
      </c>
      <c r="S946">
        <v>96.173500000000004</v>
      </c>
      <c r="T946">
        <v>16.840900000000001</v>
      </c>
    </row>
    <row r="947" spans="1:20" x14ac:dyDescent="0.3">
      <c r="A947" t="s">
        <v>1446</v>
      </c>
      <c r="B947" t="s">
        <v>21</v>
      </c>
      <c r="C947" t="s">
        <v>1447</v>
      </c>
      <c r="D947" t="s">
        <v>23</v>
      </c>
      <c r="E947" t="s">
        <v>32</v>
      </c>
      <c r="F947" t="s">
        <v>25</v>
      </c>
      <c r="G947" t="s">
        <v>60</v>
      </c>
      <c r="H947">
        <v>93.88</v>
      </c>
      <c r="I947">
        <v>7</v>
      </c>
      <c r="J947">
        <v>32.857999999999997</v>
      </c>
      <c r="K947">
        <v>657.16</v>
      </c>
      <c r="L947" s="1">
        <v>43476</v>
      </c>
      <c r="M947" s="2">
        <v>0.49375000000000002</v>
      </c>
      <c r="N947" t="s">
        <v>37</v>
      </c>
      <c r="O947">
        <v>657.16</v>
      </c>
      <c r="P947">
        <v>4.7619047620000003</v>
      </c>
      <c r="Q947">
        <v>0</v>
      </c>
      <c r="R947">
        <v>7.3</v>
      </c>
      <c r="S947">
        <v>96.173500000000004</v>
      </c>
      <c r="T947">
        <v>16.840900000000001</v>
      </c>
    </row>
    <row r="948" spans="1:20" x14ac:dyDescent="0.3">
      <c r="A948" t="s">
        <v>1448</v>
      </c>
      <c r="B948" t="s">
        <v>29</v>
      </c>
      <c r="C948" t="s">
        <v>371</v>
      </c>
      <c r="D948" t="s">
        <v>31</v>
      </c>
      <c r="E948" t="s">
        <v>32</v>
      </c>
      <c r="F948" t="s">
        <v>36</v>
      </c>
      <c r="G948" t="s">
        <v>60</v>
      </c>
      <c r="H948">
        <v>84.25</v>
      </c>
      <c r="I948">
        <v>2</v>
      </c>
      <c r="J948">
        <v>8.4250000000000007</v>
      </c>
      <c r="K948">
        <v>168.5</v>
      </c>
      <c r="L948" s="1">
        <v>43553</v>
      </c>
      <c r="M948" s="2">
        <v>0.59236111111111112</v>
      </c>
      <c r="N948" t="s">
        <v>37</v>
      </c>
      <c r="O948">
        <v>168.5</v>
      </c>
      <c r="P948">
        <v>4.7619047620000003</v>
      </c>
      <c r="Q948">
        <v>0</v>
      </c>
      <c r="R948">
        <v>5.5650000000000004</v>
      </c>
      <c r="S948">
        <v>96.078500000000005</v>
      </c>
      <c r="T948">
        <v>19.763300000000001</v>
      </c>
    </row>
    <row r="949" spans="1:20" x14ac:dyDescent="0.3">
      <c r="A949" t="s">
        <v>1449</v>
      </c>
      <c r="B949" t="s">
        <v>51</v>
      </c>
      <c r="C949" t="s">
        <v>872</v>
      </c>
      <c r="D949" t="s">
        <v>53</v>
      </c>
      <c r="E949" t="s">
        <v>32</v>
      </c>
      <c r="F949" t="s">
        <v>36</v>
      </c>
      <c r="G949" t="s">
        <v>100</v>
      </c>
      <c r="H949">
        <v>53.78</v>
      </c>
      <c r="I949">
        <v>1</v>
      </c>
      <c r="J949">
        <v>2.6890000000000001</v>
      </c>
      <c r="K949">
        <v>53.78</v>
      </c>
      <c r="L949" s="1">
        <v>43521</v>
      </c>
      <c r="M949" s="2">
        <v>0.84236111111111112</v>
      </c>
      <c r="N949" t="s">
        <v>27</v>
      </c>
      <c r="O949">
        <v>53.78</v>
      </c>
      <c r="P949">
        <v>4.7619047620000003</v>
      </c>
      <c r="Q949">
        <v>0</v>
      </c>
      <c r="R949">
        <v>5.64</v>
      </c>
      <c r="S949">
        <v>96.089100000000002</v>
      </c>
      <c r="T949">
        <v>21.9588</v>
      </c>
    </row>
    <row r="950" spans="1:20" x14ac:dyDescent="0.3">
      <c r="A950" t="s">
        <v>1450</v>
      </c>
      <c r="B950" t="s">
        <v>29</v>
      </c>
      <c r="C950" t="s">
        <v>1418</v>
      </c>
      <c r="D950" t="s">
        <v>31</v>
      </c>
      <c r="E950" t="s">
        <v>32</v>
      </c>
      <c r="F950" t="s">
        <v>36</v>
      </c>
      <c r="G950" t="s">
        <v>77</v>
      </c>
      <c r="H950">
        <v>35.81</v>
      </c>
      <c r="I950">
        <v>6</v>
      </c>
      <c r="J950">
        <v>10.743</v>
      </c>
      <c r="K950">
        <v>214.86</v>
      </c>
      <c r="L950" s="1">
        <v>43636</v>
      </c>
      <c r="M950" s="2">
        <v>0.78055555555555556</v>
      </c>
      <c r="N950" t="s">
        <v>27</v>
      </c>
      <c r="O950">
        <v>179.05</v>
      </c>
      <c r="P950">
        <v>4.7619047620000003</v>
      </c>
      <c r="Q950">
        <v>35.81</v>
      </c>
      <c r="R950">
        <v>8.2949999999999999</v>
      </c>
      <c r="S950">
        <v>96.078500000000005</v>
      </c>
      <c r="T950">
        <v>19.763300000000001</v>
      </c>
    </row>
    <row r="951" spans="1:20" x14ac:dyDescent="0.3">
      <c r="A951" t="s">
        <v>1451</v>
      </c>
      <c r="B951" t="s">
        <v>51</v>
      </c>
      <c r="C951" t="s">
        <v>844</v>
      </c>
      <c r="D951" t="s">
        <v>53</v>
      </c>
      <c r="E951" t="s">
        <v>32</v>
      </c>
      <c r="F951" t="s">
        <v>25</v>
      </c>
      <c r="G951" t="s">
        <v>63</v>
      </c>
      <c r="H951">
        <v>26.43</v>
      </c>
      <c r="I951">
        <v>11</v>
      </c>
      <c r="J951">
        <v>14.5365</v>
      </c>
      <c r="K951">
        <v>290.73</v>
      </c>
      <c r="L951" s="1">
        <v>43522</v>
      </c>
      <c r="M951" s="2">
        <v>0.60138888888888886</v>
      </c>
      <c r="N951" t="s">
        <v>27</v>
      </c>
      <c r="O951">
        <v>211.44</v>
      </c>
      <c r="P951">
        <v>4.7619047620000003</v>
      </c>
      <c r="Q951">
        <v>79.290000000000006</v>
      </c>
      <c r="R951">
        <v>10</v>
      </c>
      <c r="S951">
        <v>96.089100000000002</v>
      </c>
      <c r="T951">
        <v>21.9588</v>
      </c>
    </row>
    <row r="952" spans="1:20" x14ac:dyDescent="0.3">
      <c r="A952" t="s">
        <v>1452</v>
      </c>
      <c r="B952" t="s">
        <v>51</v>
      </c>
      <c r="C952" t="s">
        <v>296</v>
      </c>
      <c r="D952" t="s">
        <v>53</v>
      </c>
      <c r="E952" t="s">
        <v>32</v>
      </c>
      <c r="F952" t="s">
        <v>36</v>
      </c>
      <c r="G952" t="s">
        <v>26</v>
      </c>
      <c r="H952">
        <v>39.909999999999997</v>
      </c>
      <c r="I952">
        <v>4</v>
      </c>
      <c r="J952">
        <v>7.9820000000000002</v>
      </c>
      <c r="K952">
        <v>159.63999999999999</v>
      </c>
      <c r="L952" s="1">
        <v>43742</v>
      </c>
      <c r="M952" s="2">
        <v>0.52777777777777779</v>
      </c>
      <c r="N952" t="s">
        <v>27</v>
      </c>
      <c r="O952">
        <v>119.73</v>
      </c>
      <c r="P952">
        <v>4.7619047620000003</v>
      </c>
      <c r="Q952">
        <v>39.909999999999997</v>
      </c>
      <c r="R952">
        <v>10</v>
      </c>
      <c r="S952">
        <v>96.089100000000002</v>
      </c>
      <c r="T952">
        <v>21.9588</v>
      </c>
    </row>
    <row r="953" spans="1:20" x14ac:dyDescent="0.3">
      <c r="A953" t="s">
        <v>1453</v>
      </c>
      <c r="B953" t="s">
        <v>51</v>
      </c>
      <c r="C953" t="s">
        <v>791</v>
      </c>
      <c r="D953" t="s">
        <v>53</v>
      </c>
      <c r="E953" t="s">
        <v>24</v>
      </c>
      <c r="F953" t="s">
        <v>25</v>
      </c>
      <c r="G953" t="s">
        <v>77</v>
      </c>
      <c r="H953">
        <v>21.9</v>
      </c>
      <c r="I953">
        <v>6</v>
      </c>
      <c r="J953">
        <v>6.57</v>
      </c>
      <c r="K953">
        <v>131.4</v>
      </c>
      <c r="L953" s="1">
        <v>43774</v>
      </c>
      <c r="M953" s="2">
        <v>0.77986111111111112</v>
      </c>
      <c r="N953" t="s">
        <v>27</v>
      </c>
      <c r="O953">
        <v>65.7</v>
      </c>
      <c r="P953">
        <v>4.7619047620000003</v>
      </c>
      <c r="Q953">
        <v>65.7</v>
      </c>
      <c r="R953">
        <v>5.64</v>
      </c>
      <c r="S953">
        <v>96.089100000000002</v>
      </c>
      <c r="T953">
        <v>21.9588</v>
      </c>
    </row>
    <row r="954" spans="1:20" x14ac:dyDescent="0.3">
      <c r="A954" t="s">
        <v>1454</v>
      </c>
      <c r="B954" t="s">
        <v>51</v>
      </c>
      <c r="C954" t="s">
        <v>67</v>
      </c>
      <c r="D954" t="s">
        <v>53</v>
      </c>
      <c r="E954" t="s">
        <v>24</v>
      </c>
      <c r="F954" t="s">
        <v>25</v>
      </c>
      <c r="G954" t="s">
        <v>63</v>
      </c>
      <c r="H954">
        <v>62.85</v>
      </c>
      <c r="I954">
        <v>8</v>
      </c>
      <c r="J954">
        <v>25.14</v>
      </c>
      <c r="K954">
        <v>502.8</v>
      </c>
      <c r="L954" s="1">
        <v>43619</v>
      </c>
      <c r="M954" s="2">
        <v>0.55694444444444446</v>
      </c>
      <c r="N954" t="s">
        <v>27</v>
      </c>
      <c r="O954">
        <v>251.4</v>
      </c>
      <c r="P954">
        <v>4.7619047620000003</v>
      </c>
      <c r="Q954">
        <v>251.4</v>
      </c>
      <c r="R954">
        <v>10</v>
      </c>
      <c r="S954">
        <v>96.089100000000002</v>
      </c>
      <c r="T954">
        <v>21.9588</v>
      </c>
    </row>
    <row r="955" spans="1:20" x14ac:dyDescent="0.3">
      <c r="A955" t="s">
        <v>1455</v>
      </c>
      <c r="B955" t="s">
        <v>29</v>
      </c>
      <c r="C955" t="s">
        <v>810</v>
      </c>
      <c r="D955" t="s">
        <v>31</v>
      </c>
      <c r="E955" t="s">
        <v>24</v>
      </c>
      <c r="F955" t="s">
        <v>25</v>
      </c>
      <c r="G955" t="s">
        <v>63</v>
      </c>
      <c r="H955">
        <v>21.04</v>
      </c>
      <c r="I955">
        <v>7</v>
      </c>
      <c r="J955">
        <v>7.3639999999999999</v>
      </c>
      <c r="K955">
        <v>147.28</v>
      </c>
      <c r="L955" s="1">
        <v>43550</v>
      </c>
      <c r="M955" s="2">
        <v>0.58194444444444449</v>
      </c>
      <c r="N955" t="s">
        <v>33</v>
      </c>
      <c r="O955">
        <v>84.16</v>
      </c>
      <c r="P955">
        <v>4.7619047620000003</v>
      </c>
      <c r="Q955">
        <v>63.12</v>
      </c>
      <c r="R955">
        <v>7.98</v>
      </c>
      <c r="S955">
        <v>96.078500000000005</v>
      </c>
      <c r="T955">
        <v>19.763300000000001</v>
      </c>
    </row>
    <row r="956" spans="1:20" x14ac:dyDescent="0.3">
      <c r="A956" t="s">
        <v>1456</v>
      </c>
      <c r="B956" t="s">
        <v>51</v>
      </c>
      <c r="C956" t="s">
        <v>440</v>
      </c>
      <c r="D956" t="s">
        <v>53</v>
      </c>
      <c r="E956" t="s">
        <v>24</v>
      </c>
      <c r="F956" t="s">
        <v>36</v>
      </c>
      <c r="G956" t="s">
        <v>77</v>
      </c>
      <c r="H956">
        <v>65.91</v>
      </c>
      <c r="I956">
        <v>11</v>
      </c>
      <c r="J956">
        <v>36.250500000000002</v>
      </c>
      <c r="K956">
        <v>725.01</v>
      </c>
      <c r="L956" s="1">
        <v>43527</v>
      </c>
      <c r="M956" s="2">
        <v>0.48958333333333331</v>
      </c>
      <c r="N956" t="s">
        <v>33</v>
      </c>
      <c r="O956">
        <v>395.46</v>
      </c>
      <c r="P956">
        <v>4.7619047620000003</v>
      </c>
      <c r="Q956">
        <v>329.55</v>
      </c>
      <c r="R956">
        <v>6.84</v>
      </c>
      <c r="S956">
        <v>96.089100000000002</v>
      </c>
      <c r="T956">
        <v>21.9588</v>
      </c>
    </row>
    <row r="957" spans="1:20" x14ac:dyDescent="0.3">
      <c r="A957" t="s">
        <v>1457</v>
      </c>
      <c r="B957" t="s">
        <v>21</v>
      </c>
      <c r="C957" t="s">
        <v>294</v>
      </c>
      <c r="D957" t="s">
        <v>23</v>
      </c>
      <c r="E957" t="s">
        <v>32</v>
      </c>
      <c r="F957" t="s">
        <v>25</v>
      </c>
      <c r="G957" t="s">
        <v>100</v>
      </c>
      <c r="H957">
        <v>42.57</v>
      </c>
      <c r="I957">
        <v>7</v>
      </c>
      <c r="J957">
        <v>14.8995</v>
      </c>
      <c r="K957">
        <v>297.99</v>
      </c>
      <c r="L957" s="1">
        <v>43623</v>
      </c>
      <c r="M957" s="2">
        <v>0.49375000000000002</v>
      </c>
      <c r="N957" t="s">
        <v>33</v>
      </c>
      <c r="O957">
        <v>297.99</v>
      </c>
      <c r="P957">
        <v>4.7619047620000003</v>
      </c>
      <c r="Q957">
        <v>0</v>
      </c>
      <c r="R957">
        <v>6.8</v>
      </c>
      <c r="S957">
        <v>96.173500000000004</v>
      </c>
      <c r="T957">
        <v>16.840900000000001</v>
      </c>
    </row>
    <row r="958" spans="1:20" x14ac:dyDescent="0.3">
      <c r="A958" t="s">
        <v>1458</v>
      </c>
      <c r="B958" t="s">
        <v>29</v>
      </c>
      <c r="C958" t="s">
        <v>209</v>
      </c>
      <c r="D958" t="s">
        <v>31</v>
      </c>
      <c r="E958" t="s">
        <v>24</v>
      </c>
      <c r="F958" t="s">
        <v>36</v>
      </c>
      <c r="G958" t="s">
        <v>63</v>
      </c>
      <c r="H958">
        <v>50.49</v>
      </c>
      <c r="I958">
        <v>15</v>
      </c>
      <c r="J958">
        <v>37.8675</v>
      </c>
      <c r="K958">
        <v>757.35</v>
      </c>
      <c r="L958" s="1">
        <v>43788</v>
      </c>
      <c r="M958" s="2">
        <v>0.71944444444444444</v>
      </c>
      <c r="N958" t="s">
        <v>33</v>
      </c>
      <c r="O958">
        <v>454.41</v>
      </c>
      <c r="P958">
        <v>4.7619047620000003</v>
      </c>
      <c r="Q958">
        <v>302.94</v>
      </c>
      <c r="R958">
        <v>5.67</v>
      </c>
      <c r="S958">
        <v>96.078500000000005</v>
      </c>
      <c r="T958">
        <v>19.763300000000001</v>
      </c>
    </row>
    <row r="959" spans="1:20" x14ac:dyDescent="0.3">
      <c r="A959" t="s">
        <v>1459</v>
      </c>
      <c r="B959" t="s">
        <v>51</v>
      </c>
      <c r="C959" t="s">
        <v>318</v>
      </c>
      <c r="D959" t="s">
        <v>53</v>
      </c>
      <c r="E959" t="s">
        <v>32</v>
      </c>
      <c r="F959" t="s">
        <v>36</v>
      </c>
      <c r="G959" t="s">
        <v>60</v>
      </c>
      <c r="H959">
        <v>46.02</v>
      </c>
      <c r="I959">
        <v>8</v>
      </c>
      <c r="J959">
        <v>18.408000000000001</v>
      </c>
      <c r="K959">
        <v>368.16</v>
      </c>
      <c r="L959" s="1">
        <v>43697</v>
      </c>
      <c r="M959" s="2">
        <v>0.66319444444444442</v>
      </c>
      <c r="N959" t="s">
        <v>33</v>
      </c>
      <c r="O959">
        <v>276.12</v>
      </c>
      <c r="P959">
        <v>4.7619047620000003</v>
      </c>
      <c r="Q959">
        <v>92.04</v>
      </c>
      <c r="R959">
        <v>8.52</v>
      </c>
      <c r="S959">
        <v>96.089100000000002</v>
      </c>
      <c r="T959">
        <v>21.9588</v>
      </c>
    </row>
    <row r="960" spans="1:20" x14ac:dyDescent="0.3">
      <c r="A960" t="s">
        <v>1460</v>
      </c>
      <c r="B960" t="s">
        <v>29</v>
      </c>
      <c r="C960" t="s">
        <v>109</v>
      </c>
      <c r="D960" t="s">
        <v>31</v>
      </c>
      <c r="E960" t="s">
        <v>32</v>
      </c>
      <c r="F960" t="s">
        <v>25</v>
      </c>
      <c r="G960" t="s">
        <v>77</v>
      </c>
      <c r="H960">
        <v>15.8</v>
      </c>
      <c r="I960">
        <v>12</v>
      </c>
      <c r="J960">
        <v>9.48</v>
      </c>
      <c r="K960">
        <v>189.6</v>
      </c>
      <c r="L960" s="1">
        <v>43517</v>
      </c>
      <c r="M960" s="2">
        <v>0.50486111111111109</v>
      </c>
      <c r="N960" t="s">
        <v>33</v>
      </c>
      <c r="O960">
        <v>158</v>
      </c>
      <c r="P960">
        <v>4.7619047620000003</v>
      </c>
      <c r="Q960">
        <v>31.6</v>
      </c>
      <c r="R960">
        <v>8.19</v>
      </c>
      <c r="S960">
        <v>96.078500000000005</v>
      </c>
      <c r="T960">
        <v>19.763300000000001</v>
      </c>
    </row>
    <row r="961" spans="1:20" x14ac:dyDescent="0.3">
      <c r="A961" t="s">
        <v>1461</v>
      </c>
      <c r="B961" t="s">
        <v>21</v>
      </c>
      <c r="C961" t="s">
        <v>1462</v>
      </c>
      <c r="D961" t="s">
        <v>23</v>
      </c>
      <c r="E961" t="s">
        <v>24</v>
      </c>
      <c r="F961" t="s">
        <v>25</v>
      </c>
      <c r="G961" t="s">
        <v>63</v>
      </c>
      <c r="H961">
        <v>98.66</v>
      </c>
      <c r="I961">
        <v>13</v>
      </c>
      <c r="J961">
        <v>64.129000000000005</v>
      </c>
      <c r="K961">
        <v>1282.58</v>
      </c>
      <c r="L961" s="1">
        <v>43673</v>
      </c>
      <c r="M961" s="2">
        <v>0.62986111111111109</v>
      </c>
      <c r="N961" t="s">
        <v>33</v>
      </c>
      <c r="O961">
        <v>887.94</v>
      </c>
      <c r="P961">
        <v>4.7619047620000003</v>
      </c>
      <c r="Q961">
        <v>394.64</v>
      </c>
      <c r="R961">
        <v>8.4</v>
      </c>
      <c r="S961">
        <v>96.173500000000004</v>
      </c>
      <c r="T961">
        <v>16.840900000000001</v>
      </c>
    </row>
    <row r="962" spans="1:20" x14ac:dyDescent="0.3">
      <c r="A962" t="s">
        <v>1463</v>
      </c>
      <c r="B962" t="s">
        <v>29</v>
      </c>
      <c r="C962" t="s">
        <v>819</v>
      </c>
      <c r="D962" t="s">
        <v>31</v>
      </c>
      <c r="E962" t="s">
        <v>24</v>
      </c>
      <c r="F962" t="s">
        <v>36</v>
      </c>
      <c r="G962" t="s">
        <v>100</v>
      </c>
      <c r="H962">
        <v>91.98</v>
      </c>
      <c r="I962">
        <v>1</v>
      </c>
      <c r="J962">
        <v>4.5990000000000002</v>
      </c>
      <c r="K962">
        <v>91.98</v>
      </c>
      <c r="L962" s="1">
        <v>43655</v>
      </c>
      <c r="M962" s="2">
        <v>0.64513888888888893</v>
      </c>
      <c r="N962" t="s">
        <v>33</v>
      </c>
      <c r="O962">
        <v>91.98</v>
      </c>
      <c r="P962">
        <v>4.7619047620000003</v>
      </c>
      <c r="Q962">
        <v>0</v>
      </c>
      <c r="R962">
        <v>10</v>
      </c>
      <c r="S962">
        <v>96.078500000000005</v>
      </c>
      <c r="T962">
        <v>19.763300000000001</v>
      </c>
    </row>
    <row r="963" spans="1:20" x14ac:dyDescent="0.3">
      <c r="A963" t="s">
        <v>1464</v>
      </c>
      <c r="B963" t="s">
        <v>21</v>
      </c>
      <c r="C963" t="s">
        <v>1031</v>
      </c>
      <c r="D963" t="s">
        <v>23</v>
      </c>
      <c r="E963" t="s">
        <v>24</v>
      </c>
      <c r="F963" t="s">
        <v>36</v>
      </c>
      <c r="G963" t="s">
        <v>60</v>
      </c>
      <c r="H963">
        <v>20.89</v>
      </c>
      <c r="I963">
        <v>3</v>
      </c>
      <c r="J963">
        <v>3.1335000000000002</v>
      </c>
      <c r="K963">
        <v>62.67</v>
      </c>
      <c r="L963" s="1">
        <v>43613</v>
      </c>
      <c r="M963" s="2">
        <v>0.78125</v>
      </c>
      <c r="N963" t="s">
        <v>33</v>
      </c>
      <c r="O963">
        <v>41.78</v>
      </c>
      <c r="P963">
        <v>4.7619047620000003</v>
      </c>
      <c r="Q963">
        <v>20.89</v>
      </c>
      <c r="R963">
        <v>9.8000000000000007</v>
      </c>
      <c r="S963">
        <v>96.173500000000004</v>
      </c>
      <c r="T963">
        <v>16.840900000000001</v>
      </c>
    </row>
    <row r="964" spans="1:20" x14ac:dyDescent="0.3">
      <c r="A964" t="s">
        <v>1465</v>
      </c>
      <c r="B964" t="s">
        <v>21</v>
      </c>
      <c r="C964" t="s">
        <v>543</v>
      </c>
      <c r="D964" t="s">
        <v>23</v>
      </c>
      <c r="E964" t="s">
        <v>32</v>
      </c>
      <c r="F964" t="s">
        <v>25</v>
      </c>
      <c r="G964" t="s">
        <v>100</v>
      </c>
      <c r="H964">
        <v>15.5</v>
      </c>
      <c r="I964">
        <v>1</v>
      </c>
      <c r="J964">
        <v>0.77500000000000002</v>
      </c>
      <c r="K964">
        <v>15.5</v>
      </c>
      <c r="L964" s="1">
        <v>43648</v>
      </c>
      <c r="M964" s="2">
        <v>0.64097222222222228</v>
      </c>
      <c r="N964" t="s">
        <v>37</v>
      </c>
      <c r="O964">
        <v>15.5</v>
      </c>
      <c r="P964">
        <v>4.7619047620000003</v>
      </c>
      <c r="Q964">
        <v>0</v>
      </c>
      <c r="R964">
        <v>7.4</v>
      </c>
      <c r="S964">
        <v>96.173500000000004</v>
      </c>
      <c r="T964">
        <v>16.840900000000001</v>
      </c>
    </row>
    <row r="965" spans="1:20" x14ac:dyDescent="0.3">
      <c r="A965" t="s">
        <v>1466</v>
      </c>
      <c r="B965" t="s">
        <v>29</v>
      </c>
      <c r="C965" t="s">
        <v>1394</v>
      </c>
      <c r="D965" t="s">
        <v>31</v>
      </c>
      <c r="E965" t="s">
        <v>24</v>
      </c>
      <c r="F965" t="s">
        <v>36</v>
      </c>
      <c r="G965" t="s">
        <v>60</v>
      </c>
      <c r="H965">
        <v>96.82</v>
      </c>
      <c r="I965">
        <v>6</v>
      </c>
      <c r="J965">
        <v>29.045999999999999</v>
      </c>
      <c r="K965">
        <v>580.91999999999996</v>
      </c>
      <c r="L965" s="1">
        <v>43515</v>
      </c>
      <c r="M965" s="2">
        <v>0.85902777777777772</v>
      </c>
      <c r="N965" t="s">
        <v>33</v>
      </c>
      <c r="O965">
        <v>290.45999999999998</v>
      </c>
      <c r="P965">
        <v>4.7619047620000003</v>
      </c>
      <c r="Q965">
        <v>290.45999999999998</v>
      </c>
      <c r="R965">
        <v>7.0350000000000001</v>
      </c>
      <c r="S965">
        <v>96.078500000000005</v>
      </c>
      <c r="T965">
        <v>19.763300000000001</v>
      </c>
    </row>
    <row r="966" spans="1:20" x14ac:dyDescent="0.3">
      <c r="A966" t="s">
        <v>1467</v>
      </c>
      <c r="B966" t="s">
        <v>51</v>
      </c>
      <c r="C966" t="s">
        <v>498</v>
      </c>
      <c r="D966" t="s">
        <v>53</v>
      </c>
      <c r="E966" t="s">
        <v>32</v>
      </c>
      <c r="F966" t="s">
        <v>36</v>
      </c>
      <c r="G966" t="s">
        <v>63</v>
      </c>
      <c r="H966">
        <v>33.33</v>
      </c>
      <c r="I966">
        <v>3</v>
      </c>
      <c r="J966">
        <v>4.9995000000000003</v>
      </c>
      <c r="K966">
        <v>99.99</v>
      </c>
      <c r="L966" s="1">
        <v>43513</v>
      </c>
      <c r="M966" s="2">
        <v>0.6118055555555556</v>
      </c>
      <c r="N966" t="s">
        <v>37</v>
      </c>
      <c r="O966">
        <v>66.66</v>
      </c>
      <c r="P966">
        <v>4.7619047620000003</v>
      </c>
      <c r="Q966">
        <v>33.33</v>
      </c>
      <c r="R966">
        <v>7.68</v>
      </c>
      <c r="S966">
        <v>96.089100000000002</v>
      </c>
      <c r="T966">
        <v>21.9588</v>
      </c>
    </row>
    <row r="967" spans="1:20" x14ac:dyDescent="0.3">
      <c r="A967" t="s">
        <v>1468</v>
      </c>
      <c r="B967" t="s">
        <v>51</v>
      </c>
      <c r="C967" t="s">
        <v>514</v>
      </c>
      <c r="D967" t="s">
        <v>53</v>
      </c>
      <c r="E967" t="s">
        <v>32</v>
      </c>
      <c r="F967" t="s">
        <v>25</v>
      </c>
      <c r="G967" t="s">
        <v>100</v>
      </c>
      <c r="H967">
        <v>38.270000000000003</v>
      </c>
      <c r="I967">
        <v>3</v>
      </c>
      <c r="J967">
        <v>5.7404999999999999</v>
      </c>
      <c r="K967">
        <v>114.81</v>
      </c>
      <c r="L967" s="1">
        <v>43467</v>
      </c>
      <c r="M967" s="2">
        <v>0.76249999999999996</v>
      </c>
      <c r="N967" t="s">
        <v>37</v>
      </c>
      <c r="O967">
        <v>76.540000000000006</v>
      </c>
      <c r="P967">
        <v>4.7619047620000003</v>
      </c>
      <c r="Q967">
        <v>38.270000000000003</v>
      </c>
      <c r="R967">
        <v>6.96</v>
      </c>
      <c r="S967">
        <v>96.089100000000002</v>
      </c>
      <c r="T967">
        <v>21.9588</v>
      </c>
    </row>
    <row r="968" spans="1:20" x14ac:dyDescent="0.3">
      <c r="A968" t="s">
        <v>1469</v>
      </c>
      <c r="B968" t="s">
        <v>21</v>
      </c>
      <c r="C968" t="s">
        <v>415</v>
      </c>
      <c r="D968" t="s">
        <v>23</v>
      </c>
      <c r="E968" t="s">
        <v>32</v>
      </c>
      <c r="F968" t="s">
        <v>25</v>
      </c>
      <c r="G968" t="s">
        <v>100</v>
      </c>
      <c r="H968">
        <v>33.299999999999997</v>
      </c>
      <c r="I968">
        <v>9</v>
      </c>
      <c r="J968">
        <v>14.984999999999999</v>
      </c>
      <c r="K968">
        <v>299.7</v>
      </c>
      <c r="L968" s="1">
        <v>43622</v>
      </c>
      <c r="M968" s="2">
        <v>0.64375000000000004</v>
      </c>
      <c r="N968" t="s">
        <v>27</v>
      </c>
      <c r="O968">
        <v>299.7</v>
      </c>
      <c r="P968">
        <v>4.7619047620000003</v>
      </c>
      <c r="Q968">
        <v>0</v>
      </c>
      <c r="R968">
        <v>7.2</v>
      </c>
      <c r="S968">
        <v>96.173500000000004</v>
      </c>
      <c r="T968">
        <v>16.840900000000001</v>
      </c>
    </row>
    <row r="969" spans="1:20" x14ac:dyDescent="0.3">
      <c r="A969" t="s">
        <v>1470</v>
      </c>
      <c r="B969" t="s">
        <v>21</v>
      </c>
      <c r="C969" t="s">
        <v>1471</v>
      </c>
      <c r="D969" t="s">
        <v>23</v>
      </c>
      <c r="E969" t="s">
        <v>24</v>
      </c>
      <c r="F969" t="s">
        <v>36</v>
      </c>
      <c r="G969" t="s">
        <v>100</v>
      </c>
      <c r="H969">
        <v>81.010000000000005</v>
      </c>
      <c r="I969">
        <v>4</v>
      </c>
      <c r="J969">
        <v>16.202000000000002</v>
      </c>
      <c r="K969">
        <v>324.04000000000002</v>
      </c>
      <c r="L969" s="1">
        <v>43532</v>
      </c>
      <c r="M969" s="2">
        <v>0.53819444444444442</v>
      </c>
      <c r="N969" t="s">
        <v>37</v>
      </c>
      <c r="O969">
        <v>243.03</v>
      </c>
      <c r="P969">
        <v>4.7619047620000003</v>
      </c>
      <c r="Q969">
        <v>81.010000000000005</v>
      </c>
      <c r="R969">
        <v>9.3000000000000007</v>
      </c>
      <c r="S969">
        <v>96.173500000000004</v>
      </c>
      <c r="T969">
        <v>16.840900000000001</v>
      </c>
    </row>
    <row r="970" spans="1:20" x14ac:dyDescent="0.3">
      <c r="A970" t="s">
        <v>1472</v>
      </c>
      <c r="B970" t="s">
        <v>21</v>
      </c>
      <c r="C970" t="s">
        <v>1031</v>
      </c>
      <c r="D970" t="s">
        <v>23</v>
      </c>
      <c r="E970" t="s">
        <v>32</v>
      </c>
      <c r="F970" t="s">
        <v>25</v>
      </c>
      <c r="G970" t="s">
        <v>100</v>
      </c>
      <c r="H970">
        <v>15.8</v>
      </c>
      <c r="I970">
        <v>3</v>
      </c>
      <c r="J970">
        <v>2.37</v>
      </c>
      <c r="K970">
        <v>47.4</v>
      </c>
      <c r="L970" s="1">
        <v>43727</v>
      </c>
      <c r="M970" s="2">
        <v>0.75138888888888888</v>
      </c>
      <c r="N970" t="s">
        <v>33</v>
      </c>
      <c r="O970">
        <v>47.4</v>
      </c>
      <c r="P970">
        <v>4.7619047620000003</v>
      </c>
      <c r="Q970">
        <v>0</v>
      </c>
      <c r="R970">
        <v>9.5</v>
      </c>
      <c r="S970">
        <v>96.173500000000004</v>
      </c>
      <c r="T970">
        <v>16.840900000000001</v>
      </c>
    </row>
    <row r="971" spans="1:20" x14ac:dyDescent="0.3">
      <c r="A971" t="s">
        <v>1473</v>
      </c>
      <c r="B971" t="s">
        <v>51</v>
      </c>
      <c r="C971" t="s">
        <v>207</v>
      </c>
      <c r="D971" t="s">
        <v>53</v>
      </c>
      <c r="E971" t="s">
        <v>24</v>
      </c>
      <c r="F971" t="s">
        <v>25</v>
      </c>
      <c r="G971" t="s">
        <v>100</v>
      </c>
      <c r="H971">
        <v>34.49</v>
      </c>
      <c r="I971">
        <v>10</v>
      </c>
      <c r="J971">
        <v>17.245000000000001</v>
      </c>
      <c r="K971">
        <v>344.9</v>
      </c>
      <c r="L971" s="1">
        <v>43809</v>
      </c>
      <c r="M971" s="2">
        <v>0.82222222222222219</v>
      </c>
      <c r="N971" t="s">
        <v>37</v>
      </c>
      <c r="O971">
        <v>172.45</v>
      </c>
      <c r="P971">
        <v>4.7619047620000003</v>
      </c>
      <c r="Q971">
        <v>172.45</v>
      </c>
      <c r="R971">
        <v>10</v>
      </c>
      <c r="S971">
        <v>96.089100000000002</v>
      </c>
      <c r="T971">
        <v>21.9588</v>
      </c>
    </row>
    <row r="972" spans="1:20" x14ac:dyDescent="0.3">
      <c r="A972" t="s">
        <v>1474</v>
      </c>
      <c r="B972" t="s">
        <v>51</v>
      </c>
      <c r="C972" t="s">
        <v>821</v>
      </c>
      <c r="D972" t="s">
        <v>53</v>
      </c>
      <c r="E972" t="s">
        <v>24</v>
      </c>
      <c r="F972" t="s">
        <v>25</v>
      </c>
      <c r="G972" t="s">
        <v>63</v>
      </c>
      <c r="H972">
        <v>84.63</v>
      </c>
      <c r="I972">
        <v>20</v>
      </c>
      <c r="J972">
        <v>84.63</v>
      </c>
      <c r="K972">
        <v>1692.6</v>
      </c>
      <c r="L972" s="1">
        <v>43534</v>
      </c>
      <c r="M972" s="2">
        <v>0.48333333333333334</v>
      </c>
      <c r="N972" t="s">
        <v>37</v>
      </c>
      <c r="O972">
        <v>846.3</v>
      </c>
      <c r="P972">
        <v>4.7619047620000003</v>
      </c>
      <c r="Q972">
        <v>846.3</v>
      </c>
      <c r="R972">
        <v>10</v>
      </c>
      <c r="S972">
        <v>96.089100000000002</v>
      </c>
      <c r="T972">
        <v>21.9588</v>
      </c>
    </row>
    <row r="973" spans="1:20" x14ac:dyDescent="0.3">
      <c r="A973" t="s">
        <v>1475</v>
      </c>
      <c r="B973" t="s">
        <v>51</v>
      </c>
      <c r="C973" t="s">
        <v>385</v>
      </c>
      <c r="D973" t="s">
        <v>53</v>
      </c>
      <c r="E973" t="s">
        <v>24</v>
      </c>
      <c r="F973" t="s">
        <v>36</v>
      </c>
      <c r="G973" t="s">
        <v>77</v>
      </c>
      <c r="H973">
        <v>36.909999999999997</v>
      </c>
      <c r="I973">
        <v>14</v>
      </c>
      <c r="J973">
        <v>25.837</v>
      </c>
      <c r="K973">
        <v>516.74</v>
      </c>
      <c r="L973" s="1">
        <v>43655</v>
      </c>
      <c r="M973" s="2">
        <v>0.57708333333333328</v>
      </c>
      <c r="N973" t="s">
        <v>27</v>
      </c>
      <c r="O973">
        <v>258.37</v>
      </c>
      <c r="P973">
        <v>4.7619047620000003</v>
      </c>
      <c r="Q973">
        <v>258.37</v>
      </c>
      <c r="R973">
        <v>8.0399999999999991</v>
      </c>
      <c r="S973">
        <v>96.089100000000002</v>
      </c>
      <c r="T973">
        <v>21.9588</v>
      </c>
    </row>
    <row r="974" spans="1:20" x14ac:dyDescent="0.3">
      <c r="A974" t="s">
        <v>1476</v>
      </c>
      <c r="B974" t="s">
        <v>51</v>
      </c>
      <c r="C974" t="s">
        <v>1176</v>
      </c>
      <c r="D974" t="s">
        <v>53</v>
      </c>
      <c r="E974" t="s">
        <v>32</v>
      </c>
      <c r="F974" t="s">
        <v>36</v>
      </c>
      <c r="G974" t="s">
        <v>60</v>
      </c>
      <c r="H974">
        <v>87.08</v>
      </c>
      <c r="I974">
        <v>10</v>
      </c>
      <c r="J974">
        <v>43.54</v>
      </c>
      <c r="K974">
        <v>870.8</v>
      </c>
      <c r="L974" s="1">
        <v>43574</v>
      </c>
      <c r="M974" s="2">
        <v>0.63680555555555551</v>
      </c>
      <c r="N974" t="s">
        <v>33</v>
      </c>
      <c r="O974">
        <v>609.55999999999995</v>
      </c>
      <c r="P974">
        <v>4.7619047620000003</v>
      </c>
      <c r="Q974">
        <v>261.24</v>
      </c>
      <c r="R974">
        <v>6.6</v>
      </c>
      <c r="S974">
        <v>96.089100000000002</v>
      </c>
      <c r="T974">
        <v>21.9588</v>
      </c>
    </row>
    <row r="975" spans="1:20" x14ac:dyDescent="0.3">
      <c r="A975" t="s">
        <v>1477</v>
      </c>
      <c r="B975" t="s">
        <v>21</v>
      </c>
      <c r="C975" t="s">
        <v>1478</v>
      </c>
      <c r="D975" t="s">
        <v>23</v>
      </c>
      <c r="E975" t="s">
        <v>32</v>
      </c>
      <c r="F975" t="s">
        <v>36</v>
      </c>
      <c r="G975" t="s">
        <v>68</v>
      </c>
      <c r="H975">
        <v>80.08</v>
      </c>
      <c r="I975">
        <v>3</v>
      </c>
      <c r="J975">
        <v>12.012</v>
      </c>
      <c r="K975">
        <v>240.24</v>
      </c>
      <c r="L975" s="1">
        <v>43556</v>
      </c>
      <c r="M975" s="2">
        <v>0.64513888888888893</v>
      </c>
      <c r="N975" t="s">
        <v>33</v>
      </c>
      <c r="O975">
        <v>240.24</v>
      </c>
      <c r="P975">
        <v>4.7619047620000003</v>
      </c>
      <c r="Q975">
        <v>0</v>
      </c>
      <c r="R975">
        <v>5.4</v>
      </c>
      <c r="S975">
        <v>96.173500000000004</v>
      </c>
      <c r="T975">
        <v>16.840900000000001</v>
      </c>
    </row>
    <row r="976" spans="1:20" x14ac:dyDescent="0.3">
      <c r="A976" t="s">
        <v>1479</v>
      </c>
      <c r="B976" t="s">
        <v>29</v>
      </c>
      <c r="C976" t="s">
        <v>1480</v>
      </c>
      <c r="D976" t="s">
        <v>31</v>
      </c>
      <c r="E976" t="s">
        <v>32</v>
      </c>
      <c r="F976" t="s">
        <v>36</v>
      </c>
      <c r="G976" t="s">
        <v>68</v>
      </c>
      <c r="H976">
        <v>86.13</v>
      </c>
      <c r="I976">
        <v>2</v>
      </c>
      <c r="J976">
        <v>8.6129999999999995</v>
      </c>
      <c r="K976">
        <v>172.26</v>
      </c>
      <c r="L976" s="1">
        <v>43670</v>
      </c>
      <c r="M976" s="2">
        <v>0.74930555555555556</v>
      </c>
      <c r="N976" t="s">
        <v>33</v>
      </c>
      <c r="O976">
        <v>172.26</v>
      </c>
      <c r="P976">
        <v>4.7619047620000003</v>
      </c>
      <c r="Q976">
        <v>0</v>
      </c>
      <c r="R976">
        <v>8.61</v>
      </c>
      <c r="S976">
        <v>96.078500000000005</v>
      </c>
      <c r="T976">
        <v>19.763300000000001</v>
      </c>
    </row>
    <row r="977" spans="1:20" x14ac:dyDescent="0.3">
      <c r="A977" t="s">
        <v>1481</v>
      </c>
      <c r="B977" t="s">
        <v>51</v>
      </c>
      <c r="C977" t="s">
        <v>633</v>
      </c>
      <c r="D977" t="s">
        <v>53</v>
      </c>
      <c r="E977" t="s">
        <v>24</v>
      </c>
      <c r="F977" t="s">
        <v>36</v>
      </c>
      <c r="G977" t="s">
        <v>68</v>
      </c>
      <c r="H977">
        <v>49.92</v>
      </c>
      <c r="I977">
        <v>4</v>
      </c>
      <c r="J977">
        <v>9.984</v>
      </c>
      <c r="K977">
        <v>199.68</v>
      </c>
      <c r="L977" s="1">
        <v>43557</v>
      </c>
      <c r="M977" s="2">
        <v>0.49652777777777779</v>
      </c>
      <c r="N977" t="s">
        <v>37</v>
      </c>
      <c r="O977">
        <v>99.84</v>
      </c>
      <c r="P977">
        <v>4.7619047620000003</v>
      </c>
      <c r="Q977">
        <v>99.84</v>
      </c>
      <c r="R977">
        <v>8.4</v>
      </c>
      <c r="S977">
        <v>96.089100000000002</v>
      </c>
      <c r="T977">
        <v>21.9588</v>
      </c>
    </row>
    <row r="978" spans="1:20" x14ac:dyDescent="0.3">
      <c r="A978" t="s">
        <v>1482</v>
      </c>
      <c r="B978" t="s">
        <v>21</v>
      </c>
      <c r="C978" t="s">
        <v>1483</v>
      </c>
      <c r="D978" t="s">
        <v>23</v>
      </c>
      <c r="E978" t="s">
        <v>32</v>
      </c>
      <c r="F978" t="s">
        <v>25</v>
      </c>
      <c r="G978" t="s">
        <v>68</v>
      </c>
      <c r="H978">
        <v>74.66</v>
      </c>
      <c r="I978">
        <v>4</v>
      </c>
      <c r="J978">
        <v>14.932</v>
      </c>
      <c r="K978">
        <v>298.64</v>
      </c>
      <c r="L978" s="1">
        <v>43761</v>
      </c>
      <c r="M978" s="2">
        <v>0.44374999999999998</v>
      </c>
      <c r="N978" t="s">
        <v>33</v>
      </c>
      <c r="O978">
        <v>298.64</v>
      </c>
      <c r="P978">
        <v>4.7619047620000003</v>
      </c>
      <c r="Q978">
        <v>0</v>
      </c>
      <c r="R978">
        <v>8.5</v>
      </c>
      <c r="S978">
        <v>96.173500000000004</v>
      </c>
      <c r="T978">
        <v>16.840900000000001</v>
      </c>
    </row>
    <row r="979" spans="1:20" x14ac:dyDescent="0.3">
      <c r="A979" t="s">
        <v>1484</v>
      </c>
      <c r="B979" t="s">
        <v>51</v>
      </c>
      <c r="C979" t="s">
        <v>250</v>
      </c>
      <c r="D979" t="s">
        <v>53</v>
      </c>
      <c r="E979" t="s">
        <v>24</v>
      </c>
      <c r="F979" t="s">
        <v>36</v>
      </c>
      <c r="G979" t="s">
        <v>68</v>
      </c>
      <c r="H979">
        <v>26.6</v>
      </c>
      <c r="I979">
        <v>11</v>
      </c>
      <c r="J979">
        <v>14.63</v>
      </c>
      <c r="K979">
        <v>292.60000000000002</v>
      </c>
      <c r="L979" s="1">
        <v>43780</v>
      </c>
      <c r="M979" s="2">
        <v>0.63194444444444442</v>
      </c>
      <c r="N979" t="s">
        <v>27</v>
      </c>
      <c r="O979">
        <v>159.6</v>
      </c>
      <c r="P979">
        <v>4.7619047620000003</v>
      </c>
      <c r="Q979">
        <v>133</v>
      </c>
      <c r="R979">
        <v>5.88</v>
      </c>
      <c r="S979">
        <v>96.089100000000002</v>
      </c>
      <c r="T979">
        <v>21.9588</v>
      </c>
    </row>
    <row r="980" spans="1:20" x14ac:dyDescent="0.3">
      <c r="A980" t="s">
        <v>1485</v>
      </c>
      <c r="B980" t="s">
        <v>51</v>
      </c>
      <c r="C980" t="s">
        <v>385</v>
      </c>
      <c r="D980" t="s">
        <v>53</v>
      </c>
      <c r="E980" t="s">
        <v>32</v>
      </c>
      <c r="F980" t="s">
        <v>25</v>
      </c>
      <c r="G980" t="s">
        <v>68</v>
      </c>
      <c r="H980">
        <v>25.45</v>
      </c>
      <c r="I980">
        <v>1</v>
      </c>
      <c r="J980">
        <v>1.2725</v>
      </c>
      <c r="K980">
        <v>25.45</v>
      </c>
      <c r="L980" s="1">
        <v>43675</v>
      </c>
      <c r="M980" s="2">
        <v>0.75694444444444442</v>
      </c>
      <c r="N980" t="s">
        <v>37</v>
      </c>
      <c r="O980">
        <v>25.45</v>
      </c>
      <c r="P980">
        <v>4.7619047620000003</v>
      </c>
      <c r="Q980">
        <v>0</v>
      </c>
      <c r="R980">
        <v>6.12</v>
      </c>
      <c r="S980">
        <v>96.089100000000002</v>
      </c>
      <c r="T980">
        <v>21.9588</v>
      </c>
    </row>
    <row r="981" spans="1:20" x14ac:dyDescent="0.3">
      <c r="A981" t="s">
        <v>1486</v>
      </c>
      <c r="B981" t="s">
        <v>51</v>
      </c>
      <c r="C981" t="s">
        <v>859</v>
      </c>
      <c r="D981" t="s">
        <v>53</v>
      </c>
      <c r="E981" t="s">
        <v>32</v>
      </c>
      <c r="F981" t="s">
        <v>25</v>
      </c>
      <c r="G981" t="s">
        <v>68</v>
      </c>
      <c r="H981">
        <v>67.77</v>
      </c>
      <c r="I981">
        <v>1</v>
      </c>
      <c r="J981">
        <v>3.3885000000000001</v>
      </c>
      <c r="K981">
        <v>67.77</v>
      </c>
      <c r="L981" s="1">
        <v>43801</v>
      </c>
      <c r="M981" s="2">
        <v>0.86319444444444449</v>
      </c>
      <c r="N981" t="s">
        <v>37</v>
      </c>
      <c r="O981">
        <v>67.77</v>
      </c>
      <c r="P981">
        <v>4.7619047620000003</v>
      </c>
      <c r="Q981">
        <v>0</v>
      </c>
      <c r="R981">
        <v>7.8</v>
      </c>
      <c r="S981">
        <v>96.089100000000002</v>
      </c>
      <c r="T981">
        <v>21.9588</v>
      </c>
    </row>
    <row r="982" spans="1:20" x14ac:dyDescent="0.3">
      <c r="A982" t="s">
        <v>1487</v>
      </c>
      <c r="B982" t="s">
        <v>29</v>
      </c>
      <c r="C982" t="s">
        <v>143</v>
      </c>
      <c r="D982" t="s">
        <v>31</v>
      </c>
      <c r="E982" t="s">
        <v>24</v>
      </c>
      <c r="F982" t="s">
        <v>36</v>
      </c>
      <c r="G982" t="s">
        <v>68</v>
      </c>
      <c r="H982">
        <v>59.59</v>
      </c>
      <c r="I982">
        <v>7</v>
      </c>
      <c r="J982">
        <v>20.8565</v>
      </c>
      <c r="K982">
        <v>417.13</v>
      </c>
      <c r="L982" s="1">
        <v>43595</v>
      </c>
      <c r="M982" s="2">
        <v>0.53194444444444444</v>
      </c>
      <c r="N982" t="s">
        <v>33</v>
      </c>
      <c r="O982">
        <v>238.36</v>
      </c>
      <c r="P982">
        <v>4.7619047620000003</v>
      </c>
      <c r="Q982">
        <v>178.77</v>
      </c>
      <c r="R982">
        <v>10</v>
      </c>
      <c r="S982">
        <v>96.078500000000005</v>
      </c>
      <c r="T982">
        <v>19.763300000000001</v>
      </c>
    </row>
    <row r="983" spans="1:20" x14ac:dyDescent="0.3">
      <c r="A983" t="s">
        <v>1488</v>
      </c>
      <c r="B983" t="s">
        <v>21</v>
      </c>
      <c r="C983" t="s">
        <v>1294</v>
      </c>
      <c r="D983" t="s">
        <v>23</v>
      </c>
      <c r="E983" t="s">
        <v>32</v>
      </c>
      <c r="F983" t="s">
        <v>36</v>
      </c>
      <c r="G983" t="s">
        <v>68</v>
      </c>
      <c r="H983">
        <v>58.15</v>
      </c>
      <c r="I983">
        <v>4</v>
      </c>
      <c r="J983">
        <v>11.63</v>
      </c>
      <c r="K983">
        <v>232.6</v>
      </c>
      <c r="L983" s="1">
        <v>43563</v>
      </c>
      <c r="M983" s="2">
        <v>0.73888888888888893</v>
      </c>
      <c r="N983" t="s">
        <v>33</v>
      </c>
      <c r="O983">
        <v>232.6</v>
      </c>
      <c r="P983">
        <v>4.7619047620000003</v>
      </c>
      <c r="Q983">
        <v>0</v>
      </c>
      <c r="R983">
        <v>8.4</v>
      </c>
      <c r="S983">
        <v>96.173500000000004</v>
      </c>
      <c r="T983">
        <v>16.840900000000001</v>
      </c>
    </row>
    <row r="984" spans="1:20" x14ac:dyDescent="0.3">
      <c r="A984" t="s">
        <v>1489</v>
      </c>
      <c r="B984" t="s">
        <v>21</v>
      </c>
      <c r="C984" t="s">
        <v>1490</v>
      </c>
      <c r="D984" t="s">
        <v>23</v>
      </c>
      <c r="E984" t="s">
        <v>24</v>
      </c>
      <c r="F984" t="s">
        <v>25</v>
      </c>
      <c r="G984" t="s">
        <v>68</v>
      </c>
      <c r="H984">
        <v>97.48</v>
      </c>
      <c r="I984">
        <v>13</v>
      </c>
      <c r="J984">
        <v>63.362000000000002</v>
      </c>
      <c r="K984">
        <v>1267.24</v>
      </c>
      <c r="L984" s="1">
        <v>43571</v>
      </c>
      <c r="M984" s="2">
        <v>0.59652777777777777</v>
      </c>
      <c r="N984" t="s">
        <v>27</v>
      </c>
      <c r="O984">
        <v>877.32</v>
      </c>
      <c r="P984">
        <v>4.7619047620000003</v>
      </c>
      <c r="Q984">
        <v>389.92</v>
      </c>
      <c r="R984">
        <v>7.4</v>
      </c>
      <c r="S984">
        <v>96.173500000000004</v>
      </c>
      <c r="T984">
        <v>16.840900000000001</v>
      </c>
    </row>
    <row r="985" spans="1:20" x14ac:dyDescent="0.3">
      <c r="A985" t="s">
        <v>1491</v>
      </c>
      <c r="B985" t="s">
        <v>29</v>
      </c>
      <c r="C985" t="s">
        <v>1242</v>
      </c>
      <c r="D985" t="s">
        <v>31</v>
      </c>
      <c r="E985" t="s">
        <v>32</v>
      </c>
      <c r="F985" t="s">
        <v>36</v>
      </c>
      <c r="G985" t="s">
        <v>26</v>
      </c>
      <c r="H985">
        <v>99.96</v>
      </c>
      <c r="I985">
        <v>8</v>
      </c>
      <c r="J985">
        <v>39.984000000000002</v>
      </c>
      <c r="K985">
        <v>799.68</v>
      </c>
      <c r="L985" s="1">
        <v>43758</v>
      </c>
      <c r="M985" s="2">
        <v>0.43958333333333333</v>
      </c>
      <c r="N985" t="s">
        <v>33</v>
      </c>
      <c r="O985">
        <v>699.72</v>
      </c>
      <c r="P985">
        <v>4.7619047620000003</v>
      </c>
      <c r="Q985">
        <v>99.96</v>
      </c>
      <c r="R985">
        <v>6.4050000000000002</v>
      </c>
      <c r="S985">
        <v>96.078500000000005</v>
      </c>
      <c r="T985">
        <v>19.763300000000001</v>
      </c>
    </row>
    <row r="986" spans="1:20" x14ac:dyDescent="0.3">
      <c r="A986" t="s">
        <v>1492</v>
      </c>
      <c r="B986" t="s">
        <v>29</v>
      </c>
      <c r="C986" t="s">
        <v>1493</v>
      </c>
      <c r="D986" t="s">
        <v>31</v>
      </c>
      <c r="E986" t="s">
        <v>32</v>
      </c>
      <c r="F986" t="s">
        <v>36</v>
      </c>
      <c r="G986" t="s">
        <v>60</v>
      </c>
      <c r="H986">
        <v>96.37</v>
      </c>
      <c r="I986">
        <v>8</v>
      </c>
      <c r="J986">
        <v>38.548000000000002</v>
      </c>
      <c r="K986">
        <v>770.96</v>
      </c>
      <c r="L986" s="1">
        <v>43644</v>
      </c>
      <c r="M986" s="2">
        <v>0.4861111111111111</v>
      </c>
      <c r="N986" t="s">
        <v>33</v>
      </c>
      <c r="O986">
        <v>674.59</v>
      </c>
      <c r="P986">
        <v>4.7619047620000003</v>
      </c>
      <c r="Q986">
        <v>96.37</v>
      </c>
      <c r="R986">
        <v>6.3</v>
      </c>
      <c r="S986">
        <v>96.078500000000005</v>
      </c>
      <c r="T986">
        <v>19.763300000000001</v>
      </c>
    </row>
    <row r="987" spans="1:20" x14ac:dyDescent="0.3">
      <c r="A987" t="s">
        <v>1494</v>
      </c>
      <c r="B987" t="s">
        <v>51</v>
      </c>
      <c r="C987" t="s">
        <v>104</v>
      </c>
      <c r="D987" t="s">
        <v>53</v>
      </c>
      <c r="E987" t="s">
        <v>32</v>
      </c>
      <c r="F987" t="s">
        <v>25</v>
      </c>
      <c r="G987" t="s">
        <v>100</v>
      </c>
      <c r="H987">
        <v>63.71</v>
      </c>
      <c r="I987">
        <v>7</v>
      </c>
      <c r="J987">
        <v>22.298500000000001</v>
      </c>
      <c r="K987">
        <v>445.97</v>
      </c>
      <c r="L987" s="1">
        <v>43693</v>
      </c>
      <c r="M987" s="2">
        <v>0.8125</v>
      </c>
      <c r="N987" t="s">
        <v>27</v>
      </c>
      <c r="O987">
        <v>318.55</v>
      </c>
      <c r="P987">
        <v>4.7619047620000003</v>
      </c>
      <c r="Q987">
        <v>127.42</v>
      </c>
      <c r="R987">
        <v>10</v>
      </c>
      <c r="S987">
        <v>96.089100000000002</v>
      </c>
      <c r="T987">
        <v>21.9588</v>
      </c>
    </row>
    <row r="988" spans="1:20" x14ac:dyDescent="0.3">
      <c r="A988" t="s">
        <v>1495</v>
      </c>
      <c r="B988" t="s">
        <v>51</v>
      </c>
      <c r="C988" t="s">
        <v>1423</v>
      </c>
      <c r="D988" t="s">
        <v>53</v>
      </c>
      <c r="E988" t="s">
        <v>32</v>
      </c>
      <c r="F988" t="s">
        <v>25</v>
      </c>
      <c r="G988" t="s">
        <v>26</v>
      </c>
      <c r="H988">
        <v>14.76</v>
      </c>
      <c r="I988">
        <v>3</v>
      </c>
      <c r="J988">
        <v>2.214</v>
      </c>
      <c r="K988">
        <v>44.28</v>
      </c>
      <c r="L988" s="1">
        <v>43796</v>
      </c>
      <c r="M988" s="2">
        <v>0.61250000000000004</v>
      </c>
      <c r="N988" t="s">
        <v>27</v>
      </c>
      <c r="O988">
        <v>29.52</v>
      </c>
      <c r="P988">
        <v>4.7619047620000003</v>
      </c>
      <c r="Q988">
        <v>14.76</v>
      </c>
      <c r="R988">
        <v>5.16</v>
      </c>
      <c r="S988">
        <v>96.089100000000002</v>
      </c>
      <c r="T988">
        <v>21.9588</v>
      </c>
    </row>
    <row r="989" spans="1:20" x14ac:dyDescent="0.3">
      <c r="A989" t="s">
        <v>1496</v>
      </c>
      <c r="B989" t="s">
        <v>51</v>
      </c>
      <c r="C989" t="s">
        <v>948</v>
      </c>
      <c r="D989" t="s">
        <v>53</v>
      </c>
      <c r="E989" t="s">
        <v>24</v>
      </c>
      <c r="F989" t="s">
        <v>36</v>
      </c>
      <c r="G989" t="s">
        <v>26</v>
      </c>
      <c r="H989">
        <v>62</v>
      </c>
      <c r="I989">
        <v>15</v>
      </c>
      <c r="J989">
        <v>46.5</v>
      </c>
      <c r="K989">
        <v>930</v>
      </c>
      <c r="L989" s="1">
        <v>43651</v>
      </c>
      <c r="M989" s="2">
        <v>0.79722222222222228</v>
      </c>
      <c r="N989" t="s">
        <v>37</v>
      </c>
      <c r="O989">
        <v>496</v>
      </c>
      <c r="P989">
        <v>4.7619047620000003</v>
      </c>
      <c r="Q989">
        <v>434</v>
      </c>
      <c r="R989">
        <v>7.44</v>
      </c>
      <c r="S989">
        <v>96.089100000000002</v>
      </c>
      <c r="T989">
        <v>21.9588</v>
      </c>
    </row>
    <row r="990" spans="1:20" x14ac:dyDescent="0.3">
      <c r="A990" t="s">
        <v>1497</v>
      </c>
      <c r="B990" t="s">
        <v>29</v>
      </c>
      <c r="C990" t="s">
        <v>147</v>
      </c>
      <c r="D990" t="s">
        <v>31</v>
      </c>
      <c r="E990" t="s">
        <v>24</v>
      </c>
      <c r="F990" t="s">
        <v>36</v>
      </c>
      <c r="G990" t="s">
        <v>100</v>
      </c>
      <c r="H990">
        <v>82.34</v>
      </c>
      <c r="I990">
        <v>17</v>
      </c>
      <c r="J990">
        <v>69.989000000000004</v>
      </c>
      <c r="K990">
        <v>1399.78</v>
      </c>
      <c r="L990" s="1">
        <v>43497</v>
      </c>
      <c r="M990" s="2">
        <v>0.8</v>
      </c>
      <c r="N990" t="s">
        <v>27</v>
      </c>
      <c r="O990">
        <v>823.4</v>
      </c>
      <c r="P990">
        <v>4.7619047620000003</v>
      </c>
      <c r="Q990">
        <v>576.38</v>
      </c>
      <c r="R990">
        <v>4.5149999999999997</v>
      </c>
      <c r="S990">
        <v>96.078500000000005</v>
      </c>
      <c r="T990">
        <v>19.763300000000001</v>
      </c>
    </row>
    <row r="991" spans="1:20" x14ac:dyDescent="0.3">
      <c r="A991" t="s">
        <v>1498</v>
      </c>
      <c r="B991" t="s">
        <v>51</v>
      </c>
      <c r="C991" t="s">
        <v>1219</v>
      </c>
      <c r="D991" t="s">
        <v>53</v>
      </c>
      <c r="E991" t="s">
        <v>24</v>
      </c>
      <c r="F991" t="s">
        <v>36</v>
      </c>
      <c r="G991" t="s">
        <v>100</v>
      </c>
      <c r="H991">
        <v>75.37</v>
      </c>
      <c r="I991">
        <v>15</v>
      </c>
      <c r="J991">
        <v>56.527500000000003</v>
      </c>
      <c r="K991">
        <v>1130.55</v>
      </c>
      <c r="L991" s="1">
        <v>43820</v>
      </c>
      <c r="M991" s="2">
        <v>0.65694444444444444</v>
      </c>
      <c r="N991" t="s">
        <v>37</v>
      </c>
      <c r="O991">
        <v>602.96</v>
      </c>
      <c r="P991">
        <v>4.7619047620000003</v>
      </c>
      <c r="Q991">
        <v>527.59</v>
      </c>
      <c r="R991">
        <v>10</v>
      </c>
      <c r="S991">
        <v>96.089100000000002</v>
      </c>
      <c r="T991">
        <v>21.9588</v>
      </c>
    </row>
    <row r="992" spans="1:20" x14ac:dyDescent="0.3">
      <c r="A992" t="s">
        <v>1499</v>
      </c>
      <c r="B992" t="s">
        <v>21</v>
      </c>
      <c r="C992" t="s">
        <v>87</v>
      </c>
      <c r="D992" t="s">
        <v>23</v>
      </c>
      <c r="E992" t="s">
        <v>32</v>
      </c>
      <c r="F992" t="s">
        <v>25</v>
      </c>
      <c r="G992" t="s">
        <v>100</v>
      </c>
      <c r="H992">
        <v>56.56</v>
      </c>
      <c r="I992">
        <v>5</v>
      </c>
      <c r="J992">
        <v>14.14</v>
      </c>
      <c r="K992">
        <v>282.8</v>
      </c>
      <c r="L992" s="1">
        <v>43692</v>
      </c>
      <c r="M992" s="2">
        <v>0.79583333333333328</v>
      </c>
      <c r="N992" t="s">
        <v>37</v>
      </c>
      <c r="O992">
        <v>282.8</v>
      </c>
      <c r="P992">
        <v>4.7619047620000003</v>
      </c>
      <c r="Q992">
        <v>0</v>
      </c>
      <c r="R992">
        <v>4.5</v>
      </c>
      <c r="S992">
        <v>96.173500000000004</v>
      </c>
      <c r="T992">
        <v>16.840900000000001</v>
      </c>
    </row>
    <row r="993" spans="1:20" x14ac:dyDescent="0.3">
      <c r="A993" t="s">
        <v>1500</v>
      </c>
      <c r="B993" t="s">
        <v>51</v>
      </c>
      <c r="C993" t="s">
        <v>1258</v>
      </c>
      <c r="D993" t="s">
        <v>53</v>
      </c>
      <c r="E993" t="s">
        <v>32</v>
      </c>
      <c r="F993" t="s">
        <v>25</v>
      </c>
      <c r="G993" t="s">
        <v>100</v>
      </c>
      <c r="H993">
        <v>76.599999999999994</v>
      </c>
      <c r="I993">
        <v>14</v>
      </c>
      <c r="J993">
        <v>53.62</v>
      </c>
      <c r="K993">
        <v>1072.4000000000001</v>
      </c>
      <c r="L993" s="1">
        <v>43766</v>
      </c>
      <c r="M993" s="2">
        <v>0.75694444444444442</v>
      </c>
      <c r="N993" t="s">
        <v>27</v>
      </c>
      <c r="O993">
        <v>766</v>
      </c>
      <c r="P993">
        <v>4.7619047620000003</v>
      </c>
      <c r="Q993">
        <v>306.39999999999998</v>
      </c>
      <c r="R993">
        <v>7.2</v>
      </c>
      <c r="S993">
        <v>96.089100000000002</v>
      </c>
      <c r="T993">
        <v>21.9588</v>
      </c>
    </row>
    <row r="994" spans="1:20" x14ac:dyDescent="0.3">
      <c r="A994" t="s">
        <v>1501</v>
      </c>
      <c r="B994" t="s">
        <v>21</v>
      </c>
      <c r="C994" t="s">
        <v>736</v>
      </c>
      <c r="D994" t="s">
        <v>23</v>
      </c>
      <c r="E994" t="s">
        <v>32</v>
      </c>
      <c r="F994" t="s">
        <v>36</v>
      </c>
      <c r="G994" t="s">
        <v>100</v>
      </c>
      <c r="H994">
        <v>58.03</v>
      </c>
      <c r="I994">
        <v>2</v>
      </c>
      <c r="J994">
        <v>5.8029999999999999</v>
      </c>
      <c r="K994">
        <v>116.06</v>
      </c>
      <c r="L994" s="1">
        <v>43512</v>
      </c>
      <c r="M994" s="2">
        <v>0.86527777777777781</v>
      </c>
      <c r="N994" t="s">
        <v>27</v>
      </c>
      <c r="O994">
        <v>116.06</v>
      </c>
      <c r="P994">
        <v>4.7619047620000003</v>
      </c>
      <c r="Q994">
        <v>0</v>
      </c>
      <c r="R994">
        <v>8.8000000000000007</v>
      </c>
      <c r="S994">
        <v>96.173500000000004</v>
      </c>
      <c r="T994">
        <v>16.840900000000001</v>
      </c>
    </row>
    <row r="995" spans="1:20" x14ac:dyDescent="0.3">
      <c r="A995" t="s">
        <v>1502</v>
      </c>
      <c r="B995" t="s">
        <v>51</v>
      </c>
      <c r="C995" t="s">
        <v>803</v>
      </c>
      <c r="D995" t="s">
        <v>53</v>
      </c>
      <c r="E995" t="s">
        <v>32</v>
      </c>
      <c r="F995" t="s">
        <v>36</v>
      </c>
      <c r="G995" t="s">
        <v>100</v>
      </c>
      <c r="H995">
        <v>17.489999999999998</v>
      </c>
      <c r="I995">
        <v>14</v>
      </c>
      <c r="J995">
        <v>12.243</v>
      </c>
      <c r="K995">
        <v>244.86</v>
      </c>
      <c r="L995" s="1">
        <v>43494</v>
      </c>
      <c r="M995" s="2">
        <v>0.77430555555555558</v>
      </c>
      <c r="N995" t="s">
        <v>27</v>
      </c>
      <c r="O995">
        <v>174.9</v>
      </c>
      <c r="P995">
        <v>4.7619047620000003</v>
      </c>
      <c r="Q995">
        <v>69.959999999999994</v>
      </c>
      <c r="R995">
        <v>7.92</v>
      </c>
      <c r="S995">
        <v>96.089100000000002</v>
      </c>
      <c r="T995">
        <v>21.9588</v>
      </c>
    </row>
    <row r="996" spans="1:20" x14ac:dyDescent="0.3">
      <c r="A996" t="s">
        <v>1503</v>
      </c>
      <c r="B996" t="s">
        <v>29</v>
      </c>
      <c r="C996" t="s">
        <v>670</v>
      </c>
      <c r="D996" t="s">
        <v>31</v>
      </c>
      <c r="E996" t="s">
        <v>24</v>
      </c>
      <c r="F996" t="s">
        <v>25</v>
      </c>
      <c r="G996" t="s">
        <v>100</v>
      </c>
      <c r="H996">
        <v>60.95</v>
      </c>
      <c r="I996">
        <v>1</v>
      </c>
      <c r="J996">
        <v>3.0474999999999999</v>
      </c>
      <c r="K996">
        <v>60.95</v>
      </c>
      <c r="L996" s="1">
        <v>43724</v>
      </c>
      <c r="M996" s="2">
        <v>0.4861111111111111</v>
      </c>
      <c r="N996" t="s">
        <v>27</v>
      </c>
      <c r="O996">
        <v>60.95</v>
      </c>
      <c r="P996">
        <v>4.7619047620000003</v>
      </c>
      <c r="Q996">
        <v>0</v>
      </c>
      <c r="R996">
        <v>6.1950000000000003</v>
      </c>
      <c r="S996">
        <v>96.078500000000005</v>
      </c>
      <c r="T996">
        <v>19.763300000000001</v>
      </c>
    </row>
    <row r="997" spans="1:20" x14ac:dyDescent="0.3">
      <c r="A997" t="s">
        <v>1504</v>
      </c>
      <c r="B997" t="s">
        <v>29</v>
      </c>
      <c r="C997" t="s">
        <v>1285</v>
      </c>
      <c r="D997" t="s">
        <v>31</v>
      </c>
      <c r="E997" t="s">
        <v>32</v>
      </c>
      <c r="F997" t="s">
        <v>36</v>
      </c>
      <c r="G997" t="s">
        <v>100</v>
      </c>
      <c r="H997">
        <v>40.35</v>
      </c>
      <c r="I997">
        <v>1</v>
      </c>
      <c r="J997">
        <v>2.0175000000000001</v>
      </c>
      <c r="K997">
        <v>40.35</v>
      </c>
      <c r="L997" s="1">
        <v>43740</v>
      </c>
      <c r="M997" s="2">
        <v>0.57361111111111107</v>
      </c>
      <c r="N997" t="s">
        <v>27</v>
      </c>
      <c r="O997">
        <v>40.35</v>
      </c>
      <c r="P997">
        <v>4.7619047620000003</v>
      </c>
      <c r="Q997">
        <v>0</v>
      </c>
      <c r="R997">
        <v>6.51</v>
      </c>
      <c r="S997">
        <v>96.078500000000005</v>
      </c>
      <c r="T997">
        <v>19.763300000000001</v>
      </c>
    </row>
    <row r="998" spans="1:20" x14ac:dyDescent="0.3">
      <c r="A998" t="s">
        <v>1505</v>
      </c>
      <c r="B998" t="s">
        <v>51</v>
      </c>
      <c r="C998" t="s">
        <v>665</v>
      </c>
      <c r="D998" t="s">
        <v>53</v>
      </c>
      <c r="E998" t="s">
        <v>32</v>
      </c>
      <c r="F998" t="s">
        <v>25</v>
      </c>
      <c r="G998" t="s">
        <v>100</v>
      </c>
      <c r="H998">
        <v>97.38</v>
      </c>
      <c r="I998">
        <v>14</v>
      </c>
      <c r="J998">
        <v>68.165999999999997</v>
      </c>
      <c r="K998">
        <v>1363.32</v>
      </c>
      <c r="L998" s="1">
        <v>43828</v>
      </c>
      <c r="M998" s="2">
        <v>0.71944444444444444</v>
      </c>
      <c r="N998" t="s">
        <v>27</v>
      </c>
      <c r="O998">
        <v>973.8</v>
      </c>
      <c r="P998">
        <v>4.7619047620000003</v>
      </c>
      <c r="Q998">
        <v>389.52</v>
      </c>
      <c r="R998">
        <v>5.28</v>
      </c>
      <c r="S998">
        <v>96.089100000000002</v>
      </c>
      <c r="T998">
        <v>21.9588</v>
      </c>
    </row>
    <row r="999" spans="1:20" x14ac:dyDescent="0.3">
      <c r="A999" t="s">
        <v>1506</v>
      </c>
      <c r="B999" t="s">
        <v>21</v>
      </c>
      <c r="C999" t="s">
        <v>1507</v>
      </c>
      <c r="D999" t="s">
        <v>23</v>
      </c>
      <c r="E999" t="s">
        <v>24</v>
      </c>
      <c r="F999" t="s">
        <v>36</v>
      </c>
      <c r="G999" t="s">
        <v>100</v>
      </c>
      <c r="H999">
        <v>31.84</v>
      </c>
      <c r="I999">
        <v>1</v>
      </c>
      <c r="J999">
        <v>1.5920000000000001</v>
      </c>
      <c r="K999">
        <v>31.84</v>
      </c>
      <c r="L999" s="1">
        <v>43481</v>
      </c>
      <c r="M999" s="2">
        <v>0.55694444444444446</v>
      </c>
      <c r="N999" t="s">
        <v>33</v>
      </c>
      <c r="O999">
        <v>31.84</v>
      </c>
      <c r="P999">
        <v>4.7619047620000003</v>
      </c>
      <c r="Q999">
        <v>0</v>
      </c>
      <c r="R999">
        <v>7.7</v>
      </c>
      <c r="S999">
        <v>96.173500000000004</v>
      </c>
      <c r="T999">
        <v>16.840900000000001</v>
      </c>
    </row>
    <row r="1000" spans="1:20" x14ac:dyDescent="0.3">
      <c r="A1000" t="s">
        <v>1508</v>
      </c>
      <c r="B1000" t="s">
        <v>21</v>
      </c>
      <c r="C1000" t="s">
        <v>714</v>
      </c>
      <c r="D1000" t="s">
        <v>23</v>
      </c>
      <c r="E1000" t="s">
        <v>32</v>
      </c>
      <c r="F1000" t="s">
        <v>36</v>
      </c>
      <c r="G1000" t="s">
        <v>100</v>
      </c>
      <c r="H1000">
        <v>65.819999999999993</v>
      </c>
      <c r="I1000">
        <v>1</v>
      </c>
      <c r="J1000">
        <v>3.2909999999999999</v>
      </c>
      <c r="K1000">
        <v>65.819999999999993</v>
      </c>
      <c r="L1000" s="1">
        <v>43545</v>
      </c>
      <c r="M1000" s="2">
        <v>0.6479166666666667</v>
      </c>
      <c r="N1000" t="s">
        <v>33</v>
      </c>
      <c r="O1000">
        <v>65.819999999999993</v>
      </c>
      <c r="P1000">
        <v>4.7619047620000003</v>
      </c>
      <c r="Q1000">
        <v>0</v>
      </c>
      <c r="R1000">
        <v>4.0999999999999996</v>
      </c>
      <c r="S1000">
        <v>96.173500000000004</v>
      </c>
      <c r="T1000">
        <v>16.840900000000001</v>
      </c>
    </row>
    <row r="1001" spans="1:20" x14ac:dyDescent="0.3">
      <c r="A1001" t="s">
        <v>1509</v>
      </c>
      <c r="B1001" t="s">
        <v>21</v>
      </c>
      <c r="C1001" t="s">
        <v>326</v>
      </c>
      <c r="D1001" t="s">
        <v>23</v>
      </c>
      <c r="E1001" t="s">
        <v>24</v>
      </c>
      <c r="F1001" t="s">
        <v>25</v>
      </c>
      <c r="G1001" t="s">
        <v>100</v>
      </c>
      <c r="H1001">
        <v>88.34</v>
      </c>
      <c r="I1001">
        <v>10</v>
      </c>
      <c r="J1001">
        <v>44.17</v>
      </c>
      <c r="K1001">
        <v>883.4</v>
      </c>
      <c r="L1001" s="1">
        <v>43749</v>
      </c>
      <c r="M1001" s="2">
        <v>0.56111111111111112</v>
      </c>
      <c r="N1001" t="s">
        <v>33</v>
      </c>
      <c r="O1001">
        <v>618.38</v>
      </c>
      <c r="P1001">
        <v>4.7619047620000003</v>
      </c>
      <c r="Q1001">
        <v>265.02</v>
      </c>
      <c r="R1001">
        <v>6.6</v>
      </c>
      <c r="S1001">
        <v>96.173500000000004</v>
      </c>
      <c r="T1001">
        <v>16.840900000000001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5BC5C-29AB-412E-B8E3-281C006ECBCE}">
  <dimension ref="A1:Z1001"/>
  <sheetViews>
    <sheetView workbookViewId="0">
      <pane ySplit="1" topLeftCell="A5" activePane="bottomLeft" state="frozen"/>
      <selection pane="bottomLeft" activeCell="O26" sqref="O26"/>
    </sheetView>
  </sheetViews>
  <sheetFormatPr defaultColWidth="5.5546875" defaultRowHeight="14.4" x14ac:dyDescent="0.3"/>
  <cols>
    <col min="1" max="1" width="5.77734375" customWidth="1"/>
    <col min="2" max="2" width="5.5546875" customWidth="1"/>
    <col min="4" max="4" width="7.77734375" customWidth="1"/>
    <col min="5" max="5" width="7.6640625" customWidth="1"/>
    <col min="6" max="6" width="6.6640625" customWidth="1"/>
    <col min="7" max="7" width="12.109375" customWidth="1"/>
    <col min="8" max="8" width="9.33203125" customWidth="1"/>
    <col min="9" max="9" width="6.44140625" customWidth="1"/>
    <col min="10" max="10" width="11" customWidth="1"/>
    <col min="11" max="11" width="7.6640625" customWidth="1"/>
    <col min="12" max="12" width="11.33203125" customWidth="1"/>
    <col min="14" max="14" width="6.77734375" customWidth="1"/>
    <col min="15" max="15" width="8.88671875" customWidth="1"/>
    <col min="16" max="16" width="8.33203125" customWidth="1"/>
    <col min="17" max="17" width="9.88671875" customWidth="1"/>
    <col min="18" max="18" width="9.5546875" customWidth="1"/>
    <col min="19" max="19" width="9.44140625" customWidth="1"/>
    <col min="20" max="20" width="12.109375" customWidth="1"/>
    <col min="22" max="22" width="23.88671875" customWidth="1"/>
    <col min="23" max="23" width="9.88671875" customWidth="1"/>
    <col min="25" max="25" width="15.33203125" customWidth="1"/>
    <col min="26" max="26" width="10.21875" customWidth="1"/>
  </cols>
  <sheetData>
    <row r="1" spans="1:26" x14ac:dyDescent="0.3">
      <c r="A1" t="s">
        <v>1520</v>
      </c>
      <c r="B1" t="s">
        <v>1</v>
      </c>
      <c r="C1" t="s">
        <v>1521</v>
      </c>
      <c r="D1" t="s">
        <v>3</v>
      </c>
      <c r="E1" t="s">
        <v>1522</v>
      </c>
      <c r="F1" t="s">
        <v>5</v>
      </c>
      <c r="G1" t="s">
        <v>1523</v>
      </c>
      <c r="H1" t="s">
        <v>1524</v>
      </c>
      <c r="I1" t="s">
        <v>8</v>
      </c>
      <c r="J1" t="s">
        <v>9</v>
      </c>
      <c r="K1" t="s">
        <v>10</v>
      </c>
      <c r="L1" t="s">
        <v>11</v>
      </c>
      <c r="M1" t="s">
        <v>12</v>
      </c>
      <c r="N1" t="s">
        <v>13</v>
      </c>
      <c r="O1" t="s">
        <v>1525</v>
      </c>
      <c r="P1" t="s">
        <v>1526</v>
      </c>
      <c r="Q1" t="s">
        <v>1527</v>
      </c>
      <c r="R1" t="s">
        <v>17</v>
      </c>
      <c r="S1" t="s">
        <v>18</v>
      </c>
      <c r="T1" t="s">
        <v>19</v>
      </c>
      <c r="V1" s="3" t="s">
        <v>1510</v>
      </c>
      <c r="W1" s="5">
        <f>COUNTIF(E2:E1001,"Normal")</f>
        <v>663</v>
      </c>
    </row>
    <row r="2" spans="1:26" x14ac:dyDescent="0.3">
      <c r="A2" t="s">
        <v>20</v>
      </c>
      <c r="B2" t="s">
        <v>21</v>
      </c>
      <c r="C2" t="s">
        <v>22</v>
      </c>
      <c r="D2" t="s">
        <v>23</v>
      </c>
      <c r="E2" t="s">
        <v>24</v>
      </c>
      <c r="F2" t="s">
        <v>25</v>
      </c>
      <c r="G2" t="s">
        <v>26</v>
      </c>
      <c r="H2">
        <v>74.69</v>
      </c>
      <c r="I2">
        <v>10</v>
      </c>
      <c r="J2">
        <v>37.344999999999999</v>
      </c>
      <c r="K2">
        <v>746.9</v>
      </c>
      <c r="L2" s="1">
        <v>43517</v>
      </c>
      <c r="M2" s="2">
        <v>0.54722222222222228</v>
      </c>
      <c r="N2" t="s">
        <v>27</v>
      </c>
      <c r="O2">
        <v>711.33333330000005</v>
      </c>
      <c r="P2">
        <v>4.7619047620000003</v>
      </c>
      <c r="Q2">
        <v>35.566666669999996</v>
      </c>
      <c r="R2">
        <v>9.1</v>
      </c>
      <c r="S2">
        <v>96.173500000000004</v>
      </c>
      <c r="T2">
        <v>16.840900000000001</v>
      </c>
      <c r="V2" s="3"/>
      <c r="W2" s="3"/>
      <c r="Y2" s="10" t="s">
        <v>1516</v>
      </c>
      <c r="Z2" s="7">
        <f>COUNTIF(N2:N1001,"Ewallet")</f>
        <v>359</v>
      </c>
    </row>
    <row r="3" spans="1:26" x14ac:dyDescent="0.3">
      <c r="A3" t="s">
        <v>28</v>
      </c>
      <c r="B3" t="s">
        <v>29</v>
      </c>
      <c r="C3" t="s">
        <v>30</v>
      </c>
      <c r="D3" t="s">
        <v>31</v>
      </c>
      <c r="E3" t="s">
        <v>32</v>
      </c>
      <c r="F3" t="s">
        <v>25</v>
      </c>
      <c r="G3" t="s">
        <v>26</v>
      </c>
      <c r="H3">
        <v>15.28</v>
      </c>
      <c r="I3">
        <v>6</v>
      </c>
      <c r="J3">
        <v>4.5839999999999996</v>
      </c>
      <c r="K3">
        <v>91.68</v>
      </c>
      <c r="L3" s="1">
        <v>43612</v>
      </c>
      <c r="M3" s="2">
        <v>0.43680555555555556</v>
      </c>
      <c r="N3" t="s">
        <v>33</v>
      </c>
      <c r="O3">
        <v>76.400000000000006</v>
      </c>
      <c r="P3">
        <v>4.7619047620000003</v>
      </c>
      <c r="Q3">
        <v>15.28</v>
      </c>
      <c r="R3">
        <v>10</v>
      </c>
      <c r="S3">
        <v>96.078500000000005</v>
      </c>
      <c r="T3">
        <v>19.763300000000001</v>
      </c>
      <c r="V3" s="3" t="s">
        <v>1511</v>
      </c>
      <c r="W3" s="5">
        <f>COUNTIF(E2:E1001,"Member")</f>
        <v>337</v>
      </c>
      <c r="Y3" s="10"/>
      <c r="Z3" s="10"/>
    </row>
    <row r="4" spans="1:26" x14ac:dyDescent="0.3">
      <c r="A4" t="s">
        <v>34</v>
      </c>
      <c r="B4" t="s">
        <v>21</v>
      </c>
      <c r="C4" t="s">
        <v>35</v>
      </c>
      <c r="D4" t="s">
        <v>23</v>
      </c>
      <c r="E4" t="s">
        <v>32</v>
      </c>
      <c r="F4" t="s">
        <v>36</v>
      </c>
      <c r="G4" t="s">
        <v>26</v>
      </c>
      <c r="H4">
        <v>46.33</v>
      </c>
      <c r="I4">
        <v>7</v>
      </c>
      <c r="J4">
        <v>16.215499999999999</v>
      </c>
      <c r="K4">
        <v>324.31</v>
      </c>
      <c r="L4" s="1">
        <v>43826</v>
      </c>
      <c r="M4" s="2">
        <v>0.55763888888888891</v>
      </c>
      <c r="N4" t="s">
        <v>37</v>
      </c>
      <c r="O4">
        <v>324.31</v>
      </c>
      <c r="P4">
        <v>4.7619047620000003</v>
      </c>
      <c r="Q4">
        <v>0</v>
      </c>
      <c r="R4">
        <v>7.4</v>
      </c>
      <c r="S4">
        <v>96.173500000000004</v>
      </c>
      <c r="T4">
        <v>16.840900000000001</v>
      </c>
      <c r="Y4" s="10" t="s">
        <v>1517</v>
      </c>
      <c r="Z4" s="7">
        <f>COUNTIF(N2:N1001,"Cash")</f>
        <v>334</v>
      </c>
    </row>
    <row r="5" spans="1:26" x14ac:dyDescent="0.3">
      <c r="A5" t="s">
        <v>38</v>
      </c>
      <c r="B5" t="s">
        <v>21</v>
      </c>
      <c r="C5" t="s">
        <v>39</v>
      </c>
      <c r="D5" t="s">
        <v>23</v>
      </c>
      <c r="E5" t="s">
        <v>24</v>
      </c>
      <c r="F5" t="s">
        <v>36</v>
      </c>
      <c r="G5" t="s">
        <v>26</v>
      </c>
      <c r="H5">
        <v>58.22</v>
      </c>
      <c r="I5">
        <v>11</v>
      </c>
      <c r="J5">
        <v>32.021000000000001</v>
      </c>
      <c r="K5">
        <v>640.41999999999996</v>
      </c>
      <c r="L5" s="1">
        <v>43784</v>
      </c>
      <c r="M5" s="2">
        <v>0.85624999999999996</v>
      </c>
      <c r="N5" t="s">
        <v>27</v>
      </c>
      <c r="O5">
        <v>465.76</v>
      </c>
      <c r="P5">
        <v>4.7619047620000003</v>
      </c>
      <c r="Q5">
        <v>174.66</v>
      </c>
      <c r="R5">
        <v>8.4</v>
      </c>
      <c r="S5">
        <v>96.173500000000004</v>
      </c>
      <c r="T5">
        <v>16.840900000000001</v>
      </c>
      <c r="Y5" s="10"/>
      <c r="Z5" s="10"/>
    </row>
    <row r="6" spans="1:26" x14ac:dyDescent="0.3">
      <c r="A6" t="s">
        <v>40</v>
      </c>
      <c r="B6" t="s">
        <v>21</v>
      </c>
      <c r="C6" t="s">
        <v>41</v>
      </c>
      <c r="D6" t="s">
        <v>23</v>
      </c>
      <c r="E6" t="s">
        <v>32</v>
      </c>
      <c r="F6" t="s">
        <v>36</v>
      </c>
      <c r="G6" t="s">
        <v>26</v>
      </c>
      <c r="H6">
        <v>86.31</v>
      </c>
      <c r="I6">
        <v>7</v>
      </c>
      <c r="J6">
        <v>30.208500000000001</v>
      </c>
      <c r="K6">
        <v>604.16999999999996</v>
      </c>
      <c r="L6" s="1">
        <v>43555</v>
      </c>
      <c r="M6" s="2">
        <v>0.44236111111111109</v>
      </c>
      <c r="N6" t="s">
        <v>27</v>
      </c>
      <c r="O6">
        <v>604.16999999999996</v>
      </c>
      <c r="P6">
        <v>4.7619047620000003</v>
      </c>
      <c r="Q6">
        <v>0</v>
      </c>
      <c r="R6">
        <v>7.46</v>
      </c>
      <c r="S6">
        <v>96.173500000000004</v>
      </c>
      <c r="T6">
        <v>16.840900000000001</v>
      </c>
      <c r="V6" s="4" t="s">
        <v>1512</v>
      </c>
      <c r="W6" s="6">
        <f>COUNTIF(F2:F1001,"Female")</f>
        <v>518</v>
      </c>
      <c r="Y6" s="10" t="s">
        <v>1518</v>
      </c>
      <c r="Z6" s="7">
        <f>COUNTIF(N2:N1001,"Credit card")</f>
        <v>307</v>
      </c>
    </row>
    <row r="7" spans="1:26" x14ac:dyDescent="0.3">
      <c r="A7" t="s">
        <v>42</v>
      </c>
      <c r="B7" t="s">
        <v>29</v>
      </c>
      <c r="C7" t="s">
        <v>43</v>
      </c>
      <c r="D7" t="s">
        <v>31</v>
      </c>
      <c r="E7" t="s">
        <v>32</v>
      </c>
      <c r="F7" t="s">
        <v>36</v>
      </c>
      <c r="G7" t="s">
        <v>26</v>
      </c>
      <c r="H7">
        <v>85.39</v>
      </c>
      <c r="I7">
        <v>8</v>
      </c>
      <c r="J7">
        <v>34.155999999999999</v>
      </c>
      <c r="K7">
        <v>683.12</v>
      </c>
      <c r="L7" s="1">
        <v>43471</v>
      </c>
      <c r="M7" s="2">
        <v>0.77083333333333337</v>
      </c>
      <c r="N7" t="s">
        <v>27</v>
      </c>
      <c r="O7">
        <v>597.73</v>
      </c>
      <c r="P7">
        <v>4.7619047620000003</v>
      </c>
      <c r="Q7">
        <v>85.39</v>
      </c>
      <c r="R7">
        <v>7.46</v>
      </c>
      <c r="S7">
        <v>96.078500000000005</v>
      </c>
      <c r="T7">
        <v>19.763300000000001</v>
      </c>
      <c r="V7" s="4"/>
      <c r="W7" s="4"/>
    </row>
    <row r="8" spans="1:26" x14ac:dyDescent="0.3">
      <c r="A8" t="s">
        <v>44</v>
      </c>
      <c r="B8" t="s">
        <v>21</v>
      </c>
      <c r="C8" t="s">
        <v>45</v>
      </c>
      <c r="D8" t="s">
        <v>23</v>
      </c>
      <c r="E8" t="s">
        <v>32</v>
      </c>
      <c r="F8" t="s">
        <v>25</v>
      </c>
      <c r="G8" t="s">
        <v>26</v>
      </c>
      <c r="H8">
        <v>68.84</v>
      </c>
      <c r="I8">
        <v>6</v>
      </c>
      <c r="J8">
        <v>20.652000000000001</v>
      </c>
      <c r="K8">
        <v>413.04</v>
      </c>
      <c r="L8" s="1">
        <v>43814</v>
      </c>
      <c r="M8" s="2">
        <v>0.60833333333333328</v>
      </c>
      <c r="N8" t="s">
        <v>27</v>
      </c>
      <c r="O8">
        <v>413.04</v>
      </c>
      <c r="P8">
        <v>4.7619047620000003</v>
      </c>
      <c r="Q8">
        <v>0</v>
      </c>
      <c r="R8">
        <v>7.46</v>
      </c>
      <c r="S8">
        <v>96.173500000000004</v>
      </c>
      <c r="T8">
        <v>16.840900000000001</v>
      </c>
      <c r="V8" s="4" t="s">
        <v>1513</v>
      </c>
      <c r="W8" s="6">
        <f>COUNTIF(F2:F1001,"Male")</f>
        <v>482</v>
      </c>
    </row>
    <row r="9" spans="1:26" x14ac:dyDescent="0.3">
      <c r="A9" t="s">
        <v>46</v>
      </c>
      <c r="B9" t="s">
        <v>29</v>
      </c>
      <c r="C9" t="s">
        <v>47</v>
      </c>
      <c r="D9" t="s">
        <v>31</v>
      </c>
      <c r="E9" t="s">
        <v>32</v>
      </c>
      <c r="F9" t="s">
        <v>25</v>
      </c>
      <c r="G9" t="s">
        <v>26</v>
      </c>
      <c r="H9">
        <v>73.56</v>
      </c>
      <c r="I9">
        <v>12</v>
      </c>
      <c r="J9">
        <v>44.136000000000003</v>
      </c>
      <c r="K9">
        <v>882.72</v>
      </c>
      <c r="L9" s="1">
        <v>43630</v>
      </c>
      <c r="M9" s="2">
        <v>0.48472222222222222</v>
      </c>
      <c r="N9" t="s">
        <v>27</v>
      </c>
      <c r="O9">
        <v>735.6</v>
      </c>
      <c r="P9">
        <v>4.7619047620000003</v>
      </c>
      <c r="Q9">
        <v>147.12</v>
      </c>
      <c r="R9">
        <v>7.46</v>
      </c>
      <c r="S9">
        <v>96.078500000000005</v>
      </c>
      <c r="T9">
        <v>19.763300000000001</v>
      </c>
    </row>
    <row r="10" spans="1:26" x14ac:dyDescent="0.3">
      <c r="A10" t="s">
        <v>48</v>
      </c>
      <c r="B10" t="s">
        <v>21</v>
      </c>
      <c r="C10" t="s">
        <v>49</v>
      </c>
      <c r="D10" t="s">
        <v>23</v>
      </c>
      <c r="E10" t="s">
        <v>32</v>
      </c>
      <c r="F10" t="s">
        <v>25</v>
      </c>
      <c r="G10" t="s">
        <v>26</v>
      </c>
      <c r="H10">
        <v>36.26</v>
      </c>
      <c r="I10">
        <v>2</v>
      </c>
      <c r="J10">
        <v>3.6259999999999999</v>
      </c>
      <c r="K10">
        <v>72.52</v>
      </c>
      <c r="L10" s="1">
        <v>43794</v>
      </c>
      <c r="M10" s="2">
        <v>0.71875</v>
      </c>
      <c r="N10" t="s">
        <v>37</v>
      </c>
      <c r="O10">
        <v>72.52</v>
      </c>
      <c r="P10">
        <v>4.7619047620000003</v>
      </c>
      <c r="Q10">
        <v>0</v>
      </c>
      <c r="R10">
        <v>7.46</v>
      </c>
      <c r="S10">
        <v>96.173500000000004</v>
      </c>
      <c r="T10">
        <v>16.840900000000001</v>
      </c>
      <c r="Y10" s="18" t="s">
        <v>1</v>
      </c>
      <c r="Z10" s="18"/>
    </row>
    <row r="11" spans="1:26" x14ac:dyDescent="0.3">
      <c r="A11" t="s">
        <v>50</v>
      </c>
      <c r="B11" t="s">
        <v>51</v>
      </c>
      <c r="C11" t="s">
        <v>52</v>
      </c>
      <c r="D11" t="s">
        <v>53</v>
      </c>
      <c r="E11" t="s">
        <v>32</v>
      </c>
      <c r="F11" t="s">
        <v>25</v>
      </c>
      <c r="G11" t="s">
        <v>26</v>
      </c>
      <c r="H11">
        <v>54.84</v>
      </c>
      <c r="I11">
        <v>4</v>
      </c>
      <c r="J11">
        <v>10.968</v>
      </c>
      <c r="K11">
        <v>219.36</v>
      </c>
      <c r="L11" s="1">
        <v>43565</v>
      </c>
      <c r="M11" s="2">
        <v>0.56041666666666667</v>
      </c>
      <c r="N11" t="s">
        <v>37</v>
      </c>
      <c r="O11">
        <v>164.52</v>
      </c>
      <c r="P11">
        <v>4.7619047620000003</v>
      </c>
      <c r="Q11">
        <v>54.84</v>
      </c>
      <c r="R11">
        <v>7.46</v>
      </c>
      <c r="S11">
        <v>96.089100000000002</v>
      </c>
      <c r="T11">
        <v>21.9588</v>
      </c>
      <c r="V11" s="17" t="s">
        <v>1514</v>
      </c>
      <c r="W11" s="17"/>
      <c r="Y11" s="8" t="s">
        <v>21</v>
      </c>
      <c r="Z11" s="9">
        <v>281</v>
      </c>
    </row>
    <row r="12" spans="1:26" x14ac:dyDescent="0.3">
      <c r="A12" t="s">
        <v>54</v>
      </c>
      <c r="B12" t="s">
        <v>51</v>
      </c>
      <c r="C12" t="s">
        <v>55</v>
      </c>
      <c r="D12" t="s">
        <v>53</v>
      </c>
      <c r="E12" t="s">
        <v>32</v>
      </c>
      <c r="F12" t="s">
        <v>25</v>
      </c>
      <c r="G12" t="s">
        <v>26</v>
      </c>
      <c r="H12">
        <v>14.48</v>
      </c>
      <c r="I12">
        <v>6</v>
      </c>
      <c r="J12">
        <v>4.3440000000000003</v>
      </c>
      <c r="K12">
        <v>86.88</v>
      </c>
      <c r="L12" s="1">
        <v>43669</v>
      </c>
      <c r="M12" s="2">
        <v>0.75486111111111109</v>
      </c>
      <c r="N12" t="s">
        <v>27</v>
      </c>
      <c r="O12">
        <v>57.92</v>
      </c>
      <c r="P12">
        <v>4.7619047620000003</v>
      </c>
      <c r="Q12">
        <v>28.96</v>
      </c>
      <c r="R12">
        <v>7.46</v>
      </c>
      <c r="S12">
        <v>96.089100000000002</v>
      </c>
      <c r="T12">
        <v>21.9588</v>
      </c>
      <c r="Y12" s="8" t="s">
        <v>1515</v>
      </c>
      <c r="Z12" s="9">
        <v>265</v>
      </c>
    </row>
    <row r="13" spans="1:26" x14ac:dyDescent="0.3">
      <c r="A13" t="s">
        <v>56</v>
      </c>
      <c r="B13" t="s">
        <v>51</v>
      </c>
      <c r="C13" t="s">
        <v>57</v>
      </c>
      <c r="D13" t="s">
        <v>53</v>
      </c>
      <c r="E13" t="s">
        <v>32</v>
      </c>
      <c r="F13" t="s">
        <v>36</v>
      </c>
      <c r="G13" t="s">
        <v>26</v>
      </c>
      <c r="H13">
        <v>25.51</v>
      </c>
      <c r="I13">
        <v>6</v>
      </c>
      <c r="J13">
        <f>K13*5%</f>
        <v>7.6530000000000005</v>
      </c>
      <c r="K13">
        <v>153.06</v>
      </c>
      <c r="L13" s="1">
        <v>43703</v>
      </c>
      <c r="M13" s="2">
        <v>0.7104166666666667</v>
      </c>
      <c r="N13" t="s">
        <v>33</v>
      </c>
      <c r="O13">
        <v>102.04</v>
      </c>
      <c r="P13">
        <v>4.7619047620000003</v>
      </c>
      <c r="Q13">
        <v>51.02</v>
      </c>
      <c r="R13">
        <v>7.46</v>
      </c>
      <c r="S13">
        <v>96.089100000000002</v>
      </c>
      <c r="T13">
        <v>21.9588</v>
      </c>
      <c r="V13" s="10" t="s">
        <v>26</v>
      </c>
      <c r="W13" s="7">
        <f>COUNTIF(G2:G1001,"Health and beauty")</f>
        <v>312</v>
      </c>
      <c r="Y13" s="8" t="s">
        <v>29</v>
      </c>
      <c r="Z13" s="9">
        <v>260</v>
      </c>
    </row>
    <row r="14" spans="1:26" x14ac:dyDescent="0.3">
      <c r="A14" t="s">
        <v>58</v>
      </c>
      <c r="B14" t="s">
        <v>21</v>
      </c>
      <c r="C14" t="s">
        <v>59</v>
      </c>
      <c r="D14" t="s">
        <v>23</v>
      </c>
      <c r="E14" t="s">
        <v>32</v>
      </c>
      <c r="F14" t="s">
        <v>25</v>
      </c>
      <c r="G14" t="s">
        <v>60</v>
      </c>
      <c r="H14">
        <v>46.95</v>
      </c>
      <c r="I14">
        <v>5</v>
      </c>
      <c r="J14">
        <f t="shared" ref="J14:J25" si="0">K14*5%</f>
        <v>11.737500000000001</v>
      </c>
      <c r="K14">
        <v>234.75</v>
      </c>
      <c r="L14" s="1">
        <v>43702</v>
      </c>
      <c r="M14" s="2">
        <v>0.43402777777777779</v>
      </c>
      <c r="N14" t="s">
        <v>27</v>
      </c>
      <c r="O14">
        <v>234.75</v>
      </c>
      <c r="P14">
        <v>4.7619047620000003</v>
      </c>
      <c r="Q14">
        <v>0</v>
      </c>
      <c r="R14">
        <v>7.46</v>
      </c>
      <c r="S14">
        <v>96.173500000000004</v>
      </c>
      <c r="T14">
        <v>16.840900000000001</v>
      </c>
      <c r="V14" s="10"/>
      <c r="W14" s="10"/>
    </row>
    <row r="15" spans="1:26" x14ac:dyDescent="0.3">
      <c r="A15" t="s">
        <v>61</v>
      </c>
      <c r="B15" t="s">
        <v>21</v>
      </c>
      <c r="C15" t="s">
        <v>62</v>
      </c>
      <c r="D15" t="s">
        <v>23</v>
      </c>
      <c r="E15" t="s">
        <v>32</v>
      </c>
      <c r="F15" t="s">
        <v>36</v>
      </c>
      <c r="G15" t="s">
        <v>63</v>
      </c>
      <c r="H15">
        <v>43.19</v>
      </c>
      <c r="I15">
        <v>10</v>
      </c>
      <c r="J15">
        <f t="shared" si="0"/>
        <v>21.594999999999999</v>
      </c>
      <c r="K15">
        <v>431.9</v>
      </c>
      <c r="L15" s="1">
        <v>43740</v>
      </c>
      <c r="M15" s="2">
        <v>0.7</v>
      </c>
      <c r="N15" t="s">
        <v>27</v>
      </c>
      <c r="O15">
        <v>431.9</v>
      </c>
      <c r="P15">
        <v>4.7619047620000003</v>
      </c>
      <c r="Q15">
        <v>0</v>
      </c>
      <c r="R15">
        <v>8.1999999999999993</v>
      </c>
      <c r="S15">
        <v>96.173500000000004</v>
      </c>
      <c r="T15">
        <v>16.840900000000001</v>
      </c>
      <c r="V15" s="10" t="s">
        <v>60</v>
      </c>
      <c r="W15" s="7">
        <f>COUNTIF(G2:G1001,"Electronic accessories")</f>
        <v>88</v>
      </c>
    </row>
    <row r="16" spans="1:26" x14ac:dyDescent="0.3">
      <c r="A16" t="s">
        <v>64</v>
      </c>
      <c r="B16" t="s">
        <v>21</v>
      </c>
      <c r="C16" t="s">
        <v>65</v>
      </c>
      <c r="D16" t="s">
        <v>23</v>
      </c>
      <c r="E16" t="s">
        <v>32</v>
      </c>
      <c r="F16" t="s">
        <v>25</v>
      </c>
      <c r="G16" t="s">
        <v>26</v>
      </c>
      <c r="H16">
        <v>71.38</v>
      </c>
      <c r="I16">
        <v>10</v>
      </c>
      <c r="J16">
        <f t="shared" si="0"/>
        <v>35.69</v>
      </c>
      <c r="K16">
        <v>713.8</v>
      </c>
      <c r="L16" s="1">
        <v>43792</v>
      </c>
      <c r="M16" s="2">
        <v>0.80625000000000002</v>
      </c>
      <c r="N16" t="s">
        <v>33</v>
      </c>
      <c r="O16">
        <v>713.8</v>
      </c>
      <c r="P16">
        <v>4.7619047620000003</v>
      </c>
      <c r="Q16">
        <v>0</v>
      </c>
      <c r="R16">
        <v>5.7</v>
      </c>
      <c r="S16">
        <v>96.173500000000004</v>
      </c>
      <c r="T16">
        <v>16.840900000000001</v>
      </c>
      <c r="V16" s="10"/>
      <c r="W16" s="10"/>
    </row>
    <row r="17" spans="1:25" x14ac:dyDescent="0.3">
      <c r="A17" t="s">
        <v>66</v>
      </c>
      <c r="B17" t="s">
        <v>51</v>
      </c>
      <c r="C17" t="s">
        <v>67</v>
      </c>
      <c r="D17" t="s">
        <v>53</v>
      </c>
      <c r="E17" t="s">
        <v>24</v>
      </c>
      <c r="F17" t="s">
        <v>25</v>
      </c>
      <c r="G17" t="s">
        <v>68</v>
      </c>
      <c r="H17">
        <v>93.72</v>
      </c>
      <c r="I17">
        <v>11</v>
      </c>
      <c r="J17">
        <f t="shared" si="0"/>
        <v>51.546000000000006</v>
      </c>
      <c r="K17">
        <v>1030.92</v>
      </c>
      <c r="L17" s="1">
        <v>43661</v>
      </c>
      <c r="M17" s="2">
        <v>0.67986111111111114</v>
      </c>
      <c r="N17" t="s">
        <v>33</v>
      </c>
      <c r="O17">
        <v>562.32000000000005</v>
      </c>
      <c r="P17">
        <v>4.7619047620000003</v>
      </c>
      <c r="Q17">
        <v>468.6</v>
      </c>
      <c r="R17">
        <v>5.4</v>
      </c>
      <c r="S17">
        <v>96.089100000000002</v>
      </c>
      <c r="T17">
        <v>21.9588</v>
      </c>
      <c r="V17" s="10" t="s">
        <v>100</v>
      </c>
      <c r="W17" s="7">
        <f>COUNTIF(G2:G1001,"Fashion accessories")</f>
        <v>192</v>
      </c>
      <c r="Y17" s="4" t="s">
        <v>1519</v>
      </c>
    </row>
    <row r="18" spans="1:25" x14ac:dyDescent="0.3">
      <c r="A18" t="s">
        <v>69</v>
      </c>
      <c r="B18" t="s">
        <v>21</v>
      </c>
      <c r="C18" t="s">
        <v>70</v>
      </c>
      <c r="D18" t="s">
        <v>23</v>
      </c>
      <c r="E18" t="s">
        <v>24</v>
      </c>
      <c r="F18" t="s">
        <v>25</v>
      </c>
      <c r="G18" t="s">
        <v>26</v>
      </c>
      <c r="H18">
        <v>68.930000000000007</v>
      </c>
      <c r="I18">
        <v>10</v>
      </c>
      <c r="J18">
        <f t="shared" si="0"/>
        <v>34.464999999999996</v>
      </c>
      <c r="K18">
        <v>689.3</v>
      </c>
      <c r="L18" s="1">
        <v>43801</v>
      </c>
      <c r="M18" s="2">
        <v>0.46041666666666664</v>
      </c>
      <c r="N18" t="s">
        <v>37</v>
      </c>
      <c r="O18">
        <v>482.51</v>
      </c>
      <c r="P18">
        <v>4.7619047620000003</v>
      </c>
      <c r="Q18">
        <v>206.79</v>
      </c>
      <c r="R18">
        <v>4.5999999999999996</v>
      </c>
      <c r="S18">
        <v>96.173500000000004</v>
      </c>
      <c r="T18">
        <v>16.840900000000001</v>
      </c>
      <c r="V18" s="10"/>
      <c r="W18" s="10"/>
      <c r="Y18" s="6">
        <f>AVERAGE(R2:R1001)</f>
        <v>7.4622500000000063</v>
      </c>
    </row>
    <row r="19" spans="1:25" x14ac:dyDescent="0.3">
      <c r="A19" t="s">
        <v>71</v>
      </c>
      <c r="B19" t="s">
        <v>21</v>
      </c>
      <c r="C19" t="s">
        <v>72</v>
      </c>
      <c r="D19" t="s">
        <v>23</v>
      </c>
      <c r="E19" t="s">
        <v>32</v>
      </c>
      <c r="F19" t="s">
        <v>36</v>
      </c>
      <c r="G19" t="s">
        <v>68</v>
      </c>
      <c r="H19">
        <v>72.61</v>
      </c>
      <c r="I19">
        <v>6</v>
      </c>
      <c r="J19">
        <f t="shared" si="0"/>
        <v>21.783000000000001</v>
      </c>
      <c r="K19">
        <v>435.66</v>
      </c>
      <c r="L19" s="1">
        <v>43533</v>
      </c>
      <c r="M19" s="2">
        <v>0.44374999999999998</v>
      </c>
      <c r="N19" t="s">
        <v>37</v>
      </c>
      <c r="O19">
        <v>435.66</v>
      </c>
      <c r="P19">
        <v>4.7619047620000003</v>
      </c>
      <c r="Q19">
        <v>0</v>
      </c>
      <c r="R19">
        <v>6.9</v>
      </c>
      <c r="S19">
        <v>96.173500000000004</v>
      </c>
      <c r="T19">
        <v>16.840900000000001</v>
      </c>
      <c r="V19" s="10" t="s">
        <v>63</v>
      </c>
      <c r="W19" s="7">
        <f>COUNTIF(G2:G1001,"Food and beverages")</f>
        <v>92</v>
      </c>
    </row>
    <row r="20" spans="1:25" x14ac:dyDescent="0.3">
      <c r="A20" t="s">
        <v>73</v>
      </c>
      <c r="B20" t="s">
        <v>21</v>
      </c>
      <c r="C20" t="s">
        <v>74</v>
      </c>
      <c r="D20" t="s">
        <v>23</v>
      </c>
      <c r="E20" t="s">
        <v>32</v>
      </c>
      <c r="F20" t="s">
        <v>36</v>
      </c>
      <c r="G20" t="s">
        <v>63</v>
      </c>
      <c r="H20">
        <v>54.67</v>
      </c>
      <c r="I20">
        <v>3</v>
      </c>
      <c r="J20">
        <f t="shared" si="0"/>
        <v>8.2004999999999999</v>
      </c>
      <c r="K20">
        <v>164.01</v>
      </c>
      <c r="L20" s="1">
        <v>43655</v>
      </c>
      <c r="M20" s="2">
        <v>0.75</v>
      </c>
      <c r="N20" t="s">
        <v>37</v>
      </c>
      <c r="O20">
        <v>164.01</v>
      </c>
      <c r="P20">
        <v>4.7619047620000003</v>
      </c>
      <c r="Q20">
        <v>0</v>
      </c>
      <c r="R20">
        <v>8.6</v>
      </c>
      <c r="S20">
        <v>96.173500000000004</v>
      </c>
      <c r="T20">
        <v>16.840900000000001</v>
      </c>
      <c r="V20" s="10"/>
      <c r="W20" s="10"/>
    </row>
    <row r="21" spans="1:25" x14ac:dyDescent="0.3">
      <c r="A21" t="s">
        <v>75</v>
      </c>
      <c r="B21" t="s">
        <v>51</v>
      </c>
      <c r="C21" t="s">
        <v>76</v>
      </c>
      <c r="D21" t="s">
        <v>53</v>
      </c>
      <c r="E21" t="s">
        <v>32</v>
      </c>
      <c r="F21" t="s">
        <v>25</v>
      </c>
      <c r="G21" t="s">
        <v>77</v>
      </c>
      <c r="H21">
        <v>40.299999999999997</v>
      </c>
      <c r="I21">
        <v>3</v>
      </c>
      <c r="J21">
        <f t="shared" si="0"/>
        <v>6.0450000000000008</v>
      </c>
      <c r="K21">
        <v>120.9</v>
      </c>
      <c r="L21" s="1">
        <v>43593</v>
      </c>
      <c r="M21" s="2">
        <v>0.64583333333333337</v>
      </c>
      <c r="N21" t="s">
        <v>27</v>
      </c>
      <c r="O21">
        <v>80.599999999999994</v>
      </c>
      <c r="P21">
        <v>4.7619047620000003</v>
      </c>
      <c r="Q21">
        <v>40.299999999999997</v>
      </c>
      <c r="R21">
        <v>5.28</v>
      </c>
      <c r="S21">
        <v>96.089100000000002</v>
      </c>
      <c r="T21">
        <v>21.9588</v>
      </c>
      <c r="V21" s="10" t="s">
        <v>77</v>
      </c>
      <c r="W21" s="7">
        <f>COUNTIF(G2:G1001,"Home and lifestyle")</f>
        <v>103</v>
      </c>
    </row>
    <row r="22" spans="1:25" x14ac:dyDescent="0.3">
      <c r="A22" t="s">
        <v>78</v>
      </c>
      <c r="B22" t="s">
        <v>29</v>
      </c>
      <c r="C22" t="s">
        <v>79</v>
      </c>
      <c r="D22" t="s">
        <v>31</v>
      </c>
      <c r="E22" t="s">
        <v>24</v>
      </c>
      <c r="F22" t="s">
        <v>36</v>
      </c>
      <c r="G22" t="s">
        <v>60</v>
      </c>
      <c r="H22">
        <v>86.04</v>
      </c>
      <c r="I22">
        <v>8</v>
      </c>
      <c r="J22">
        <f t="shared" si="0"/>
        <v>34.416000000000004</v>
      </c>
      <c r="K22">
        <v>688.32</v>
      </c>
      <c r="L22" s="1">
        <v>43756</v>
      </c>
      <c r="M22" s="2">
        <v>0.47499999999999998</v>
      </c>
      <c r="N22" t="s">
        <v>27</v>
      </c>
      <c r="O22">
        <v>430.2</v>
      </c>
      <c r="P22">
        <v>4.7619047620000003</v>
      </c>
      <c r="Q22">
        <v>258.12</v>
      </c>
      <c r="R22">
        <v>5.04</v>
      </c>
      <c r="S22">
        <v>96.078500000000005</v>
      </c>
      <c r="T22">
        <v>19.763300000000001</v>
      </c>
      <c r="V22" s="10"/>
      <c r="W22" s="10"/>
    </row>
    <row r="23" spans="1:25" x14ac:dyDescent="0.3">
      <c r="A23" t="s">
        <v>80</v>
      </c>
      <c r="B23" t="s">
        <v>51</v>
      </c>
      <c r="C23" t="s">
        <v>81</v>
      </c>
      <c r="D23" t="s">
        <v>53</v>
      </c>
      <c r="E23" t="s">
        <v>32</v>
      </c>
      <c r="F23" t="s">
        <v>36</v>
      </c>
      <c r="G23" t="s">
        <v>26</v>
      </c>
      <c r="H23">
        <v>87.98</v>
      </c>
      <c r="I23">
        <v>4</v>
      </c>
      <c r="J23">
        <f t="shared" si="0"/>
        <v>17.596</v>
      </c>
      <c r="K23">
        <v>351.92</v>
      </c>
      <c r="L23" s="1">
        <v>43824</v>
      </c>
      <c r="M23" s="2">
        <v>0.44444444444444442</v>
      </c>
      <c r="N23" t="s">
        <v>27</v>
      </c>
      <c r="O23">
        <v>263.94</v>
      </c>
      <c r="P23">
        <v>4.7619047620000003</v>
      </c>
      <c r="Q23">
        <v>87.98</v>
      </c>
      <c r="R23">
        <v>6.12</v>
      </c>
      <c r="S23">
        <v>96.089100000000002</v>
      </c>
      <c r="T23">
        <v>21.9588</v>
      </c>
      <c r="V23" s="10" t="s">
        <v>68</v>
      </c>
      <c r="W23" s="7">
        <f>COUNTIF(G2:G1001,"Sports and travel")</f>
        <v>213</v>
      </c>
    </row>
    <row r="24" spans="1:25" x14ac:dyDescent="0.3">
      <c r="A24" t="s">
        <v>82</v>
      </c>
      <c r="B24" t="s">
        <v>51</v>
      </c>
      <c r="C24" t="s">
        <v>83</v>
      </c>
      <c r="D24" t="s">
        <v>53</v>
      </c>
      <c r="E24" t="s">
        <v>32</v>
      </c>
      <c r="F24" t="s">
        <v>36</v>
      </c>
      <c r="G24" t="s">
        <v>26</v>
      </c>
      <c r="H24">
        <v>33.200000000000003</v>
      </c>
      <c r="I24">
        <v>3</v>
      </c>
      <c r="J24">
        <f t="shared" si="0"/>
        <v>4.9800000000000004</v>
      </c>
      <c r="K24">
        <v>99.6</v>
      </c>
      <c r="L24" s="1">
        <v>43586</v>
      </c>
      <c r="M24" s="2">
        <v>0.51388888888888884</v>
      </c>
      <c r="N24" t="s">
        <v>37</v>
      </c>
      <c r="O24">
        <v>66.400000000000006</v>
      </c>
      <c r="P24">
        <v>4.7619047620000003</v>
      </c>
      <c r="Q24">
        <v>33.200000000000003</v>
      </c>
      <c r="R24">
        <v>5.28</v>
      </c>
      <c r="S24">
        <v>96.089100000000002</v>
      </c>
      <c r="T24">
        <v>21.9588</v>
      </c>
    </row>
    <row r="25" spans="1:25" x14ac:dyDescent="0.3">
      <c r="A25" t="s">
        <v>84</v>
      </c>
      <c r="B25" t="s">
        <v>21</v>
      </c>
      <c r="C25" t="s">
        <v>85</v>
      </c>
      <c r="D25" t="s">
        <v>23</v>
      </c>
      <c r="E25" t="s">
        <v>32</v>
      </c>
      <c r="F25" t="s">
        <v>36</v>
      </c>
      <c r="G25" t="s">
        <v>26</v>
      </c>
      <c r="H25">
        <v>34.56</v>
      </c>
      <c r="I25">
        <v>5</v>
      </c>
      <c r="J25">
        <f t="shared" si="0"/>
        <v>8.64</v>
      </c>
      <c r="K25">
        <v>172.8</v>
      </c>
      <c r="L25" s="1">
        <v>43512</v>
      </c>
      <c r="M25" s="2">
        <v>0.46875</v>
      </c>
      <c r="N25" t="s">
        <v>27</v>
      </c>
      <c r="O25">
        <v>172.8</v>
      </c>
      <c r="P25">
        <v>4.7619047620000003</v>
      </c>
      <c r="Q25">
        <v>0</v>
      </c>
      <c r="R25">
        <v>9.9</v>
      </c>
      <c r="S25">
        <v>96.173500000000004</v>
      </c>
      <c r="T25">
        <v>16.840900000000001</v>
      </c>
    </row>
    <row r="26" spans="1:25" x14ac:dyDescent="0.3">
      <c r="A26" t="s">
        <v>86</v>
      </c>
      <c r="B26" t="s">
        <v>21</v>
      </c>
      <c r="C26" t="s">
        <v>87</v>
      </c>
      <c r="D26" t="s">
        <v>23</v>
      </c>
      <c r="E26" t="s">
        <v>24</v>
      </c>
      <c r="F26" t="s">
        <v>36</v>
      </c>
      <c r="G26" t="s">
        <v>26</v>
      </c>
      <c r="H26">
        <v>88.63</v>
      </c>
      <c r="I26">
        <v>4</v>
      </c>
      <c r="J26">
        <v>17.725999999999999</v>
      </c>
      <c r="K26">
        <v>354.52</v>
      </c>
      <c r="L26" s="1">
        <v>43535</v>
      </c>
      <c r="M26" s="2">
        <v>0.73333333333333328</v>
      </c>
      <c r="N26" t="s">
        <v>27</v>
      </c>
      <c r="O26">
        <v>265.89</v>
      </c>
      <c r="P26">
        <v>4.7619047620000003</v>
      </c>
      <c r="Q26">
        <v>88.63</v>
      </c>
      <c r="R26">
        <v>6</v>
      </c>
      <c r="S26">
        <v>96.173500000000004</v>
      </c>
      <c r="T26">
        <v>16.840900000000001</v>
      </c>
    </row>
    <row r="27" spans="1:25" x14ac:dyDescent="0.3">
      <c r="A27" t="s">
        <v>88</v>
      </c>
      <c r="B27" t="s">
        <v>21</v>
      </c>
      <c r="C27" t="s">
        <v>89</v>
      </c>
      <c r="D27" t="s">
        <v>23</v>
      </c>
      <c r="E27" t="s">
        <v>24</v>
      </c>
      <c r="F27" t="s">
        <v>25</v>
      </c>
      <c r="G27" t="s">
        <v>26</v>
      </c>
      <c r="H27">
        <v>52.59</v>
      </c>
      <c r="I27">
        <v>11</v>
      </c>
      <c r="J27">
        <v>28.924499999999998</v>
      </c>
      <c r="K27">
        <v>578.49</v>
      </c>
      <c r="L27" s="1">
        <v>43777</v>
      </c>
      <c r="M27" s="2">
        <v>0.80555555555555558</v>
      </c>
      <c r="N27" t="s">
        <v>37</v>
      </c>
      <c r="O27">
        <v>420.72</v>
      </c>
      <c r="P27">
        <v>4.7619047620000003</v>
      </c>
      <c r="Q27">
        <v>157.77000000000001</v>
      </c>
      <c r="R27">
        <v>8.5</v>
      </c>
      <c r="S27">
        <v>96.173500000000004</v>
      </c>
      <c r="T27">
        <v>16.840900000000001</v>
      </c>
    </row>
    <row r="28" spans="1:25" x14ac:dyDescent="0.3">
      <c r="A28" t="s">
        <v>90</v>
      </c>
      <c r="B28" t="s">
        <v>51</v>
      </c>
      <c r="C28" t="s">
        <v>91</v>
      </c>
      <c r="D28" t="s">
        <v>53</v>
      </c>
      <c r="E28" t="s">
        <v>32</v>
      </c>
      <c r="F28" t="s">
        <v>36</v>
      </c>
      <c r="G28" t="s">
        <v>26</v>
      </c>
      <c r="H28">
        <v>33.520000000000003</v>
      </c>
      <c r="I28">
        <v>1</v>
      </c>
      <c r="J28">
        <v>1.6759999999999999</v>
      </c>
      <c r="K28">
        <v>33.520000000000003</v>
      </c>
      <c r="L28" s="1">
        <v>43484</v>
      </c>
      <c r="M28" s="2">
        <v>0.64652777777777781</v>
      </c>
      <c r="N28" t="s">
        <v>33</v>
      </c>
      <c r="O28">
        <v>33.520000000000003</v>
      </c>
      <c r="P28">
        <v>4.7619047620000003</v>
      </c>
      <c r="Q28">
        <v>0</v>
      </c>
      <c r="R28">
        <v>8.0399999999999991</v>
      </c>
      <c r="S28">
        <v>96.089100000000002</v>
      </c>
      <c r="T28">
        <v>21.9588</v>
      </c>
    </row>
    <row r="29" spans="1:25" x14ac:dyDescent="0.3">
      <c r="A29" t="s">
        <v>92</v>
      </c>
      <c r="B29" t="s">
        <v>21</v>
      </c>
      <c r="C29" t="s">
        <v>93</v>
      </c>
      <c r="D29" t="s">
        <v>23</v>
      </c>
      <c r="E29" t="s">
        <v>32</v>
      </c>
      <c r="F29" t="s">
        <v>25</v>
      </c>
      <c r="G29" t="s">
        <v>26</v>
      </c>
      <c r="H29">
        <v>87.67</v>
      </c>
      <c r="I29">
        <v>2</v>
      </c>
      <c r="J29">
        <v>8.7669999999999995</v>
      </c>
      <c r="K29">
        <v>175.34</v>
      </c>
      <c r="L29" s="1">
        <v>43712</v>
      </c>
      <c r="M29" s="2">
        <v>0.51180555555555551</v>
      </c>
      <c r="N29" t="s">
        <v>37</v>
      </c>
      <c r="O29">
        <v>175.34</v>
      </c>
      <c r="P29">
        <v>4.7619047620000003</v>
      </c>
      <c r="Q29">
        <v>0</v>
      </c>
      <c r="R29">
        <v>7.7</v>
      </c>
      <c r="S29">
        <v>96.173500000000004</v>
      </c>
      <c r="T29">
        <v>16.840900000000001</v>
      </c>
    </row>
    <row r="30" spans="1:25" x14ac:dyDescent="0.3">
      <c r="A30" t="s">
        <v>94</v>
      </c>
      <c r="B30" t="s">
        <v>51</v>
      </c>
      <c r="C30" t="s">
        <v>95</v>
      </c>
      <c r="D30" t="s">
        <v>53</v>
      </c>
      <c r="E30" t="s">
        <v>32</v>
      </c>
      <c r="F30" t="s">
        <v>25</v>
      </c>
      <c r="G30" t="s">
        <v>26</v>
      </c>
      <c r="H30">
        <v>88.36</v>
      </c>
      <c r="I30">
        <v>7</v>
      </c>
      <c r="J30">
        <v>30.925999999999998</v>
      </c>
      <c r="K30">
        <v>618.52</v>
      </c>
      <c r="L30" s="1">
        <v>43530</v>
      </c>
      <c r="M30" s="2">
        <v>0.82499999999999996</v>
      </c>
      <c r="N30" t="s">
        <v>33</v>
      </c>
      <c r="O30">
        <v>441.8</v>
      </c>
      <c r="P30">
        <v>4.7619047620000003</v>
      </c>
      <c r="Q30">
        <v>176.72</v>
      </c>
      <c r="R30">
        <v>10</v>
      </c>
      <c r="S30">
        <v>96.089100000000002</v>
      </c>
      <c r="T30">
        <v>21.9588</v>
      </c>
    </row>
    <row r="31" spans="1:25" x14ac:dyDescent="0.3">
      <c r="A31" t="s">
        <v>96</v>
      </c>
      <c r="B31" t="s">
        <v>21</v>
      </c>
      <c r="C31" t="s">
        <v>97</v>
      </c>
      <c r="D31" t="s">
        <v>23</v>
      </c>
      <c r="E31" t="s">
        <v>32</v>
      </c>
      <c r="F31" t="s">
        <v>25</v>
      </c>
      <c r="G31" t="s">
        <v>26</v>
      </c>
      <c r="H31">
        <v>24.89</v>
      </c>
      <c r="I31">
        <v>9</v>
      </c>
      <c r="J31">
        <v>11.2005</v>
      </c>
      <c r="K31">
        <v>224.01</v>
      </c>
      <c r="L31" s="1">
        <v>43620</v>
      </c>
      <c r="M31" s="2">
        <v>0.65</v>
      </c>
      <c r="N31" t="s">
        <v>33</v>
      </c>
      <c r="O31">
        <v>224.01</v>
      </c>
      <c r="P31">
        <v>4.7619047620000003</v>
      </c>
      <c r="Q31">
        <v>0</v>
      </c>
      <c r="R31">
        <v>7.4</v>
      </c>
      <c r="S31">
        <v>96.173500000000004</v>
      </c>
      <c r="T31">
        <v>16.840900000000001</v>
      </c>
    </row>
    <row r="32" spans="1:25" x14ac:dyDescent="0.3">
      <c r="A32" t="s">
        <v>98</v>
      </c>
      <c r="B32" t="s">
        <v>51</v>
      </c>
      <c r="C32" t="s">
        <v>99</v>
      </c>
      <c r="D32" t="s">
        <v>53</v>
      </c>
      <c r="E32" t="s">
        <v>32</v>
      </c>
      <c r="F32" t="s">
        <v>25</v>
      </c>
      <c r="G32" t="s">
        <v>100</v>
      </c>
      <c r="H32">
        <v>94.13</v>
      </c>
      <c r="I32">
        <v>7</v>
      </c>
      <c r="J32">
        <v>32.945500000000003</v>
      </c>
      <c r="K32">
        <v>658.91</v>
      </c>
      <c r="L32" s="1">
        <v>43694</v>
      </c>
      <c r="M32" s="2">
        <v>0.81874999999999998</v>
      </c>
      <c r="N32" t="s">
        <v>37</v>
      </c>
      <c r="O32">
        <v>470.65</v>
      </c>
      <c r="P32">
        <v>4.7619047620000003</v>
      </c>
      <c r="Q32">
        <v>188.26</v>
      </c>
      <c r="R32">
        <v>5.76</v>
      </c>
      <c r="S32">
        <v>96.089100000000002</v>
      </c>
      <c r="T32">
        <v>21.9588</v>
      </c>
    </row>
    <row r="33" spans="1:20" x14ac:dyDescent="0.3">
      <c r="A33" t="s">
        <v>101</v>
      </c>
      <c r="B33" t="s">
        <v>51</v>
      </c>
      <c r="C33" t="s">
        <v>102</v>
      </c>
      <c r="D33" t="s">
        <v>53</v>
      </c>
      <c r="E33" t="s">
        <v>24</v>
      </c>
      <c r="F33" t="s">
        <v>25</v>
      </c>
      <c r="G33" t="s">
        <v>68</v>
      </c>
      <c r="H33">
        <v>78.069999999999993</v>
      </c>
      <c r="I33">
        <v>18</v>
      </c>
      <c r="J33">
        <v>70.263000000000005</v>
      </c>
      <c r="K33">
        <v>1405.26</v>
      </c>
      <c r="L33" s="1">
        <v>43483</v>
      </c>
      <c r="M33" s="2">
        <v>0.52986111111111112</v>
      </c>
      <c r="N33" t="s">
        <v>33</v>
      </c>
      <c r="O33">
        <v>702.63</v>
      </c>
      <c r="P33">
        <v>4.7619047620000003</v>
      </c>
      <c r="Q33">
        <v>702.63</v>
      </c>
      <c r="R33">
        <v>5.4</v>
      </c>
      <c r="S33">
        <v>96.089100000000002</v>
      </c>
      <c r="T33">
        <v>21.9588</v>
      </c>
    </row>
    <row r="34" spans="1:20" x14ac:dyDescent="0.3">
      <c r="A34" t="s">
        <v>103</v>
      </c>
      <c r="B34" t="s">
        <v>51</v>
      </c>
      <c r="C34" t="s">
        <v>104</v>
      </c>
      <c r="D34" t="s">
        <v>53</v>
      </c>
      <c r="E34" t="s">
        <v>32</v>
      </c>
      <c r="F34" t="s">
        <v>25</v>
      </c>
      <c r="G34" t="s">
        <v>68</v>
      </c>
      <c r="H34">
        <v>83.78</v>
      </c>
      <c r="I34">
        <v>11</v>
      </c>
      <c r="J34">
        <v>46.079000000000001</v>
      </c>
      <c r="K34">
        <v>921.58</v>
      </c>
      <c r="L34" s="1">
        <v>43631</v>
      </c>
      <c r="M34" s="2">
        <v>0.61736111111111114</v>
      </c>
      <c r="N34" t="s">
        <v>33</v>
      </c>
      <c r="O34">
        <v>670.24</v>
      </c>
      <c r="P34">
        <v>4.7619047620000003</v>
      </c>
      <c r="Q34">
        <v>251.34</v>
      </c>
      <c r="R34">
        <v>6.12</v>
      </c>
      <c r="S34">
        <v>96.089100000000002</v>
      </c>
      <c r="T34">
        <v>21.9588</v>
      </c>
    </row>
    <row r="35" spans="1:20" x14ac:dyDescent="0.3">
      <c r="A35" t="s">
        <v>105</v>
      </c>
      <c r="B35" t="s">
        <v>21</v>
      </c>
      <c r="C35" t="s">
        <v>85</v>
      </c>
      <c r="D35" t="s">
        <v>23</v>
      </c>
      <c r="E35" t="s">
        <v>32</v>
      </c>
      <c r="F35" t="s">
        <v>25</v>
      </c>
      <c r="G35" t="s">
        <v>26</v>
      </c>
      <c r="H35">
        <v>96.58</v>
      </c>
      <c r="I35">
        <v>2</v>
      </c>
      <c r="J35">
        <v>9.6579999999999995</v>
      </c>
      <c r="K35">
        <v>193.16</v>
      </c>
      <c r="L35" s="1">
        <v>43736</v>
      </c>
      <c r="M35" s="2">
        <v>0.42499999999999999</v>
      </c>
      <c r="N35" t="s">
        <v>37</v>
      </c>
      <c r="O35">
        <v>193.16</v>
      </c>
      <c r="P35">
        <v>4.7619047620000003</v>
      </c>
      <c r="Q35">
        <v>0</v>
      </c>
      <c r="R35">
        <v>5.0999999999999996</v>
      </c>
      <c r="S35">
        <v>96.173500000000004</v>
      </c>
      <c r="T35">
        <v>16.840900000000001</v>
      </c>
    </row>
    <row r="36" spans="1:20" x14ac:dyDescent="0.3">
      <c r="A36" t="s">
        <v>106</v>
      </c>
      <c r="B36" t="s">
        <v>29</v>
      </c>
      <c r="C36" t="s">
        <v>107</v>
      </c>
      <c r="D36" t="s">
        <v>31</v>
      </c>
      <c r="E36" t="s">
        <v>32</v>
      </c>
      <c r="F36" t="s">
        <v>25</v>
      </c>
      <c r="G36" t="s">
        <v>63</v>
      </c>
      <c r="H36">
        <v>99.42</v>
      </c>
      <c r="I36">
        <v>5</v>
      </c>
      <c r="J36">
        <f t="shared" ref="J36:J39" si="1">K36*5%</f>
        <v>24.855000000000004</v>
      </c>
      <c r="K36">
        <v>497.1</v>
      </c>
      <c r="L36" s="1">
        <v>43594</v>
      </c>
      <c r="M36" s="2">
        <v>0.44583333333333336</v>
      </c>
      <c r="N36" t="s">
        <v>27</v>
      </c>
      <c r="O36">
        <v>397.68</v>
      </c>
      <c r="P36">
        <v>4.7619047620000003</v>
      </c>
      <c r="Q36">
        <v>99.42</v>
      </c>
      <c r="R36">
        <v>7.875</v>
      </c>
      <c r="S36">
        <v>96.078500000000005</v>
      </c>
      <c r="T36">
        <v>19.763300000000001</v>
      </c>
    </row>
    <row r="37" spans="1:20" x14ac:dyDescent="0.3">
      <c r="A37" t="s">
        <v>108</v>
      </c>
      <c r="B37" t="s">
        <v>29</v>
      </c>
      <c r="C37" t="s">
        <v>109</v>
      </c>
      <c r="D37" t="s">
        <v>31</v>
      </c>
      <c r="E37" t="s">
        <v>32</v>
      </c>
      <c r="F37" t="s">
        <v>25</v>
      </c>
      <c r="G37" t="s">
        <v>68</v>
      </c>
      <c r="H37">
        <v>68.12</v>
      </c>
      <c r="I37">
        <v>1</v>
      </c>
      <c r="J37">
        <f t="shared" si="1"/>
        <v>3.4060000000000006</v>
      </c>
      <c r="K37">
        <v>68.12</v>
      </c>
      <c r="L37" s="1">
        <v>43658</v>
      </c>
      <c r="M37" s="2">
        <v>0.51944444444444449</v>
      </c>
      <c r="N37" t="s">
        <v>27</v>
      </c>
      <c r="O37">
        <v>68.12</v>
      </c>
      <c r="P37">
        <v>4.7619047620000003</v>
      </c>
      <c r="Q37">
        <v>0</v>
      </c>
      <c r="R37">
        <v>7.14</v>
      </c>
      <c r="S37">
        <v>96.078500000000005</v>
      </c>
      <c r="T37">
        <v>19.763300000000001</v>
      </c>
    </row>
    <row r="38" spans="1:20" x14ac:dyDescent="0.3">
      <c r="A38" t="s">
        <v>110</v>
      </c>
      <c r="B38" t="s">
        <v>21</v>
      </c>
      <c r="C38" t="s">
        <v>111</v>
      </c>
      <c r="D38" t="s">
        <v>23</v>
      </c>
      <c r="E38" t="s">
        <v>32</v>
      </c>
      <c r="F38" t="s">
        <v>25</v>
      </c>
      <c r="G38" t="s">
        <v>68</v>
      </c>
      <c r="H38">
        <v>62.62</v>
      </c>
      <c r="I38">
        <v>5</v>
      </c>
      <c r="J38">
        <f t="shared" si="1"/>
        <v>15.655000000000001</v>
      </c>
      <c r="K38">
        <v>313.10000000000002</v>
      </c>
      <c r="L38" s="1">
        <v>43593</v>
      </c>
      <c r="M38" s="2">
        <v>0.80208333333333337</v>
      </c>
      <c r="N38" t="s">
        <v>27</v>
      </c>
      <c r="O38">
        <v>313.10000000000002</v>
      </c>
      <c r="P38">
        <v>4.7619047620000003</v>
      </c>
      <c r="Q38">
        <v>0</v>
      </c>
      <c r="R38">
        <v>7</v>
      </c>
      <c r="S38">
        <v>96.173500000000004</v>
      </c>
      <c r="T38">
        <v>16.840900000000001</v>
      </c>
    </row>
    <row r="39" spans="1:20" x14ac:dyDescent="0.3">
      <c r="A39" t="s">
        <v>112</v>
      </c>
      <c r="B39" t="s">
        <v>21</v>
      </c>
      <c r="C39" t="s">
        <v>113</v>
      </c>
      <c r="D39" t="s">
        <v>23</v>
      </c>
      <c r="E39" t="s">
        <v>32</v>
      </c>
      <c r="F39" t="s">
        <v>25</v>
      </c>
      <c r="G39" t="s">
        <v>60</v>
      </c>
      <c r="H39">
        <v>60.88</v>
      </c>
      <c r="I39">
        <v>9</v>
      </c>
      <c r="J39">
        <f t="shared" si="1"/>
        <v>27.396000000000001</v>
      </c>
      <c r="K39">
        <v>547.91999999999996</v>
      </c>
      <c r="L39" s="1">
        <v>43725</v>
      </c>
      <c r="M39" s="2">
        <v>0.72013888888888888</v>
      </c>
      <c r="N39" t="s">
        <v>27</v>
      </c>
      <c r="O39">
        <v>547.91999999999996</v>
      </c>
      <c r="P39">
        <v>4.7619047620000003</v>
      </c>
      <c r="Q39">
        <v>0</v>
      </c>
      <c r="R39">
        <v>4.7</v>
      </c>
      <c r="S39">
        <v>96.173500000000004</v>
      </c>
      <c r="T39">
        <v>16.840900000000001</v>
      </c>
    </row>
    <row r="40" spans="1:20" x14ac:dyDescent="0.3">
      <c r="A40" t="s">
        <v>114</v>
      </c>
      <c r="B40" t="s">
        <v>29</v>
      </c>
      <c r="C40" t="s">
        <v>115</v>
      </c>
      <c r="D40" t="s">
        <v>31</v>
      </c>
      <c r="E40" t="s">
        <v>32</v>
      </c>
      <c r="F40" t="s">
        <v>25</v>
      </c>
      <c r="G40" t="s">
        <v>26</v>
      </c>
      <c r="H40">
        <v>54.92</v>
      </c>
      <c r="I40">
        <v>10</v>
      </c>
      <c r="J40">
        <v>27.46</v>
      </c>
      <c r="K40">
        <v>549.20000000000005</v>
      </c>
      <c r="L40" s="1">
        <v>43765</v>
      </c>
      <c r="M40" s="2">
        <v>0.55833333333333335</v>
      </c>
      <c r="N40" t="s">
        <v>27</v>
      </c>
      <c r="O40">
        <v>439.36</v>
      </c>
      <c r="P40">
        <v>4.7619047620000003</v>
      </c>
      <c r="Q40">
        <v>109.84</v>
      </c>
      <c r="R40">
        <v>7.98</v>
      </c>
      <c r="S40">
        <v>96.078500000000005</v>
      </c>
      <c r="T40">
        <v>19.763300000000001</v>
      </c>
    </row>
    <row r="41" spans="1:20" x14ac:dyDescent="0.3">
      <c r="A41" t="s">
        <v>116</v>
      </c>
      <c r="B41" t="s">
        <v>51</v>
      </c>
      <c r="C41" t="s">
        <v>117</v>
      </c>
      <c r="D41" t="s">
        <v>53</v>
      </c>
      <c r="E41" t="s">
        <v>32</v>
      </c>
      <c r="F41" t="s">
        <v>25</v>
      </c>
      <c r="G41" t="s">
        <v>77</v>
      </c>
      <c r="H41">
        <v>30.12</v>
      </c>
      <c r="I41">
        <v>11</v>
      </c>
      <c r="J41">
        <v>16.565999999999999</v>
      </c>
      <c r="K41">
        <v>331.32</v>
      </c>
      <c r="L41" s="1">
        <v>43752</v>
      </c>
      <c r="M41" s="2">
        <v>0.54236111111111107</v>
      </c>
      <c r="N41" t="s">
        <v>33</v>
      </c>
      <c r="O41">
        <v>240.96</v>
      </c>
      <c r="P41">
        <v>4.7619047620000003</v>
      </c>
      <c r="Q41">
        <v>90.36</v>
      </c>
      <c r="R41">
        <v>9.24</v>
      </c>
      <c r="S41">
        <v>96.089100000000002</v>
      </c>
      <c r="T41">
        <v>21.9588</v>
      </c>
    </row>
    <row r="42" spans="1:20" x14ac:dyDescent="0.3">
      <c r="A42" t="s">
        <v>118</v>
      </c>
      <c r="B42" t="s">
        <v>51</v>
      </c>
      <c r="C42" t="s">
        <v>119</v>
      </c>
      <c r="D42" t="s">
        <v>53</v>
      </c>
      <c r="E42" t="s">
        <v>32</v>
      </c>
      <c r="F42" t="s">
        <v>25</v>
      </c>
      <c r="G42" t="s">
        <v>77</v>
      </c>
      <c r="H42">
        <v>86.72</v>
      </c>
      <c r="I42">
        <v>1</v>
      </c>
      <c r="J42">
        <v>4.3360000000000003</v>
      </c>
      <c r="K42">
        <v>86.72</v>
      </c>
      <c r="L42" s="1">
        <v>43504</v>
      </c>
      <c r="M42" s="2">
        <v>0.78125</v>
      </c>
      <c r="N42" t="s">
        <v>27</v>
      </c>
      <c r="O42">
        <v>86.72</v>
      </c>
      <c r="P42">
        <v>4.7619047620000003</v>
      </c>
      <c r="Q42">
        <v>0</v>
      </c>
      <c r="R42">
        <v>9.48</v>
      </c>
      <c r="S42">
        <v>96.089100000000002</v>
      </c>
      <c r="T42">
        <v>21.9588</v>
      </c>
    </row>
    <row r="43" spans="1:20" x14ac:dyDescent="0.3">
      <c r="A43" t="s">
        <v>120</v>
      </c>
      <c r="B43" t="s">
        <v>29</v>
      </c>
      <c r="C43" t="s">
        <v>121</v>
      </c>
      <c r="D43" t="s">
        <v>31</v>
      </c>
      <c r="E43" t="s">
        <v>32</v>
      </c>
      <c r="F43" t="s">
        <v>36</v>
      </c>
      <c r="G43" t="s">
        <v>77</v>
      </c>
      <c r="H43">
        <v>56.11</v>
      </c>
      <c r="I43">
        <v>2</v>
      </c>
      <c r="J43">
        <v>5.6109999999999998</v>
      </c>
      <c r="K43">
        <v>112.22</v>
      </c>
      <c r="L43" s="1">
        <v>43708</v>
      </c>
      <c r="M43" s="2">
        <v>0.42430555555555555</v>
      </c>
      <c r="N43" t="s">
        <v>33</v>
      </c>
      <c r="O43">
        <v>112.22</v>
      </c>
      <c r="P43">
        <v>4.7619047620000003</v>
      </c>
      <c r="Q43">
        <v>0</v>
      </c>
      <c r="R43">
        <v>6.6150000000000002</v>
      </c>
      <c r="S43">
        <v>96.078500000000005</v>
      </c>
      <c r="T43">
        <v>19.763300000000001</v>
      </c>
    </row>
    <row r="44" spans="1:20" x14ac:dyDescent="0.3">
      <c r="A44" t="s">
        <v>122</v>
      </c>
      <c r="B44" t="s">
        <v>51</v>
      </c>
      <c r="C44" t="s">
        <v>123</v>
      </c>
      <c r="D44" t="s">
        <v>53</v>
      </c>
      <c r="E44" t="s">
        <v>32</v>
      </c>
      <c r="F44" t="s">
        <v>25</v>
      </c>
      <c r="G44" t="s">
        <v>68</v>
      </c>
      <c r="H44">
        <v>69.12</v>
      </c>
      <c r="I44">
        <v>8</v>
      </c>
      <c r="J44">
        <v>27.648</v>
      </c>
      <c r="K44">
        <v>552.96</v>
      </c>
      <c r="L44" s="1">
        <v>43583</v>
      </c>
      <c r="M44" s="2">
        <v>0.54374999999999996</v>
      </c>
      <c r="N44" t="s">
        <v>33</v>
      </c>
      <c r="O44">
        <v>414.72</v>
      </c>
      <c r="P44">
        <v>4.7619047620000003</v>
      </c>
      <c r="Q44">
        <v>138.24</v>
      </c>
      <c r="R44">
        <v>6.72</v>
      </c>
      <c r="S44">
        <v>96.089100000000002</v>
      </c>
      <c r="T44">
        <v>21.9588</v>
      </c>
    </row>
    <row r="45" spans="1:20" x14ac:dyDescent="0.3">
      <c r="A45" t="s">
        <v>124</v>
      </c>
      <c r="B45" t="s">
        <v>29</v>
      </c>
      <c r="C45" t="s">
        <v>125</v>
      </c>
      <c r="D45" t="s">
        <v>31</v>
      </c>
      <c r="E45" t="s">
        <v>32</v>
      </c>
      <c r="F45" t="s">
        <v>25</v>
      </c>
      <c r="G45" t="s">
        <v>63</v>
      </c>
      <c r="H45">
        <v>98.7</v>
      </c>
      <c r="I45">
        <v>10</v>
      </c>
      <c r="J45">
        <v>49.35</v>
      </c>
      <c r="K45">
        <v>987</v>
      </c>
      <c r="L45" s="1">
        <v>43518</v>
      </c>
      <c r="M45" s="2">
        <v>0.86041666666666672</v>
      </c>
      <c r="N45" t="s">
        <v>33</v>
      </c>
      <c r="O45">
        <v>789.6</v>
      </c>
      <c r="P45">
        <v>4.7619047620000003</v>
      </c>
      <c r="Q45">
        <v>197.4</v>
      </c>
      <c r="R45">
        <v>7.98</v>
      </c>
      <c r="S45">
        <v>96.078500000000005</v>
      </c>
      <c r="T45">
        <v>19.763300000000001</v>
      </c>
    </row>
    <row r="46" spans="1:20" x14ac:dyDescent="0.3">
      <c r="A46" t="s">
        <v>126</v>
      </c>
      <c r="B46" t="s">
        <v>29</v>
      </c>
      <c r="C46" t="s">
        <v>127</v>
      </c>
      <c r="D46" t="s">
        <v>31</v>
      </c>
      <c r="E46" t="s">
        <v>32</v>
      </c>
      <c r="F46" t="s">
        <v>36</v>
      </c>
      <c r="G46" t="s">
        <v>26</v>
      </c>
      <c r="H46">
        <v>15.37</v>
      </c>
      <c r="I46">
        <v>2</v>
      </c>
      <c r="J46">
        <v>1.5369999999999999</v>
      </c>
      <c r="K46">
        <v>30.74</v>
      </c>
      <c r="L46" s="1">
        <v>43745</v>
      </c>
      <c r="M46" s="2">
        <v>0.82430555555555551</v>
      </c>
      <c r="N46" t="s">
        <v>33</v>
      </c>
      <c r="O46">
        <v>30.74</v>
      </c>
      <c r="P46">
        <v>4.7619047620000003</v>
      </c>
      <c r="Q46">
        <v>0</v>
      </c>
      <c r="R46">
        <v>7.56</v>
      </c>
      <c r="S46">
        <v>96.078500000000005</v>
      </c>
      <c r="T46">
        <v>19.763300000000001</v>
      </c>
    </row>
    <row r="47" spans="1:20" x14ac:dyDescent="0.3">
      <c r="A47" t="s">
        <v>128</v>
      </c>
      <c r="B47" t="s">
        <v>51</v>
      </c>
      <c r="C47" t="s">
        <v>129</v>
      </c>
      <c r="D47" t="s">
        <v>53</v>
      </c>
      <c r="E47" t="s">
        <v>32</v>
      </c>
      <c r="F47" t="s">
        <v>25</v>
      </c>
      <c r="G47" t="s">
        <v>26</v>
      </c>
      <c r="H47">
        <v>93.96</v>
      </c>
      <c r="I47">
        <v>6</v>
      </c>
      <c r="J47">
        <v>28.187999999999999</v>
      </c>
      <c r="K47">
        <v>563.76</v>
      </c>
      <c r="L47" s="1">
        <v>43476</v>
      </c>
      <c r="M47" s="2">
        <v>0.75</v>
      </c>
      <c r="N47" t="s">
        <v>33</v>
      </c>
      <c r="O47">
        <v>375.84</v>
      </c>
      <c r="P47">
        <v>4.7619047620000003</v>
      </c>
      <c r="Q47">
        <v>187.92</v>
      </c>
      <c r="R47">
        <v>10</v>
      </c>
      <c r="S47">
        <v>96.089100000000002</v>
      </c>
      <c r="T47">
        <v>21.9588</v>
      </c>
    </row>
    <row r="48" spans="1:20" x14ac:dyDescent="0.3">
      <c r="A48" t="s">
        <v>130</v>
      </c>
      <c r="B48" t="s">
        <v>51</v>
      </c>
      <c r="C48" t="s">
        <v>119</v>
      </c>
      <c r="D48" t="s">
        <v>53</v>
      </c>
      <c r="E48" t="s">
        <v>32</v>
      </c>
      <c r="F48" t="s">
        <v>36</v>
      </c>
      <c r="G48" t="s">
        <v>26</v>
      </c>
      <c r="H48">
        <v>56.69</v>
      </c>
      <c r="I48">
        <v>13</v>
      </c>
      <c r="J48">
        <v>36.848500000000001</v>
      </c>
      <c r="K48">
        <v>736.97</v>
      </c>
      <c r="L48" s="1">
        <v>43521</v>
      </c>
      <c r="M48" s="2">
        <v>0.72499999999999998</v>
      </c>
      <c r="N48" t="s">
        <v>37</v>
      </c>
      <c r="O48">
        <v>510.21</v>
      </c>
      <c r="P48">
        <v>4.7619047620000003</v>
      </c>
      <c r="Q48">
        <v>226.76</v>
      </c>
      <c r="R48">
        <v>10</v>
      </c>
      <c r="S48">
        <v>96.089100000000002</v>
      </c>
      <c r="T48">
        <v>21.9588</v>
      </c>
    </row>
    <row r="49" spans="1:25" x14ac:dyDescent="0.3">
      <c r="A49" t="s">
        <v>131</v>
      </c>
      <c r="B49" t="s">
        <v>51</v>
      </c>
      <c r="C49" t="s">
        <v>132</v>
      </c>
      <c r="D49" t="s">
        <v>53</v>
      </c>
      <c r="E49" t="s">
        <v>32</v>
      </c>
      <c r="F49" t="s">
        <v>25</v>
      </c>
      <c r="G49" t="s">
        <v>26</v>
      </c>
      <c r="H49">
        <v>20.010000000000002</v>
      </c>
      <c r="I49">
        <v>13</v>
      </c>
      <c r="J49">
        <v>13.006500000000001</v>
      </c>
      <c r="K49">
        <v>260.13</v>
      </c>
      <c r="L49" s="1">
        <v>43503</v>
      </c>
      <c r="M49" s="2">
        <v>0.65763888888888888</v>
      </c>
      <c r="N49" t="s">
        <v>27</v>
      </c>
      <c r="O49">
        <v>180.09</v>
      </c>
      <c r="P49">
        <v>4.7619047620000003</v>
      </c>
      <c r="Q49">
        <v>80.040000000000006</v>
      </c>
      <c r="R49">
        <v>4.92</v>
      </c>
      <c r="S49">
        <v>96.089100000000002</v>
      </c>
      <c r="T49">
        <v>21.9588</v>
      </c>
    </row>
    <row r="50" spans="1:25" x14ac:dyDescent="0.3">
      <c r="A50" t="s">
        <v>133</v>
      </c>
      <c r="B50" t="s">
        <v>51</v>
      </c>
      <c r="C50" t="s">
        <v>134</v>
      </c>
      <c r="D50" t="s">
        <v>53</v>
      </c>
      <c r="E50" t="s">
        <v>32</v>
      </c>
      <c r="F50" t="s">
        <v>36</v>
      </c>
      <c r="G50" t="s">
        <v>26</v>
      </c>
      <c r="H50">
        <v>18.93</v>
      </c>
      <c r="I50">
        <v>8</v>
      </c>
      <c r="J50">
        <v>7.5720000000000001</v>
      </c>
      <c r="K50">
        <v>151.44</v>
      </c>
      <c r="L50" s="1">
        <v>43754</v>
      </c>
      <c r="M50" s="2">
        <v>0.53125</v>
      </c>
      <c r="N50" t="s">
        <v>37</v>
      </c>
      <c r="O50">
        <v>113.58</v>
      </c>
      <c r="P50">
        <v>4.7619047620000003</v>
      </c>
      <c r="Q50">
        <v>37.86</v>
      </c>
      <c r="R50">
        <v>9.7200000000000006</v>
      </c>
      <c r="S50">
        <v>96.089100000000002</v>
      </c>
      <c r="T50">
        <v>21.9588</v>
      </c>
    </row>
    <row r="51" spans="1:25" x14ac:dyDescent="0.3">
      <c r="A51" t="s">
        <v>135</v>
      </c>
      <c r="B51" t="s">
        <v>29</v>
      </c>
      <c r="C51" t="s">
        <v>136</v>
      </c>
      <c r="D51" t="s">
        <v>31</v>
      </c>
      <c r="E51" t="s">
        <v>32</v>
      </c>
      <c r="F51" t="s">
        <v>25</v>
      </c>
      <c r="G51" t="s">
        <v>26</v>
      </c>
      <c r="H51">
        <v>82.63</v>
      </c>
      <c r="I51">
        <v>12</v>
      </c>
      <c r="J51">
        <v>49.578000000000003</v>
      </c>
      <c r="K51">
        <v>991.56</v>
      </c>
      <c r="L51" s="1">
        <v>43619</v>
      </c>
      <c r="M51" s="2">
        <v>0.71388888888888891</v>
      </c>
      <c r="N51" t="s">
        <v>27</v>
      </c>
      <c r="O51">
        <v>826.3</v>
      </c>
      <c r="P51">
        <v>4.7619047620000003</v>
      </c>
      <c r="Q51">
        <v>165.26</v>
      </c>
      <c r="R51">
        <v>8.2949999999999999</v>
      </c>
      <c r="S51">
        <v>96.078500000000005</v>
      </c>
      <c r="T51">
        <v>19.763300000000001</v>
      </c>
    </row>
    <row r="52" spans="1:25" x14ac:dyDescent="0.3">
      <c r="A52" t="s">
        <v>137</v>
      </c>
      <c r="B52" t="s">
        <v>29</v>
      </c>
      <c r="C52" t="s">
        <v>138</v>
      </c>
      <c r="D52" t="s">
        <v>31</v>
      </c>
      <c r="E52" t="s">
        <v>32</v>
      </c>
      <c r="F52" t="s">
        <v>36</v>
      </c>
      <c r="G52" t="s">
        <v>63</v>
      </c>
      <c r="H52">
        <v>91.4</v>
      </c>
      <c r="I52">
        <v>8</v>
      </c>
      <c r="J52">
        <v>36.56</v>
      </c>
      <c r="K52">
        <v>731.2</v>
      </c>
      <c r="L52" s="1">
        <v>43559</v>
      </c>
      <c r="M52" s="2">
        <v>0.42986111111111114</v>
      </c>
      <c r="N52" t="s">
        <v>33</v>
      </c>
      <c r="O52">
        <v>639.79999999999995</v>
      </c>
      <c r="P52">
        <v>4.7619047620000003</v>
      </c>
      <c r="Q52">
        <v>91.4</v>
      </c>
      <c r="R52">
        <v>9.9749999999999996</v>
      </c>
      <c r="S52">
        <v>96.078500000000005</v>
      </c>
      <c r="T52">
        <v>19.763300000000001</v>
      </c>
    </row>
    <row r="53" spans="1:25" x14ac:dyDescent="0.3">
      <c r="A53" t="s">
        <v>139</v>
      </c>
      <c r="B53" t="s">
        <v>21</v>
      </c>
      <c r="C53" t="s">
        <v>93</v>
      </c>
      <c r="D53" t="s">
        <v>23</v>
      </c>
      <c r="E53" t="s">
        <v>32</v>
      </c>
      <c r="F53" t="s">
        <v>25</v>
      </c>
      <c r="G53" t="s">
        <v>63</v>
      </c>
      <c r="H53">
        <v>44.59</v>
      </c>
      <c r="I53">
        <v>5</v>
      </c>
      <c r="J53">
        <v>11.147500000000001</v>
      </c>
      <c r="K53">
        <v>222.95</v>
      </c>
      <c r="L53" s="1">
        <v>43736</v>
      </c>
      <c r="M53" s="2">
        <v>0.63194444444444442</v>
      </c>
      <c r="N53" t="s">
        <v>33</v>
      </c>
      <c r="O53">
        <v>222.95</v>
      </c>
      <c r="P53">
        <v>4.7619047620000003</v>
      </c>
      <c r="Q53">
        <v>0</v>
      </c>
      <c r="R53">
        <v>8.5</v>
      </c>
      <c r="S53">
        <v>96.173500000000004</v>
      </c>
      <c r="T53">
        <v>16.840900000000001</v>
      </c>
    </row>
    <row r="54" spans="1:25" x14ac:dyDescent="0.3">
      <c r="A54" t="s">
        <v>140</v>
      </c>
      <c r="B54" t="s">
        <v>51</v>
      </c>
      <c r="C54" t="s">
        <v>141</v>
      </c>
      <c r="D54" t="s">
        <v>53</v>
      </c>
      <c r="E54" t="s">
        <v>32</v>
      </c>
      <c r="F54" t="s">
        <v>25</v>
      </c>
      <c r="G54" t="s">
        <v>100</v>
      </c>
      <c r="H54">
        <v>17.87</v>
      </c>
      <c r="I54">
        <v>6</v>
      </c>
      <c r="J54">
        <v>5.3609999999999998</v>
      </c>
      <c r="K54">
        <v>107.22</v>
      </c>
      <c r="L54" s="1">
        <v>43829</v>
      </c>
      <c r="M54" s="2">
        <v>0.61250000000000004</v>
      </c>
      <c r="N54" t="s">
        <v>27</v>
      </c>
      <c r="O54">
        <v>71.48</v>
      </c>
      <c r="P54">
        <v>4.7619047620000003</v>
      </c>
      <c r="Q54">
        <v>35.74</v>
      </c>
      <c r="R54">
        <v>7.8</v>
      </c>
      <c r="S54">
        <v>96.089100000000002</v>
      </c>
      <c r="T54">
        <v>21.9588</v>
      </c>
    </row>
    <row r="55" spans="1:25" x14ac:dyDescent="0.3">
      <c r="A55" t="s">
        <v>142</v>
      </c>
      <c r="B55" t="s">
        <v>29</v>
      </c>
      <c r="C55" t="s">
        <v>143</v>
      </c>
      <c r="D55" t="s">
        <v>31</v>
      </c>
      <c r="E55" t="s">
        <v>32</v>
      </c>
      <c r="F55" t="s">
        <v>36</v>
      </c>
      <c r="G55" t="s">
        <v>100</v>
      </c>
      <c r="H55">
        <v>15.43</v>
      </c>
      <c r="I55">
        <v>1</v>
      </c>
      <c r="J55">
        <v>0.77149999999999996</v>
      </c>
      <c r="K55">
        <v>15.43</v>
      </c>
      <c r="L55" s="1">
        <v>43723</v>
      </c>
      <c r="M55" s="2">
        <v>0.65694444444444444</v>
      </c>
      <c r="N55" t="s">
        <v>37</v>
      </c>
      <c r="O55">
        <v>15.43</v>
      </c>
      <c r="P55">
        <v>4.7619047620000003</v>
      </c>
      <c r="Q55">
        <v>0</v>
      </c>
      <c r="R55">
        <v>6.4050000000000002</v>
      </c>
      <c r="S55">
        <v>96.078500000000005</v>
      </c>
      <c r="T55">
        <v>19.763300000000001</v>
      </c>
    </row>
    <row r="56" spans="1:25" x14ac:dyDescent="0.3">
      <c r="A56" t="s">
        <v>144</v>
      </c>
      <c r="B56" t="s">
        <v>51</v>
      </c>
      <c r="C56" t="s">
        <v>145</v>
      </c>
      <c r="D56" t="s">
        <v>53</v>
      </c>
      <c r="E56" t="s">
        <v>32</v>
      </c>
      <c r="F56" t="s">
        <v>36</v>
      </c>
      <c r="G56" t="s">
        <v>77</v>
      </c>
      <c r="H56">
        <v>16.16</v>
      </c>
      <c r="I56">
        <v>3</v>
      </c>
      <c r="J56">
        <v>2.4239999999999999</v>
      </c>
      <c r="K56">
        <v>48.48</v>
      </c>
      <c r="L56" s="1">
        <v>43585</v>
      </c>
      <c r="M56" s="2">
        <v>0.49236111111111114</v>
      </c>
      <c r="N56" t="s">
        <v>27</v>
      </c>
      <c r="O56">
        <v>32.32</v>
      </c>
      <c r="P56">
        <v>4.7619047620000003</v>
      </c>
      <c r="Q56">
        <v>16.16</v>
      </c>
      <c r="R56">
        <v>7.8</v>
      </c>
      <c r="S56">
        <v>96.089100000000002</v>
      </c>
      <c r="T56">
        <v>21.9588</v>
      </c>
    </row>
    <row r="57" spans="1:25" x14ac:dyDescent="0.3">
      <c r="A57" t="s">
        <v>146</v>
      </c>
      <c r="B57" t="s">
        <v>29</v>
      </c>
      <c r="C57" t="s">
        <v>147</v>
      </c>
      <c r="D57" t="s">
        <v>31</v>
      </c>
      <c r="E57" t="s">
        <v>32</v>
      </c>
      <c r="F57" t="s">
        <v>25</v>
      </c>
      <c r="G57" t="s">
        <v>60</v>
      </c>
      <c r="H57">
        <v>85.98</v>
      </c>
      <c r="I57">
        <v>10</v>
      </c>
      <c r="J57">
        <v>42.99</v>
      </c>
      <c r="K57">
        <v>859.8</v>
      </c>
      <c r="L57" s="1">
        <v>43515</v>
      </c>
      <c r="M57" s="2">
        <v>0.79236111111111107</v>
      </c>
      <c r="N57" t="s">
        <v>33</v>
      </c>
      <c r="O57">
        <v>687.84</v>
      </c>
      <c r="P57">
        <v>4.7619047620000003</v>
      </c>
      <c r="Q57">
        <v>171.96</v>
      </c>
      <c r="R57">
        <v>8.61</v>
      </c>
      <c r="S57">
        <v>96.078500000000005</v>
      </c>
      <c r="T57">
        <v>19.763300000000001</v>
      </c>
    </row>
    <row r="58" spans="1:25" x14ac:dyDescent="0.3">
      <c r="A58" t="s">
        <v>148</v>
      </c>
      <c r="B58" t="s">
        <v>21</v>
      </c>
      <c r="C58" t="s">
        <v>111</v>
      </c>
      <c r="D58" t="s">
        <v>23</v>
      </c>
      <c r="E58" t="s">
        <v>32</v>
      </c>
      <c r="F58" t="s">
        <v>36</v>
      </c>
      <c r="G58" t="s">
        <v>77</v>
      </c>
      <c r="H58">
        <v>44.34</v>
      </c>
      <c r="I58">
        <v>2</v>
      </c>
      <c r="J58">
        <v>4.4340000000000002</v>
      </c>
      <c r="K58">
        <v>88.68</v>
      </c>
      <c r="L58" s="1">
        <v>43479</v>
      </c>
      <c r="M58" s="2">
        <v>0.47638888888888886</v>
      </c>
      <c r="N58" t="s">
        <v>27</v>
      </c>
      <c r="O58">
        <v>88.68</v>
      </c>
      <c r="P58">
        <v>4.7619047620000003</v>
      </c>
      <c r="Q58">
        <v>0</v>
      </c>
      <c r="R58">
        <v>7.46</v>
      </c>
      <c r="S58">
        <v>96.173500000000004</v>
      </c>
      <c r="T58">
        <v>16.840900000000001</v>
      </c>
    </row>
    <row r="59" spans="1:25" x14ac:dyDescent="0.3">
      <c r="A59" t="s">
        <v>149</v>
      </c>
      <c r="B59" t="s">
        <v>21</v>
      </c>
      <c r="C59" t="s">
        <v>150</v>
      </c>
      <c r="D59" t="s">
        <v>23</v>
      </c>
      <c r="E59" t="s">
        <v>32</v>
      </c>
      <c r="F59" t="s">
        <v>36</v>
      </c>
      <c r="G59" t="s">
        <v>26</v>
      </c>
      <c r="H59">
        <v>89.6</v>
      </c>
      <c r="I59">
        <v>8</v>
      </c>
      <c r="J59">
        <v>35.840000000000003</v>
      </c>
      <c r="K59">
        <v>716.8</v>
      </c>
      <c r="L59" s="1">
        <v>43645</v>
      </c>
      <c r="M59" s="2">
        <v>0.4777777777777778</v>
      </c>
      <c r="N59" t="s">
        <v>27</v>
      </c>
      <c r="O59">
        <v>716.8</v>
      </c>
      <c r="P59">
        <v>4.7619047620000003</v>
      </c>
      <c r="Q59">
        <v>0</v>
      </c>
      <c r="R59">
        <v>7.46</v>
      </c>
      <c r="S59">
        <v>96.173500000000004</v>
      </c>
      <c r="T59">
        <v>16.840900000000001</v>
      </c>
    </row>
    <row r="60" spans="1:25" x14ac:dyDescent="0.3">
      <c r="A60" t="s">
        <v>151</v>
      </c>
      <c r="B60" t="s">
        <v>21</v>
      </c>
      <c r="C60" t="s">
        <v>152</v>
      </c>
      <c r="D60" t="s">
        <v>23</v>
      </c>
      <c r="E60" t="s">
        <v>24</v>
      </c>
      <c r="F60" t="s">
        <v>25</v>
      </c>
      <c r="G60" t="s">
        <v>77</v>
      </c>
      <c r="H60">
        <v>72.349999999999994</v>
      </c>
      <c r="I60">
        <v>14</v>
      </c>
      <c r="J60">
        <v>50.645000000000003</v>
      </c>
      <c r="K60">
        <v>1012.9</v>
      </c>
      <c r="L60" s="1">
        <v>43493</v>
      </c>
      <c r="M60" s="2">
        <v>0.66319444444444442</v>
      </c>
      <c r="N60" t="s">
        <v>27</v>
      </c>
      <c r="O60">
        <v>723.5</v>
      </c>
      <c r="P60">
        <v>4.7619047620000003</v>
      </c>
      <c r="Q60">
        <v>289.39999999999998</v>
      </c>
      <c r="R60">
        <v>7.46</v>
      </c>
      <c r="S60">
        <v>96.173500000000004</v>
      </c>
      <c r="T60">
        <v>16.840900000000001</v>
      </c>
    </row>
    <row r="61" spans="1:25" x14ac:dyDescent="0.3">
      <c r="A61" t="s">
        <v>153</v>
      </c>
      <c r="B61" t="s">
        <v>29</v>
      </c>
      <c r="C61" t="s">
        <v>154</v>
      </c>
      <c r="D61" t="s">
        <v>31</v>
      </c>
      <c r="E61" t="s">
        <v>32</v>
      </c>
      <c r="F61" t="s">
        <v>36</v>
      </c>
      <c r="G61" t="s">
        <v>60</v>
      </c>
      <c r="H61">
        <v>30.61</v>
      </c>
      <c r="I61">
        <v>7</v>
      </c>
      <c r="J61">
        <v>10.7135</v>
      </c>
      <c r="K61">
        <v>214.27</v>
      </c>
      <c r="L61" s="1">
        <v>43592</v>
      </c>
      <c r="M61" s="2">
        <v>0.85833333333333328</v>
      </c>
      <c r="N61" t="s">
        <v>27</v>
      </c>
      <c r="O61">
        <v>183.66</v>
      </c>
      <c r="P61">
        <v>4.7619047620000003</v>
      </c>
      <c r="Q61">
        <v>30.61</v>
      </c>
      <c r="R61">
        <v>7.46</v>
      </c>
      <c r="S61">
        <v>96.078500000000005</v>
      </c>
      <c r="T61">
        <v>19.763300000000001</v>
      </c>
    </row>
    <row r="62" spans="1:25" x14ac:dyDescent="0.3">
      <c r="A62" t="s">
        <v>155</v>
      </c>
      <c r="B62" t="s">
        <v>29</v>
      </c>
      <c r="C62" t="s">
        <v>156</v>
      </c>
      <c r="D62" t="s">
        <v>31</v>
      </c>
      <c r="E62" t="s">
        <v>32</v>
      </c>
      <c r="F62" t="s">
        <v>25</v>
      </c>
      <c r="G62" t="s">
        <v>68</v>
      </c>
      <c r="H62">
        <v>24.74</v>
      </c>
      <c r="I62">
        <v>4</v>
      </c>
      <c r="J62">
        <v>4.9480000000000004</v>
      </c>
      <c r="K62">
        <v>98.96</v>
      </c>
      <c r="L62" s="1">
        <v>43788</v>
      </c>
      <c r="M62" s="2">
        <v>0.74097222222222225</v>
      </c>
      <c r="N62" t="s">
        <v>27</v>
      </c>
      <c r="O62">
        <v>74.22</v>
      </c>
      <c r="P62">
        <v>4.7619047620000003</v>
      </c>
      <c r="Q62">
        <v>24.74</v>
      </c>
      <c r="R62">
        <v>7.46</v>
      </c>
      <c r="S62">
        <v>96.078500000000005</v>
      </c>
      <c r="T62">
        <v>19.763300000000001</v>
      </c>
      <c r="Y62" s="11"/>
    </row>
    <row r="63" spans="1:25" x14ac:dyDescent="0.3">
      <c r="A63" t="s">
        <v>157</v>
      </c>
      <c r="B63" t="s">
        <v>29</v>
      </c>
      <c r="C63" t="s">
        <v>158</v>
      </c>
      <c r="D63" t="s">
        <v>31</v>
      </c>
      <c r="E63" t="s">
        <v>32</v>
      </c>
      <c r="F63" t="s">
        <v>36</v>
      </c>
      <c r="G63" t="s">
        <v>77</v>
      </c>
      <c r="H63">
        <v>55.73</v>
      </c>
      <c r="I63">
        <v>7</v>
      </c>
      <c r="J63">
        <f>K63*5%</f>
        <v>19.505500000000001</v>
      </c>
      <c r="K63">
        <v>390.11</v>
      </c>
      <c r="L63" s="1">
        <v>43733</v>
      </c>
      <c r="M63" s="2">
        <v>0.4548611111111111</v>
      </c>
      <c r="N63" t="s">
        <v>27</v>
      </c>
      <c r="O63">
        <v>334.38</v>
      </c>
      <c r="P63">
        <v>4.7619047620000003</v>
      </c>
      <c r="Q63">
        <v>55.73</v>
      </c>
      <c r="R63">
        <v>7.46</v>
      </c>
      <c r="S63">
        <v>96.078500000000005</v>
      </c>
      <c r="T63">
        <v>19.763300000000001</v>
      </c>
    </row>
    <row r="64" spans="1:25" x14ac:dyDescent="0.3">
      <c r="A64" t="s">
        <v>159</v>
      </c>
      <c r="B64" t="s">
        <v>51</v>
      </c>
      <c r="C64" t="s">
        <v>119</v>
      </c>
      <c r="D64" t="s">
        <v>53</v>
      </c>
      <c r="E64" t="s">
        <v>32</v>
      </c>
      <c r="F64" t="s">
        <v>25</v>
      </c>
      <c r="G64" t="s">
        <v>68</v>
      </c>
      <c r="H64">
        <v>55.07</v>
      </c>
      <c r="I64">
        <v>13</v>
      </c>
      <c r="J64">
        <v>35.795499999999997</v>
      </c>
      <c r="K64">
        <v>715.91</v>
      </c>
      <c r="L64" s="1">
        <v>43808</v>
      </c>
      <c r="M64" s="2">
        <v>0.56944444444444442</v>
      </c>
      <c r="N64" t="s">
        <v>27</v>
      </c>
      <c r="O64">
        <v>495.63</v>
      </c>
      <c r="P64">
        <v>4.7619047620000003</v>
      </c>
      <c r="Q64">
        <v>220.28</v>
      </c>
      <c r="R64">
        <v>7.46</v>
      </c>
      <c r="S64">
        <v>96.089100000000002</v>
      </c>
      <c r="T64">
        <v>21.9588</v>
      </c>
    </row>
    <row r="65" spans="1:20" x14ac:dyDescent="0.3">
      <c r="A65" t="s">
        <v>160</v>
      </c>
      <c r="B65" t="s">
        <v>21</v>
      </c>
      <c r="C65" t="s">
        <v>161</v>
      </c>
      <c r="D65" t="s">
        <v>23</v>
      </c>
      <c r="E65" t="s">
        <v>32</v>
      </c>
      <c r="F65" t="s">
        <v>36</v>
      </c>
      <c r="G65" t="s">
        <v>68</v>
      </c>
      <c r="H65">
        <v>15.81</v>
      </c>
      <c r="I65">
        <v>10</v>
      </c>
      <c r="J65">
        <v>7.9050000000000002</v>
      </c>
      <c r="K65">
        <v>158.1</v>
      </c>
      <c r="L65" s="1">
        <v>43546</v>
      </c>
      <c r="M65" s="2">
        <v>0.51875000000000004</v>
      </c>
      <c r="N65" t="s">
        <v>27</v>
      </c>
      <c r="O65">
        <v>158.1</v>
      </c>
      <c r="P65">
        <v>4.7619047620000003</v>
      </c>
      <c r="Q65">
        <v>0</v>
      </c>
      <c r="R65">
        <v>7.46</v>
      </c>
      <c r="S65">
        <v>96.173500000000004</v>
      </c>
      <c r="T65">
        <v>16.840900000000001</v>
      </c>
    </row>
    <row r="66" spans="1:20" x14ac:dyDescent="0.3">
      <c r="A66" t="s">
        <v>162</v>
      </c>
      <c r="B66" t="s">
        <v>51</v>
      </c>
      <c r="C66" t="s">
        <v>81</v>
      </c>
      <c r="D66" t="s">
        <v>53</v>
      </c>
      <c r="E66" t="s">
        <v>32</v>
      </c>
      <c r="F66" t="s">
        <v>36</v>
      </c>
      <c r="G66" t="s">
        <v>26</v>
      </c>
      <c r="H66">
        <v>75.739999999999995</v>
      </c>
      <c r="I66">
        <v>6</v>
      </c>
      <c r="J66">
        <v>22.722000000000001</v>
      </c>
      <c r="K66">
        <v>454.44</v>
      </c>
      <c r="L66" s="1">
        <v>43742</v>
      </c>
      <c r="M66" s="2">
        <v>0.60763888888888884</v>
      </c>
      <c r="N66" t="s">
        <v>27</v>
      </c>
      <c r="O66">
        <v>302.95999999999998</v>
      </c>
      <c r="P66">
        <v>4.7619047620000003</v>
      </c>
      <c r="Q66">
        <v>151.47999999999999</v>
      </c>
      <c r="R66">
        <v>7.46</v>
      </c>
      <c r="S66">
        <v>96.089100000000002</v>
      </c>
      <c r="T66">
        <v>21.9588</v>
      </c>
    </row>
    <row r="67" spans="1:20" x14ac:dyDescent="0.3">
      <c r="A67" t="s">
        <v>163</v>
      </c>
      <c r="B67" t="s">
        <v>21</v>
      </c>
      <c r="C67" t="s">
        <v>164</v>
      </c>
      <c r="D67" t="s">
        <v>23</v>
      </c>
      <c r="E67" t="s">
        <v>32</v>
      </c>
      <c r="F67" t="s">
        <v>36</v>
      </c>
      <c r="G67" t="s">
        <v>26</v>
      </c>
      <c r="H67">
        <v>15.87</v>
      </c>
      <c r="I67">
        <v>10</v>
      </c>
      <c r="J67">
        <v>7.9349999999999996</v>
      </c>
      <c r="K67">
        <v>158.69999999999999</v>
      </c>
      <c r="L67" s="1">
        <v>43635</v>
      </c>
      <c r="M67" s="2">
        <v>0.69444444444444442</v>
      </c>
      <c r="N67" t="s">
        <v>27</v>
      </c>
      <c r="O67">
        <v>158.69999999999999</v>
      </c>
      <c r="P67">
        <v>4.7619047620000003</v>
      </c>
      <c r="Q67">
        <v>0</v>
      </c>
      <c r="R67">
        <v>7.46</v>
      </c>
      <c r="S67">
        <v>96.173500000000004</v>
      </c>
      <c r="T67">
        <v>16.840900000000001</v>
      </c>
    </row>
    <row r="68" spans="1:20" x14ac:dyDescent="0.3">
      <c r="A68" t="s">
        <v>165</v>
      </c>
      <c r="B68" t="s">
        <v>29</v>
      </c>
      <c r="C68" t="s">
        <v>166</v>
      </c>
      <c r="D68" t="s">
        <v>31</v>
      </c>
      <c r="E68" t="s">
        <v>32</v>
      </c>
      <c r="F68" t="s">
        <v>25</v>
      </c>
      <c r="G68" t="s">
        <v>26</v>
      </c>
      <c r="H68">
        <v>33.47</v>
      </c>
      <c r="I68">
        <v>2</v>
      </c>
      <c r="J68">
        <v>3.347</v>
      </c>
      <c r="K68">
        <v>66.94</v>
      </c>
      <c r="L68" s="1">
        <v>43727</v>
      </c>
      <c r="M68" s="2">
        <v>0.65486111111111112</v>
      </c>
      <c r="N68" t="s">
        <v>27</v>
      </c>
      <c r="O68">
        <v>66.94</v>
      </c>
      <c r="P68">
        <v>4.7619047620000003</v>
      </c>
      <c r="Q68">
        <v>0</v>
      </c>
      <c r="R68">
        <v>7.46</v>
      </c>
      <c r="S68">
        <v>96.078500000000005</v>
      </c>
      <c r="T68">
        <v>19.763300000000001</v>
      </c>
    </row>
    <row r="69" spans="1:20" x14ac:dyDescent="0.3">
      <c r="A69" t="s">
        <v>167</v>
      </c>
      <c r="B69" t="s">
        <v>51</v>
      </c>
      <c r="C69" t="s">
        <v>52</v>
      </c>
      <c r="D69" t="s">
        <v>53</v>
      </c>
      <c r="E69" t="s">
        <v>32</v>
      </c>
      <c r="F69" t="s">
        <v>25</v>
      </c>
      <c r="G69" t="s">
        <v>100</v>
      </c>
      <c r="H69">
        <v>97.61</v>
      </c>
      <c r="I69">
        <v>8</v>
      </c>
      <c r="J69">
        <v>39.043999999999997</v>
      </c>
      <c r="K69">
        <v>780.88</v>
      </c>
      <c r="L69" s="1">
        <v>43505</v>
      </c>
      <c r="M69" s="2">
        <v>0.62569444444444444</v>
      </c>
      <c r="N69" t="s">
        <v>27</v>
      </c>
      <c r="O69">
        <v>585.66</v>
      </c>
      <c r="P69">
        <v>4.7619047620000003</v>
      </c>
      <c r="Q69">
        <v>195.22</v>
      </c>
      <c r="R69">
        <v>7.46</v>
      </c>
      <c r="S69">
        <v>96.089100000000002</v>
      </c>
      <c r="T69">
        <v>21.9588</v>
      </c>
    </row>
    <row r="70" spans="1:20" x14ac:dyDescent="0.3">
      <c r="A70" t="s">
        <v>168</v>
      </c>
      <c r="B70" t="s">
        <v>21</v>
      </c>
      <c r="C70" t="s">
        <v>169</v>
      </c>
      <c r="D70" t="s">
        <v>23</v>
      </c>
      <c r="E70" t="s">
        <v>32</v>
      </c>
      <c r="F70" t="s">
        <v>36</v>
      </c>
      <c r="G70" t="s">
        <v>68</v>
      </c>
      <c r="H70">
        <v>78.77</v>
      </c>
      <c r="I70">
        <v>10</v>
      </c>
      <c r="J70">
        <v>39.384999999999998</v>
      </c>
      <c r="K70">
        <v>787.7</v>
      </c>
      <c r="L70" s="1">
        <v>43523</v>
      </c>
      <c r="M70" s="2">
        <v>0.41944444444444445</v>
      </c>
      <c r="N70" t="s">
        <v>33</v>
      </c>
      <c r="O70">
        <v>787.7</v>
      </c>
      <c r="P70">
        <v>4.7619047620000003</v>
      </c>
      <c r="Q70">
        <v>0</v>
      </c>
      <c r="R70">
        <v>7.46</v>
      </c>
      <c r="S70">
        <v>96.173500000000004</v>
      </c>
      <c r="T70">
        <v>16.840900000000001</v>
      </c>
    </row>
    <row r="71" spans="1:20" x14ac:dyDescent="0.3">
      <c r="A71" t="s">
        <v>170</v>
      </c>
      <c r="B71" t="s">
        <v>21</v>
      </c>
      <c r="C71" t="s">
        <v>152</v>
      </c>
      <c r="D71" t="s">
        <v>23</v>
      </c>
      <c r="E71" t="s">
        <v>32</v>
      </c>
      <c r="F71" t="s">
        <v>25</v>
      </c>
      <c r="G71" t="s">
        <v>26</v>
      </c>
      <c r="H71">
        <v>18.329999999999998</v>
      </c>
      <c r="I71">
        <v>1</v>
      </c>
      <c r="J71">
        <v>0.91649999999999998</v>
      </c>
      <c r="K71">
        <v>18.329999999999998</v>
      </c>
      <c r="L71" s="1">
        <v>43545</v>
      </c>
      <c r="M71" s="2">
        <v>0.78472222222222221</v>
      </c>
      <c r="N71" t="s">
        <v>33</v>
      </c>
      <c r="O71">
        <v>18.329999999999998</v>
      </c>
      <c r="P71">
        <v>4.7619047620000003</v>
      </c>
      <c r="Q71">
        <v>0</v>
      </c>
      <c r="R71">
        <v>7.46</v>
      </c>
      <c r="S71">
        <v>96.173500000000004</v>
      </c>
      <c r="T71">
        <v>16.840900000000001</v>
      </c>
    </row>
    <row r="72" spans="1:20" x14ac:dyDescent="0.3">
      <c r="A72" t="s">
        <v>171</v>
      </c>
      <c r="B72" t="s">
        <v>29</v>
      </c>
      <c r="C72" t="s">
        <v>115</v>
      </c>
      <c r="D72" t="s">
        <v>31</v>
      </c>
      <c r="E72" t="s">
        <v>32</v>
      </c>
      <c r="F72" t="s">
        <v>36</v>
      </c>
      <c r="G72" t="s">
        <v>63</v>
      </c>
      <c r="H72">
        <v>89.48</v>
      </c>
      <c r="I72">
        <v>12</v>
      </c>
      <c r="J72">
        <v>53.688000000000002</v>
      </c>
      <c r="K72">
        <v>1073.76</v>
      </c>
      <c r="L72" s="1">
        <v>43618</v>
      </c>
      <c r="M72" s="2">
        <v>0.53194444444444444</v>
      </c>
      <c r="N72" t="s">
        <v>37</v>
      </c>
      <c r="O72">
        <v>894.8</v>
      </c>
      <c r="P72">
        <v>4.7619047620000003</v>
      </c>
      <c r="Q72">
        <v>178.96</v>
      </c>
      <c r="R72">
        <v>10</v>
      </c>
      <c r="S72">
        <v>96.078500000000005</v>
      </c>
      <c r="T72">
        <v>19.763300000000001</v>
      </c>
    </row>
    <row r="73" spans="1:20" x14ac:dyDescent="0.3">
      <c r="A73" t="s">
        <v>172</v>
      </c>
      <c r="B73" t="s">
        <v>29</v>
      </c>
      <c r="C73" t="s">
        <v>173</v>
      </c>
      <c r="D73" t="s">
        <v>31</v>
      </c>
      <c r="E73" t="s">
        <v>32</v>
      </c>
      <c r="F73" t="s">
        <v>36</v>
      </c>
      <c r="G73" t="s">
        <v>100</v>
      </c>
      <c r="H73">
        <v>62.12</v>
      </c>
      <c r="I73">
        <v>12</v>
      </c>
      <c r="J73">
        <v>37.271999999999998</v>
      </c>
      <c r="K73">
        <v>745.44</v>
      </c>
      <c r="L73" s="1">
        <v>43668</v>
      </c>
      <c r="M73" s="2">
        <v>0.67986111111111114</v>
      </c>
      <c r="N73" t="s">
        <v>33</v>
      </c>
      <c r="O73">
        <v>621.20000000000005</v>
      </c>
      <c r="P73">
        <v>4.7619047620000003</v>
      </c>
      <c r="Q73">
        <v>124.24</v>
      </c>
      <c r="R73">
        <v>6.1950000000000003</v>
      </c>
      <c r="S73">
        <v>96.078500000000005</v>
      </c>
      <c r="T73">
        <v>19.763300000000001</v>
      </c>
    </row>
    <row r="74" spans="1:20" x14ac:dyDescent="0.3">
      <c r="A74" t="s">
        <v>174</v>
      </c>
      <c r="B74" t="s">
        <v>51</v>
      </c>
      <c r="C74" t="s">
        <v>175</v>
      </c>
      <c r="D74" t="s">
        <v>53</v>
      </c>
      <c r="E74" t="s">
        <v>32</v>
      </c>
      <c r="F74" t="s">
        <v>25</v>
      </c>
      <c r="G74" t="s">
        <v>63</v>
      </c>
      <c r="H74">
        <v>48.52</v>
      </c>
      <c r="I74">
        <v>4</v>
      </c>
      <c r="J74">
        <v>9.7040000000000006</v>
      </c>
      <c r="K74">
        <v>194.08</v>
      </c>
      <c r="L74" s="1">
        <v>43816</v>
      </c>
      <c r="M74" s="2">
        <v>0.76180555555555551</v>
      </c>
      <c r="N74" t="s">
        <v>27</v>
      </c>
      <c r="O74">
        <v>145.56</v>
      </c>
      <c r="P74">
        <v>4.7619047620000003</v>
      </c>
      <c r="Q74">
        <v>48.52</v>
      </c>
      <c r="R74">
        <v>4.8</v>
      </c>
      <c r="S74">
        <v>96.089100000000002</v>
      </c>
      <c r="T74">
        <v>21.9588</v>
      </c>
    </row>
    <row r="75" spans="1:20" x14ac:dyDescent="0.3">
      <c r="A75" t="s">
        <v>176</v>
      </c>
      <c r="B75" t="s">
        <v>29</v>
      </c>
      <c r="C75" t="s">
        <v>177</v>
      </c>
      <c r="D75" t="s">
        <v>31</v>
      </c>
      <c r="E75" t="s">
        <v>32</v>
      </c>
      <c r="F75" t="s">
        <v>25</v>
      </c>
      <c r="G75" t="s">
        <v>60</v>
      </c>
      <c r="H75">
        <v>75.91</v>
      </c>
      <c r="I75">
        <v>7</v>
      </c>
      <c r="J75">
        <v>26.5685</v>
      </c>
      <c r="K75">
        <v>531.37</v>
      </c>
      <c r="L75" s="1">
        <v>43777</v>
      </c>
      <c r="M75" s="2">
        <v>0.76458333333333328</v>
      </c>
      <c r="N75" t="s">
        <v>33</v>
      </c>
      <c r="O75">
        <v>455.46</v>
      </c>
      <c r="P75">
        <v>4.7619047620000003</v>
      </c>
      <c r="Q75">
        <v>75.91</v>
      </c>
      <c r="R75">
        <v>9.1349999999999998</v>
      </c>
      <c r="S75">
        <v>96.078500000000005</v>
      </c>
      <c r="T75">
        <v>19.763300000000001</v>
      </c>
    </row>
    <row r="76" spans="1:20" x14ac:dyDescent="0.3">
      <c r="A76" t="s">
        <v>178</v>
      </c>
      <c r="B76" t="s">
        <v>21</v>
      </c>
      <c r="C76" t="s">
        <v>179</v>
      </c>
      <c r="D76" t="s">
        <v>23</v>
      </c>
      <c r="E76" t="s">
        <v>32</v>
      </c>
      <c r="F76" t="s">
        <v>36</v>
      </c>
      <c r="G76" t="s">
        <v>77</v>
      </c>
      <c r="H76">
        <v>74.67</v>
      </c>
      <c r="I76">
        <v>9</v>
      </c>
      <c r="J76">
        <v>33.601500000000001</v>
      </c>
      <c r="K76">
        <v>672.03</v>
      </c>
      <c r="L76" s="1">
        <v>43555</v>
      </c>
      <c r="M76" s="2">
        <v>0.4548611111111111</v>
      </c>
      <c r="N76" t="s">
        <v>27</v>
      </c>
      <c r="O76">
        <v>672.03</v>
      </c>
      <c r="P76">
        <v>4.7619047620000003</v>
      </c>
      <c r="Q76">
        <v>0</v>
      </c>
      <c r="R76">
        <v>9.4</v>
      </c>
      <c r="S76">
        <v>96.173500000000004</v>
      </c>
      <c r="T76">
        <v>16.840900000000001</v>
      </c>
    </row>
    <row r="77" spans="1:20" x14ac:dyDescent="0.3">
      <c r="A77" t="s">
        <v>180</v>
      </c>
      <c r="B77" t="s">
        <v>29</v>
      </c>
      <c r="C77" t="s">
        <v>181</v>
      </c>
      <c r="D77" t="s">
        <v>31</v>
      </c>
      <c r="E77" t="s">
        <v>32</v>
      </c>
      <c r="F77" t="s">
        <v>25</v>
      </c>
      <c r="G77" t="s">
        <v>60</v>
      </c>
      <c r="H77">
        <v>41.65</v>
      </c>
      <c r="I77">
        <v>12</v>
      </c>
      <c r="J77">
        <v>24.99</v>
      </c>
      <c r="K77">
        <v>499.8</v>
      </c>
      <c r="L77" s="1">
        <v>43811</v>
      </c>
      <c r="M77" s="2">
        <v>0.71111111111111114</v>
      </c>
      <c r="N77" t="s">
        <v>37</v>
      </c>
      <c r="O77">
        <v>416.5</v>
      </c>
      <c r="P77">
        <v>4.7619047620000003</v>
      </c>
      <c r="Q77">
        <v>83.3</v>
      </c>
      <c r="R77">
        <v>5.67</v>
      </c>
      <c r="S77">
        <v>96.078500000000005</v>
      </c>
      <c r="T77">
        <v>19.763300000000001</v>
      </c>
    </row>
    <row r="78" spans="1:20" x14ac:dyDescent="0.3">
      <c r="A78" t="s">
        <v>182</v>
      </c>
      <c r="B78" t="s">
        <v>29</v>
      </c>
      <c r="C78" t="s">
        <v>183</v>
      </c>
      <c r="D78" t="s">
        <v>31</v>
      </c>
      <c r="E78" t="s">
        <v>32</v>
      </c>
      <c r="F78" t="s">
        <v>36</v>
      </c>
      <c r="G78" t="s">
        <v>100</v>
      </c>
      <c r="H78">
        <v>49.04</v>
      </c>
      <c r="I78">
        <v>11</v>
      </c>
      <c r="J78">
        <v>26.972000000000001</v>
      </c>
      <c r="K78">
        <v>539.44000000000005</v>
      </c>
      <c r="L78" s="1">
        <v>43689</v>
      </c>
      <c r="M78" s="2">
        <v>0.59722222222222221</v>
      </c>
      <c r="N78" t="s">
        <v>37</v>
      </c>
      <c r="O78">
        <v>441.36</v>
      </c>
      <c r="P78">
        <v>4.7619047620000003</v>
      </c>
      <c r="Q78">
        <v>98.08</v>
      </c>
      <c r="R78">
        <v>9.0299999999999994</v>
      </c>
      <c r="S78">
        <v>96.078500000000005</v>
      </c>
      <c r="T78">
        <v>19.763300000000001</v>
      </c>
    </row>
    <row r="79" spans="1:20" x14ac:dyDescent="0.3">
      <c r="A79" t="s">
        <v>184</v>
      </c>
      <c r="B79" t="s">
        <v>21</v>
      </c>
      <c r="C79" t="s">
        <v>185</v>
      </c>
      <c r="D79" t="s">
        <v>23</v>
      </c>
      <c r="E79" t="s">
        <v>32</v>
      </c>
      <c r="F79" t="s">
        <v>25</v>
      </c>
      <c r="G79" t="s">
        <v>100</v>
      </c>
      <c r="H79">
        <v>20.010000000000002</v>
      </c>
      <c r="I79">
        <v>9</v>
      </c>
      <c r="J79">
        <v>9.0045000000000002</v>
      </c>
      <c r="K79">
        <v>180.09</v>
      </c>
      <c r="L79" s="1">
        <v>43804</v>
      </c>
      <c r="M79" s="2">
        <v>0.65833333333333333</v>
      </c>
      <c r="N79" t="s">
        <v>37</v>
      </c>
      <c r="O79">
        <v>180.09</v>
      </c>
      <c r="P79">
        <v>4.7619047620000003</v>
      </c>
      <c r="Q79">
        <v>0</v>
      </c>
      <c r="R79">
        <v>5.7</v>
      </c>
      <c r="S79">
        <v>96.173500000000004</v>
      </c>
      <c r="T79">
        <v>16.840900000000001</v>
      </c>
    </row>
    <row r="80" spans="1:20" x14ac:dyDescent="0.3">
      <c r="A80" t="s">
        <v>186</v>
      </c>
      <c r="B80" t="s">
        <v>29</v>
      </c>
      <c r="C80" t="s">
        <v>127</v>
      </c>
      <c r="D80" t="s">
        <v>31</v>
      </c>
      <c r="E80" t="s">
        <v>32</v>
      </c>
      <c r="F80" t="s">
        <v>25</v>
      </c>
      <c r="G80" t="s">
        <v>63</v>
      </c>
      <c r="H80">
        <v>78.31</v>
      </c>
      <c r="I80">
        <v>12</v>
      </c>
      <c r="J80">
        <f t="shared" ref="J80:J102" si="2">K80*5%</f>
        <v>46.986000000000004</v>
      </c>
      <c r="K80">
        <v>939.72</v>
      </c>
      <c r="L80" s="1">
        <v>43644</v>
      </c>
      <c r="M80" s="2">
        <v>0.68333333333333335</v>
      </c>
      <c r="N80" t="s">
        <v>27</v>
      </c>
      <c r="O80">
        <v>783.1</v>
      </c>
      <c r="P80">
        <v>4.7619047620000003</v>
      </c>
      <c r="Q80">
        <v>156.62</v>
      </c>
      <c r="R80">
        <v>6.93</v>
      </c>
      <c r="S80">
        <v>96.078500000000005</v>
      </c>
      <c r="T80">
        <v>19.763300000000001</v>
      </c>
    </row>
    <row r="81" spans="1:20" x14ac:dyDescent="0.3">
      <c r="A81" t="s">
        <v>187</v>
      </c>
      <c r="B81" t="s">
        <v>29</v>
      </c>
      <c r="C81" t="s">
        <v>188</v>
      </c>
      <c r="D81" t="s">
        <v>31</v>
      </c>
      <c r="E81" t="s">
        <v>32</v>
      </c>
      <c r="F81" t="s">
        <v>25</v>
      </c>
      <c r="G81" t="s">
        <v>26</v>
      </c>
      <c r="H81">
        <v>20.38</v>
      </c>
      <c r="I81">
        <v>6</v>
      </c>
      <c r="J81">
        <f t="shared" si="2"/>
        <v>6.1140000000000008</v>
      </c>
      <c r="K81">
        <v>122.28</v>
      </c>
      <c r="L81" s="1">
        <v>43779</v>
      </c>
      <c r="M81" s="2">
        <v>0.78888888888888886</v>
      </c>
      <c r="N81" t="s">
        <v>33</v>
      </c>
      <c r="O81">
        <v>101.9</v>
      </c>
      <c r="P81">
        <v>4.7619047620000003</v>
      </c>
      <c r="Q81">
        <v>20.38</v>
      </c>
      <c r="R81">
        <v>6.3</v>
      </c>
      <c r="S81">
        <v>96.078500000000005</v>
      </c>
      <c r="T81">
        <v>19.763300000000001</v>
      </c>
    </row>
    <row r="82" spans="1:20" x14ac:dyDescent="0.3">
      <c r="A82" t="s">
        <v>189</v>
      </c>
      <c r="B82" t="s">
        <v>29</v>
      </c>
      <c r="C82" t="s">
        <v>190</v>
      </c>
      <c r="D82" t="s">
        <v>31</v>
      </c>
      <c r="E82" t="s">
        <v>32</v>
      </c>
      <c r="F82" t="s">
        <v>25</v>
      </c>
      <c r="G82" t="s">
        <v>26</v>
      </c>
      <c r="H82">
        <v>99.19</v>
      </c>
      <c r="I82">
        <v>7</v>
      </c>
      <c r="J82">
        <f t="shared" si="2"/>
        <v>34.716500000000003</v>
      </c>
      <c r="K82">
        <v>694.33</v>
      </c>
      <c r="L82" s="1">
        <v>43537</v>
      </c>
      <c r="M82" s="2">
        <v>0.61250000000000004</v>
      </c>
      <c r="N82" t="s">
        <v>37</v>
      </c>
      <c r="O82">
        <v>595.14</v>
      </c>
      <c r="P82">
        <v>4.7619047620000003</v>
      </c>
      <c r="Q82">
        <v>99.19</v>
      </c>
      <c r="R82">
        <v>5.7750000000000004</v>
      </c>
      <c r="S82">
        <v>96.078500000000005</v>
      </c>
      <c r="T82">
        <v>19.763300000000001</v>
      </c>
    </row>
    <row r="83" spans="1:20" x14ac:dyDescent="0.3">
      <c r="A83" t="s">
        <v>191</v>
      </c>
      <c r="B83" t="s">
        <v>51</v>
      </c>
      <c r="C83" t="s">
        <v>192</v>
      </c>
      <c r="D83" t="s">
        <v>53</v>
      </c>
      <c r="E83" t="s">
        <v>32</v>
      </c>
      <c r="F83" t="s">
        <v>25</v>
      </c>
      <c r="G83" t="s">
        <v>63</v>
      </c>
      <c r="H83">
        <v>96.68</v>
      </c>
      <c r="I83">
        <v>4</v>
      </c>
      <c r="J83">
        <f t="shared" si="2"/>
        <v>19.336000000000002</v>
      </c>
      <c r="K83">
        <v>386.72</v>
      </c>
      <c r="L83" s="1">
        <v>43766</v>
      </c>
      <c r="M83" s="2">
        <v>0.8305555555555556</v>
      </c>
      <c r="N83" t="s">
        <v>27</v>
      </c>
      <c r="O83">
        <v>290.04000000000002</v>
      </c>
      <c r="P83">
        <v>4.7619047620000003</v>
      </c>
      <c r="Q83">
        <v>96.68</v>
      </c>
      <c r="R83">
        <v>7.68</v>
      </c>
      <c r="S83">
        <v>96.089100000000002</v>
      </c>
      <c r="T83">
        <v>21.9588</v>
      </c>
    </row>
    <row r="84" spans="1:20" x14ac:dyDescent="0.3">
      <c r="A84" t="s">
        <v>193</v>
      </c>
      <c r="B84" t="s">
        <v>29</v>
      </c>
      <c r="C84" t="s">
        <v>47</v>
      </c>
      <c r="D84" t="s">
        <v>31</v>
      </c>
      <c r="E84" t="s">
        <v>32</v>
      </c>
      <c r="F84" t="s">
        <v>36</v>
      </c>
      <c r="G84" t="s">
        <v>63</v>
      </c>
      <c r="H84">
        <v>19.25</v>
      </c>
      <c r="I84">
        <v>10</v>
      </c>
      <c r="J84">
        <f t="shared" si="2"/>
        <v>9.625</v>
      </c>
      <c r="K84">
        <v>192.5</v>
      </c>
      <c r="L84" s="1">
        <v>43612</v>
      </c>
      <c r="M84" s="2">
        <v>0.77569444444444446</v>
      </c>
      <c r="N84" t="s">
        <v>27</v>
      </c>
      <c r="O84">
        <v>154</v>
      </c>
      <c r="P84">
        <v>4.7619047620000003</v>
      </c>
      <c r="Q84">
        <v>38.5</v>
      </c>
      <c r="R84">
        <v>6.93</v>
      </c>
      <c r="S84">
        <v>96.078500000000005</v>
      </c>
      <c r="T84">
        <v>19.763300000000001</v>
      </c>
    </row>
    <row r="85" spans="1:20" x14ac:dyDescent="0.3">
      <c r="A85" t="s">
        <v>194</v>
      </c>
      <c r="B85" t="s">
        <v>29</v>
      </c>
      <c r="C85" t="s">
        <v>195</v>
      </c>
      <c r="D85" t="s">
        <v>31</v>
      </c>
      <c r="E85" t="s">
        <v>32</v>
      </c>
      <c r="F85" t="s">
        <v>25</v>
      </c>
      <c r="G85" t="s">
        <v>26</v>
      </c>
      <c r="H85">
        <v>80.36</v>
      </c>
      <c r="I85">
        <v>5</v>
      </c>
      <c r="J85">
        <f t="shared" si="2"/>
        <v>20.090000000000003</v>
      </c>
      <c r="K85">
        <v>401.8</v>
      </c>
      <c r="L85" s="1">
        <v>43595</v>
      </c>
      <c r="M85" s="2">
        <v>0.78125</v>
      </c>
      <c r="N85" t="s">
        <v>37</v>
      </c>
      <c r="O85">
        <v>321.44</v>
      </c>
      <c r="P85">
        <v>4.7619047620000003</v>
      </c>
      <c r="Q85">
        <v>80.36</v>
      </c>
      <c r="R85">
        <v>8.7149999999999999</v>
      </c>
      <c r="S85">
        <v>96.078500000000005</v>
      </c>
      <c r="T85">
        <v>19.763300000000001</v>
      </c>
    </row>
    <row r="86" spans="1:20" x14ac:dyDescent="0.3">
      <c r="A86" t="s">
        <v>196</v>
      </c>
      <c r="B86" t="s">
        <v>29</v>
      </c>
      <c r="C86" t="s">
        <v>197</v>
      </c>
      <c r="D86" t="s">
        <v>31</v>
      </c>
      <c r="E86" t="s">
        <v>32</v>
      </c>
      <c r="F86" t="s">
        <v>36</v>
      </c>
      <c r="G86" t="s">
        <v>26</v>
      </c>
      <c r="H86">
        <v>48.91</v>
      </c>
      <c r="I86">
        <v>6</v>
      </c>
      <c r="J86">
        <f t="shared" si="2"/>
        <v>14.673</v>
      </c>
      <c r="K86">
        <v>293.45999999999998</v>
      </c>
      <c r="L86" s="1">
        <v>43644</v>
      </c>
      <c r="M86" s="2">
        <v>0.4284722222222222</v>
      </c>
      <c r="N86" t="s">
        <v>33</v>
      </c>
      <c r="O86">
        <v>244.55</v>
      </c>
      <c r="P86">
        <v>4.7619047620000003</v>
      </c>
      <c r="Q86">
        <v>48.91</v>
      </c>
      <c r="R86">
        <v>6.93</v>
      </c>
      <c r="S86">
        <v>96.078500000000005</v>
      </c>
      <c r="T86">
        <v>19.763300000000001</v>
      </c>
    </row>
    <row r="87" spans="1:20" x14ac:dyDescent="0.3">
      <c r="A87" t="s">
        <v>198</v>
      </c>
      <c r="B87" t="s">
        <v>29</v>
      </c>
      <c r="C87" t="s">
        <v>199</v>
      </c>
      <c r="D87" t="s">
        <v>31</v>
      </c>
      <c r="E87" t="s">
        <v>32</v>
      </c>
      <c r="F87" t="s">
        <v>25</v>
      </c>
      <c r="G87" t="s">
        <v>26</v>
      </c>
      <c r="H87">
        <v>83.06</v>
      </c>
      <c r="I87">
        <v>8</v>
      </c>
      <c r="J87">
        <f t="shared" si="2"/>
        <v>33.224000000000004</v>
      </c>
      <c r="K87">
        <v>664.48</v>
      </c>
      <c r="L87" s="1">
        <v>43607</v>
      </c>
      <c r="M87" s="2">
        <v>0.60486111111111107</v>
      </c>
      <c r="N87" t="s">
        <v>27</v>
      </c>
      <c r="O87">
        <v>581.41999999999996</v>
      </c>
      <c r="P87">
        <v>4.7619047620000003</v>
      </c>
      <c r="Q87">
        <v>83.06</v>
      </c>
      <c r="R87">
        <v>4.2</v>
      </c>
      <c r="S87">
        <v>96.078500000000005</v>
      </c>
      <c r="T87">
        <v>19.763300000000001</v>
      </c>
    </row>
    <row r="88" spans="1:20" x14ac:dyDescent="0.3">
      <c r="A88" t="s">
        <v>200</v>
      </c>
      <c r="B88" t="s">
        <v>29</v>
      </c>
      <c r="C88" t="s">
        <v>201</v>
      </c>
      <c r="D88" t="s">
        <v>31</v>
      </c>
      <c r="E88" t="s">
        <v>32</v>
      </c>
      <c r="F88" t="s">
        <v>36</v>
      </c>
      <c r="G88" t="s">
        <v>26</v>
      </c>
      <c r="H88">
        <v>76.52</v>
      </c>
      <c r="I88">
        <v>6</v>
      </c>
      <c r="J88">
        <f t="shared" si="2"/>
        <v>22.956000000000003</v>
      </c>
      <c r="K88">
        <v>459.12</v>
      </c>
      <c r="L88" s="1">
        <v>43535</v>
      </c>
      <c r="M88" s="2">
        <v>0.43263888888888891</v>
      </c>
      <c r="N88" t="s">
        <v>33</v>
      </c>
      <c r="O88">
        <v>382.6</v>
      </c>
      <c r="P88">
        <v>4.7619047620000003</v>
      </c>
      <c r="Q88">
        <v>76.52</v>
      </c>
      <c r="R88">
        <v>10</v>
      </c>
      <c r="S88">
        <v>96.078500000000005</v>
      </c>
      <c r="T88">
        <v>19.763300000000001</v>
      </c>
    </row>
    <row r="89" spans="1:20" x14ac:dyDescent="0.3">
      <c r="A89" t="s">
        <v>202</v>
      </c>
      <c r="B89" t="s">
        <v>21</v>
      </c>
      <c r="C89" t="s">
        <v>203</v>
      </c>
      <c r="D89" t="s">
        <v>23</v>
      </c>
      <c r="E89" t="s">
        <v>24</v>
      </c>
      <c r="F89" t="s">
        <v>36</v>
      </c>
      <c r="G89" t="s">
        <v>26</v>
      </c>
      <c r="H89">
        <v>49.38</v>
      </c>
      <c r="I89">
        <v>10</v>
      </c>
      <c r="J89">
        <f t="shared" si="2"/>
        <v>24.69</v>
      </c>
      <c r="K89">
        <v>493.8</v>
      </c>
      <c r="L89" s="1">
        <v>43802</v>
      </c>
      <c r="M89" s="2">
        <v>0.85763888888888884</v>
      </c>
      <c r="N89" t="s">
        <v>37</v>
      </c>
      <c r="O89">
        <v>345.66</v>
      </c>
      <c r="P89">
        <v>4.7619047620000003</v>
      </c>
      <c r="Q89">
        <v>148.13999999999999</v>
      </c>
      <c r="R89">
        <v>7.3</v>
      </c>
      <c r="S89">
        <v>96.173500000000004</v>
      </c>
      <c r="T89">
        <v>16.840900000000001</v>
      </c>
    </row>
    <row r="90" spans="1:20" x14ac:dyDescent="0.3">
      <c r="A90" t="s">
        <v>204</v>
      </c>
      <c r="B90" t="s">
        <v>21</v>
      </c>
      <c r="C90" t="s">
        <v>205</v>
      </c>
      <c r="D90" t="s">
        <v>23</v>
      </c>
      <c r="E90" t="s">
        <v>32</v>
      </c>
      <c r="F90" t="s">
        <v>36</v>
      </c>
      <c r="G90" t="s">
        <v>26</v>
      </c>
      <c r="H90">
        <v>42.47</v>
      </c>
      <c r="I90">
        <v>1</v>
      </c>
      <c r="J90">
        <f t="shared" si="2"/>
        <v>2.1234999999999999</v>
      </c>
      <c r="K90">
        <v>42.47</v>
      </c>
      <c r="L90" s="1">
        <v>43708</v>
      </c>
      <c r="M90" s="2">
        <v>0.70625000000000004</v>
      </c>
      <c r="N90" t="s">
        <v>33</v>
      </c>
      <c r="O90">
        <v>42.47</v>
      </c>
      <c r="P90">
        <v>4.7619047620000003</v>
      </c>
      <c r="Q90">
        <v>0</v>
      </c>
      <c r="R90">
        <v>5.7</v>
      </c>
      <c r="S90">
        <v>96.173500000000004</v>
      </c>
      <c r="T90">
        <v>16.840900000000001</v>
      </c>
    </row>
    <row r="91" spans="1:20" x14ac:dyDescent="0.3">
      <c r="A91" t="s">
        <v>206</v>
      </c>
      <c r="B91" t="s">
        <v>51</v>
      </c>
      <c r="C91" t="s">
        <v>207</v>
      </c>
      <c r="D91" t="s">
        <v>53</v>
      </c>
      <c r="E91" t="s">
        <v>32</v>
      </c>
      <c r="F91" t="s">
        <v>25</v>
      </c>
      <c r="G91" t="s">
        <v>26</v>
      </c>
      <c r="H91">
        <v>76.989999999999995</v>
      </c>
      <c r="I91">
        <v>8</v>
      </c>
      <c r="J91">
        <f t="shared" si="2"/>
        <v>30.795999999999999</v>
      </c>
      <c r="K91">
        <v>615.91999999999996</v>
      </c>
      <c r="L91" s="1">
        <v>43579</v>
      </c>
      <c r="M91" s="2">
        <v>0.74652777777777779</v>
      </c>
      <c r="N91" t="s">
        <v>33</v>
      </c>
      <c r="O91">
        <v>461.94</v>
      </c>
      <c r="P91">
        <v>4.7619047620000003</v>
      </c>
      <c r="Q91">
        <v>153.97999999999999</v>
      </c>
      <c r="R91">
        <v>7.32</v>
      </c>
      <c r="S91">
        <v>96.089100000000002</v>
      </c>
      <c r="T91">
        <v>21.9588</v>
      </c>
    </row>
    <row r="92" spans="1:20" x14ac:dyDescent="0.3">
      <c r="A92" t="s">
        <v>208</v>
      </c>
      <c r="B92" t="s">
        <v>29</v>
      </c>
      <c r="C92" t="s">
        <v>209</v>
      </c>
      <c r="D92" t="s">
        <v>31</v>
      </c>
      <c r="E92" t="s">
        <v>24</v>
      </c>
      <c r="F92" t="s">
        <v>25</v>
      </c>
      <c r="G92" t="s">
        <v>77</v>
      </c>
      <c r="H92">
        <v>47.38</v>
      </c>
      <c r="I92">
        <v>7</v>
      </c>
      <c r="J92">
        <f t="shared" si="2"/>
        <v>16.583000000000002</v>
      </c>
      <c r="K92">
        <v>331.66</v>
      </c>
      <c r="L92" s="1">
        <v>43498</v>
      </c>
      <c r="M92" s="2">
        <v>0.43402777777777779</v>
      </c>
      <c r="N92" t="s">
        <v>33</v>
      </c>
      <c r="O92">
        <v>189.52</v>
      </c>
      <c r="P92">
        <v>4.7619047620000003</v>
      </c>
      <c r="Q92">
        <v>142.13999999999999</v>
      </c>
      <c r="R92">
        <v>7.4550000000000001</v>
      </c>
      <c r="S92">
        <v>96.078500000000005</v>
      </c>
      <c r="T92">
        <v>19.763300000000001</v>
      </c>
    </row>
    <row r="93" spans="1:20" x14ac:dyDescent="0.3">
      <c r="A93" t="s">
        <v>210</v>
      </c>
      <c r="B93" t="s">
        <v>29</v>
      </c>
      <c r="C93" t="s">
        <v>211</v>
      </c>
      <c r="D93" t="s">
        <v>31</v>
      </c>
      <c r="E93" t="s">
        <v>32</v>
      </c>
      <c r="F93" t="s">
        <v>25</v>
      </c>
      <c r="G93" t="s">
        <v>68</v>
      </c>
      <c r="H93">
        <v>44.86</v>
      </c>
      <c r="I93">
        <v>12</v>
      </c>
      <c r="J93">
        <f t="shared" si="2"/>
        <v>26.916000000000004</v>
      </c>
      <c r="K93">
        <v>538.32000000000005</v>
      </c>
      <c r="L93" s="1">
        <v>43814</v>
      </c>
      <c r="M93" s="2">
        <v>0.82916666666666672</v>
      </c>
      <c r="N93" t="s">
        <v>27</v>
      </c>
      <c r="O93">
        <v>448.6</v>
      </c>
      <c r="P93">
        <v>4.7619047620000003</v>
      </c>
      <c r="Q93">
        <v>89.72</v>
      </c>
      <c r="R93">
        <v>8.61</v>
      </c>
      <c r="S93">
        <v>96.078500000000005</v>
      </c>
      <c r="T93">
        <v>19.763300000000001</v>
      </c>
    </row>
    <row r="94" spans="1:20" x14ac:dyDescent="0.3">
      <c r="A94" t="s">
        <v>212</v>
      </c>
      <c r="B94" t="s">
        <v>21</v>
      </c>
      <c r="C94" t="s">
        <v>213</v>
      </c>
      <c r="D94" t="s">
        <v>23</v>
      </c>
      <c r="E94" t="s">
        <v>24</v>
      </c>
      <c r="F94" t="s">
        <v>25</v>
      </c>
      <c r="G94" t="s">
        <v>68</v>
      </c>
      <c r="H94">
        <v>21.98</v>
      </c>
      <c r="I94">
        <v>10</v>
      </c>
      <c r="J94">
        <f t="shared" si="2"/>
        <v>10.990000000000002</v>
      </c>
      <c r="K94">
        <v>219.8</v>
      </c>
      <c r="L94" s="1">
        <v>43574</v>
      </c>
      <c r="M94" s="2">
        <v>0.6958333333333333</v>
      </c>
      <c r="N94" t="s">
        <v>27</v>
      </c>
      <c r="O94">
        <v>153.86000000000001</v>
      </c>
      <c r="P94">
        <v>4.7619047620000003</v>
      </c>
      <c r="Q94">
        <v>65.94</v>
      </c>
      <c r="R94">
        <v>5.0999999999999996</v>
      </c>
      <c r="S94">
        <v>96.173500000000004</v>
      </c>
      <c r="T94">
        <v>16.840900000000001</v>
      </c>
    </row>
    <row r="95" spans="1:20" x14ac:dyDescent="0.3">
      <c r="A95" t="s">
        <v>214</v>
      </c>
      <c r="B95" t="s">
        <v>51</v>
      </c>
      <c r="C95" t="s">
        <v>215</v>
      </c>
      <c r="D95" t="s">
        <v>53</v>
      </c>
      <c r="E95" t="s">
        <v>24</v>
      </c>
      <c r="F95" t="s">
        <v>36</v>
      </c>
      <c r="G95" t="s">
        <v>26</v>
      </c>
      <c r="H95">
        <v>64.36</v>
      </c>
      <c r="I95">
        <v>18</v>
      </c>
      <c r="J95">
        <f t="shared" si="2"/>
        <v>57.924000000000007</v>
      </c>
      <c r="K95">
        <v>1158.48</v>
      </c>
      <c r="L95" s="1">
        <v>43740</v>
      </c>
      <c r="M95" s="2">
        <v>0.50624999999999998</v>
      </c>
      <c r="N95" t="s">
        <v>37</v>
      </c>
      <c r="O95">
        <v>579.24</v>
      </c>
      <c r="P95">
        <v>4.7619047620000003</v>
      </c>
      <c r="Q95">
        <v>579.24</v>
      </c>
      <c r="R95">
        <v>10</v>
      </c>
      <c r="S95">
        <v>96.089100000000002</v>
      </c>
      <c r="T95">
        <v>21.9588</v>
      </c>
    </row>
    <row r="96" spans="1:20" x14ac:dyDescent="0.3">
      <c r="A96" t="s">
        <v>216</v>
      </c>
      <c r="B96" t="s">
        <v>29</v>
      </c>
      <c r="C96" t="s">
        <v>217</v>
      </c>
      <c r="D96" t="s">
        <v>31</v>
      </c>
      <c r="E96" t="s">
        <v>32</v>
      </c>
      <c r="F96" t="s">
        <v>36</v>
      </c>
      <c r="G96" t="s">
        <v>26</v>
      </c>
      <c r="H96">
        <v>89.75</v>
      </c>
      <c r="I96">
        <v>1</v>
      </c>
      <c r="J96">
        <f t="shared" si="2"/>
        <v>4.4874999999999998</v>
      </c>
      <c r="K96">
        <v>89.75</v>
      </c>
      <c r="L96" s="1">
        <v>43498</v>
      </c>
      <c r="M96" s="2">
        <v>0.83680555555555558</v>
      </c>
      <c r="N96" t="s">
        <v>37</v>
      </c>
      <c r="O96">
        <v>89.75</v>
      </c>
      <c r="P96">
        <v>4.7619047620000003</v>
      </c>
      <c r="Q96">
        <v>0</v>
      </c>
      <c r="R96">
        <v>6.93</v>
      </c>
      <c r="S96">
        <v>96.078500000000005</v>
      </c>
      <c r="T96">
        <v>19.763300000000001</v>
      </c>
    </row>
    <row r="97" spans="1:20" x14ac:dyDescent="0.3">
      <c r="A97" t="s">
        <v>218</v>
      </c>
      <c r="B97" t="s">
        <v>21</v>
      </c>
      <c r="C97" t="s">
        <v>219</v>
      </c>
      <c r="D97" t="s">
        <v>23</v>
      </c>
      <c r="E97" t="s">
        <v>32</v>
      </c>
      <c r="F97" t="s">
        <v>36</v>
      </c>
      <c r="G97" t="s">
        <v>60</v>
      </c>
      <c r="H97">
        <v>97.16</v>
      </c>
      <c r="I97">
        <v>1</v>
      </c>
      <c r="J97">
        <f t="shared" si="2"/>
        <v>4.8580000000000005</v>
      </c>
      <c r="K97">
        <v>97.16</v>
      </c>
      <c r="L97" s="1">
        <v>43620</v>
      </c>
      <c r="M97" s="2">
        <v>0.85972222222222228</v>
      </c>
      <c r="N97" t="s">
        <v>27</v>
      </c>
      <c r="O97">
        <v>97.16</v>
      </c>
      <c r="P97">
        <v>4.7619047620000003</v>
      </c>
      <c r="Q97">
        <v>0</v>
      </c>
      <c r="R97">
        <v>7.2</v>
      </c>
      <c r="S97">
        <v>96.173500000000004</v>
      </c>
      <c r="T97">
        <v>16.840900000000001</v>
      </c>
    </row>
    <row r="98" spans="1:20" x14ac:dyDescent="0.3">
      <c r="A98" t="s">
        <v>220</v>
      </c>
      <c r="B98" t="s">
        <v>51</v>
      </c>
      <c r="C98" t="s">
        <v>221</v>
      </c>
      <c r="D98" t="s">
        <v>53</v>
      </c>
      <c r="E98" t="s">
        <v>32</v>
      </c>
      <c r="F98" t="s">
        <v>36</v>
      </c>
      <c r="G98" t="s">
        <v>26</v>
      </c>
      <c r="H98">
        <v>87.87</v>
      </c>
      <c r="I98">
        <v>14</v>
      </c>
      <c r="J98">
        <f t="shared" si="2"/>
        <v>61.509000000000007</v>
      </c>
      <c r="K98">
        <v>1230.18</v>
      </c>
      <c r="L98" s="1">
        <v>43587</v>
      </c>
      <c r="M98" s="2">
        <v>0.43402777777777779</v>
      </c>
      <c r="N98" t="s">
        <v>27</v>
      </c>
      <c r="O98">
        <v>878.7</v>
      </c>
      <c r="P98">
        <v>4.7619047620000003</v>
      </c>
      <c r="Q98">
        <v>351.48</v>
      </c>
      <c r="R98">
        <v>6.12</v>
      </c>
      <c r="S98">
        <v>96.089100000000002</v>
      </c>
      <c r="T98">
        <v>21.9588</v>
      </c>
    </row>
    <row r="99" spans="1:20" x14ac:dyDescent="0.3">
      <c r="A99" t="s">
        <v>222</v>
      </c>
      <c r="B99" t="s">
        <v>29</v>
      </c>
      <c r="C99" t="s">
        <v>223</v>
      </c>
      <c r="D99" t="s">
        <v>31</v>
      </c>
      <c r="E99" t="s">
        <v>32</v>
      </c>
      <c r="F99" t="s">
        <v>25</v>
      </c>
      <c r="G99" t="s">
        <v>60</v>
      </c>
      <c r="H99">
        <v>12.45</v>
      </c>
      <c r="I99">
        <v>7</v>
      </c>
      <c r="J99">
        <f t="shared" si="2"/>
        <v>4.3575000000000008</v>
      </c>
      <c r="K99">
        <v>87.15</v>
      </c>
      <c r="L99" s="1">
        <v>43557</v>
      </c>
      <c r="M99" s="2">
        <v>0.5493055555555556</v>
      </c>
      <c r="N99" t="s">
        <v>33</v>
      </c>
      <c r="O99">
        <v>74.7</v>
      </c>
      <c r="P99">
        <v>4.7619047620000003</v>
      </c>
      <c r="Q99">
        <v>12.45</v>
      </c>
      <c r="R99">
        <v>4.3049999999999997</v>
      </c>
      <c r="S99">
        <v>96.078500000000005</v>
      </c>
      <c r="T99">
        <v>19.763300000000001</v>
      </c>
    </row>
    <row r="100" spans="1:20" x14ac:dyDescent="0.3">
      <c r="A100" t="s">
        <v>224</v>
      </c>
      <c r="B100" t="s">
        <v>21</v>
      </c>
      <c r="C100" t="s">
        <v>225</v>
      </c>
      <c r="D100" t="s">
        <v>23</v>
      </c>
      <c r="E100" t="s">
        <v>32</v>
      </c>
      <c r="F100" t="s">
        <v>36</v>
      </c>
      <c r="G100" t="s">
        <v>63</v>
      </c>
      <c r="H100">
        <v>52.75</v>
      </c>
      <c r="I100">
        <v>3</v>
      </c>
      <c r="J100">
        <f t="shared" si="2"/>
        <v>7.9125000000000005</v>
      </c>
      <c r="K100">
        <v>158.25</v>
      </c>
      <c r="L100" s="1">
        <v>43535</v>
      </c>
      <c r="M100" s="2">
        <v>0.42777777777777776</v>
      </c>
      <c r="N100" t="s">
        <v>27</v>
      </c>
      <c r="O100">
        <v>158.25</v>
      </c>
      <c r="P100">
        <v>4.7619047620000003</v>
      </c>
      <c r="Q100">
        <v>0</v>
      </c>
      <c r="R100">
        <v>9.3000000000000007</v>
      </c>
      <c r="S100">
        <v>96.173500000000004</v>
      </c>
      <c r="T100">
        <v>16.840900000000001</v>
      </c>
    </row>
    <row r="101" spans="1:20" x14ac:dyDescent="0.3">
      <c r="A101" t="s">
        <v>226</v>
      </c>
      <c r="B101" t="s">
        <v>51</v>
      </c>
      <c r="C101" t="s">
        <v>227</v>
      </c>
      <c r="D101" t="s">
        <v>53</v>
      </c>
      <c r="E101" t="s">
        <v>32</v>
      </c>
      <c r="F101" t="s">
        <v>36</v>
      </c>
      <c r="G101" t="s">
        <v>77</v>
      </c>
      <c r="H101">
        <v>82.7</v>
      </c>
      <c r="I101">
        <v>8</v>
      </c>
      <c r="J101">
        <f t="shared" si="2"/>
        <v>33.080000000000005</v>
      </c>
      <c r="K101">
        <v>661.6</v>
      </c>
      <c r="L101" s="1">
        <v>43636</v>
      </c>
      <c r="M101" s="2">
        <v>0.75972222222222219</v>
      </c>
      <c r="N101" t="s">
        <v>33</v>
      </c>
      <c r="O101">
        <v>496.2</v>
      </c>
      <c r="P101">
        <v>4.7619047620000003</v>
      </c>
      <c r="Q101">
        <v>165.4</v>
      </c>
      <c r="R101">
        <v>8.8800000000000008</v>
      </c>
      <c r="S101">
        <v>96.089100000000002</v>
      </c>
      <c r="T101">
        <v>21.9588</v>
      </c>
    </row>
    <row r="102" spans="1:20" x14ac:dyDescent="0.3">
      <c r="A102" t="s">
        <v>228</v>
      </c>
      <c r="B102" t="s">
        <v>29</v>
      </c>
      <c r="C102" t="s">
        <v>229</v>
      </c>
      <c r="D102" t="s">
        <v>31</v>
      </c>
      <c r="E102" t="s">
        <v>24</v>
      </c>
      <c r="F102" t="s">
        <v>36</v>
      </c>
      <c r="G102" t="s">
        <v>100</v>
      </c>
      <c r="H102">
        <v>48.71</v>
      </c>
      <c r="I102">
        <v>1</v>
      </c>
      <c r="J102">
        <f t="shared" si="2"/>
        <v>2.4355000000000002</v>
      </c>
      <c r="K102">
        <v>48.71</v>
      </c>
      <c r="L102" s="1">
        <v>43775</v>
      </c>
      <c r="M102" s="2">
        <v>0.80555555555555558</v>
      </c>
      <c r="N102" t="s">
        <v>33</v>
      </c>
      <c r="O102">
        <v>48.71</v>
      </c>
      <c r="P102">
        <v>4.7619047620000003</v>
      </c>
      <c r="Q102">
        <v>0</v>
      </c>
      <c r="R102">
        <v>4.3049999999999997</v>
      </c>
      <c r="S102">
        <v>96.078500000000005</v>
      </c>
      <c r="T102">
        <v>19.763300000000001</v>
      </c>
    </row>
    <row r="103" spans="1:20" x14ac:dyDescent="0.3">
      <c r="A103" t="s">
        <v>230</v>
      </c>
      <c r="B103" t="s">
        <v>29</v>
      </c>
      <c r="C103" t="s">
        <v>231</v>
      </c>
      <c r="D103" t="s">
        <v>31</v>
      </c>
      <c r="E103" t="s">
        <v>32</v>
      </c>
      <c r="F103" t="s">
        <v>36</v>
      </c>
      <c r="G103" t="s">
        <v>100</v>
      </c>
      <c r="H103">
        <v>78.55</v>
      </c>
      <c r="I103">
        <v>11</v>
      </c>
      <c r="J103">
        <v>43.202500000000001</v>
      </c>
      <c r="K103">
        <v>864.05</v>
      </c>
      <c r="L103" s="1">
        <v>43812</v>
      </c>
      <c r="M103" s="2">
        <v>0.55694444444444446</v>
      </c>
      <c r="N103" t="s">
        <v>33</v>
      </c>
      <c r="O103">
        <v>706.95</v>
      </c>
      <c r="P103">
        <v>4.7619047620000003</v>
      </c>
      <c r="Q103">
        <v>157.1</v>
      </c>
      <c r="R103">
        <v>7.56</v>
      </c>
      <c r="S103">
        <v>96.078500000000005</v>
      </c>
      <c r="T103">
        <v>19.763300000000001</v>
      </c>
    </row>
    <row r="104" spans="1:20" x14ac:dyDescent="0.3">
      <c r="A104" t="s">
        <v>232</v>
      </c>
      <c r="B104" t="s">
        <v>29</v>
      </c>
      <c r="C104" t="s">
        <v>233</v>
      </c>
      <c r="D104" t="s">
        <v>31</v>
      </c>
      <c r="E104" t="s">
        <v>32</v>
      </c>
      <c r="F104" t="s">
        <v>25</v>
      </c>
      <c r="G104" t="s">
        <v>60</v>
      </c>
      <c r="H104">
        <v>23.07</v>
      </c>
      <c r="I104">
        <v>11</v>
      </c>
      <c r="J104">
        <v>12.688499999999999</v>
      </c>
      <c r="K104">
        <v>253.77</v>
      </c>
      <c r="L104" s="1">
        <v>43665</v>
      </c>
      <c r="M104" s="2">
        <v>0.47708333333333336</v>
      </c>
      <c r="N104" t="s">
        <v>33</v>
      </c>
      <c r="O104">
        <v>207.63</v>
      </c>
      <c r="P104">
        <v>4.7619047620000003</v>
      </c>
      <c r="Q104">
        <v>46.14</v>
      </c>
      <c r="R104">
        <v>5.1449999999999996</v>
      </c>
      <c r="S104">
        <v>96.078500000000005</v>
      </c>
      <c r="T104">
        <v>19.763300000000001</v>
      </c>
    </row>
    <row r="105" spans="1:20" x14ac:dyDescent="0.3">
      <c r="A105" t="s">
        <v>234</v>
      </c>
      <c r="B105" t="s">
        <v>21</v>
      </c>
      <c r="C105" t="s">
        <v>235</v>
      </c>
      <c r="D105" t="s">
        <v>23</v>
      </c>
      <c r="E105" t="s">
        <v>32</v>
      </c>
      <c r="F105" t="s">
        <v>36</v>
      </c>
      <c r="G105" t="s">
        <v>63</v>
      </c>
      <c r="H105">
        <v>58.26</v>
      </c>
      <c r="I105">
        <v>6</v>
      </c>
      <c r="J105">
        <v>17.478000000000002</v>
      </c>
      <c r="K105">
        <v>349.56</v>
      </c>
      <c r="L105" s="1">
        <v>43608</v>
      </c>
      <c r="M105" s="2">
        <v>0.69722222222222219</v>
      </c>
      <c r="N105" t="s">
        <v>33</v>
      </c>
      <c r="O105">
        <v>349.56</v>
      </c>
      <c r="P105">
        <v>4.7619047620000003</v>
      </c>
      <c r="Q105">
        <v>0</v>
      </c>
      <c r="R105">
        <v>9.9</v>
      </c>
      <c r="S105">
        <v>96.173500000000004</v>
      </c>
      <c r="T105">
        <v>16.840900000000001</v>
      </c>
    </row>
    <row r="106" spans="1:20" x14ac:dyDescent="0.3">
      <c r="A106" t="s">
        <v>236</v>
      </c>
      <c r="B106" t="s">
        <v>51</v>
      </c>
      <c r="C106" t="s">
        <v>175</v>
      </c>
      <c r="D106" t="s">
        <v>53</v>
      </c>
      <c r="E106" t="s">
        <v>32</v>
      </c>
      <c r="F106" t="s">
        <v>36</v>
      </c>
      <c r="G106" t="s">
        <v>26</v>
      </c>
      <c r="H106">
        <v>30.35</v>
      </c>
      <c r="I106">
        <v>10</v>
      </c>
      <c r="J106">
        <v>15.175000000000001</v>
      </c>
      <c r="K106">
        <v>303.5</v>
      </c>
      <c r="L106" s="1">
        <v>43575</v>
      </c>
      <c r="M106" s="2">
        <v>0.7631944444444444</v>
      </c>
      <c r="N106" t="s">
        <v>33</v>
      </c>
      <c r="O106">
        <v>212.45</v>
      </c>
      <c r="P106">
        <v>4.7619047620000003</v>
      </c>
      <c r="Q106">
        <v>91.05</v>
      </c>
      <c r="R106">
        <v>9.6</v>
      </c>
      <c r="S106">
        <v>96.089100000000002</v>
      </c>
      <c r="T106">
        <v>21.9588</v>
      </c>
    </row>
    <row r="107" spans="1:20" x14ac:dyDescent="0.3">
      <c r="A107" t="s">
        <v>237</v>
      </c>
      <c r="B107" t="s">
        <v>21</v>
      </c>
      <c r="C107" t="s">
        <v>238</v>
      </c>
      <c r="D107" t="s">
        <v>23</v>
      </c>
      <c r="E107" t="s">
        <v>24</v>
      </c>
      <c r="F107" t="s">
        <v>36</v>
      </c>
      <c r="G107" t="s">
        <v>60</v>
      </c>
      <c r="H107">
        <v>88.67</v>
      </c>
      <c r="I107">
        <v>14</v>
      </c>
      <c r="J107">
        <v>62.069000000000003</v>
      </c>
      <c r="K107">
        <v>1241.3800000000001</v>
      </c>
      <c r="L107" s="1">
        <v>43818</v>
      </c>
      <c r="M107" s="2">
        <v>0.61805555555555558</v>
      </c>
      <c r="N107" t="s">
        <v>27</v>
      </c>
      <c r="O107">
        <v>886.7</v>
      </c>
      <c r="P107">
        <v>4.7619047620000003</v>
      </c>
      <c r="Q107">
        <v>354.68</v>
      </c>
      <c r="R107">
        <v>7.3</v>
      </c>
      <c r="S107">
        <v>96.173500000000004</v>
      </c>
      <c r="T107">
        <v>16.840900000000001</v>
      </c>
    </row>
    <row r="108" spans="1:20" x14ac:dyDescent="0.3">
      <c r="A108" t="s">
        <v>239</v>
      </c>
      <c r="B108" t="s">
        <v>29</v>
      </c>
      <c r="C108" t="s">
        <v>143</v>
      </c>
      <c r="D108" t="s">
        <v>31</v>
      </c>
      <c r="E108" t="s">
        <v>32</v>
      </c>
      <c r="F108" t="s">
        <v>25</v>
      </c>
      <c r="G108" t="s">
        <v>100</v>
      </c>
      <c r="H108">
        <v>27.38</v>
      </c>
      <c r="I108">
        <v>7</v>
      </c>
      <c r="J108">
        <v>9.5830000000000002</v>
      </c>
      <c r="K108">
        <v>191.66</v>
      </c>
      <c r="L108" s="1">
        <v>43809</v>
      </c>
      <c r="M108" s="2">
        <v>0.87083333333333335</v>
      </c>
      <c r="N108" t="s">
        <v>37</v>
      </c>
      <c r="O108">
        <v>164.28</v>
      </c>
      <c r="P108">
        <v>4.7619047620000003</v>
      </c>
      <c r="Q108">
        <v>27.38</v>
      </c>
      <c r="R108">
        <v>8.2949999999999999</v>
      </c>
      <c r="S108">
        <v>96.078500000000005</v>
      </c>
      <c r="T108">
        <v>19.763300000000001</v>
      </c>
    </row>
    <row r="109" spans="1:20" x14ac:dyDescent="0.3">
      <c r="A109" t="s">
        <v>240</v>
      </c>
      <c r="B109" t="s">
        <v>21</v>
      </c>
      <c r="C109" t="s">
        <v>241</v>
      </c>
      <c r="D109" t="s">
        <v>23</v>
      </c>
      <c r="E109" t="s">
        <v>32</v>
      </c>
      <c r="F109" t="s">
        <v>25</v>
      </c>
      <c r="G109" t="s">
        <v>68</v>
      </c>
      <c r="H109">
        <v>62.13</v>
      </c>
      <c r="I109">
        <v>6</v>
      </c>
      <c r="J109">
        <v>18.638999999999999</v>
      </c>
      <c r="K109">
        <v>372.78</v>
      </c>
      <c r="L109" s="1">
        <v>43829</v>
      </c>
      <c r="M109" s="2">
        <v>0.84652777777777777</v>
      </c>
      <c r="N109" t="s">
        <v>33</v>
      </c>
      <c r="O109">
        <v>372.78</v>
      </c>
      <c r="P109">
        <v>4.7619047620000003</v>
      </c>
      <c r="Q109">
        <v>0</v>
      </c>
      <c r="R109">
        <v>7.4</v>
      </c>
      <c r="S109">
        <v>96.173500000000004</v>
      </c>
      <c r="T109">
        <v>16.840900000000001</v>
      </c>
    </row>
    <row r="110" spans="1:20" x14ac:dyDescent="0.3">
      <c r="A110" t="s">
        <v>242</v>
      </c>
      <c r="B110" t="s">
        <v>29</v>
      </c>
      <c r="C110" t="s">
        <v>243</v>
      </c>
      <c r="D110" t="s">
        <v>31</v>
      </c>
      <c r="E110" t="s">
        <v>32</v>
      </c>
      <c r="F110" t="s">
        <v>25</v>
      </c>
      <c r="G110" t="s">
        <v>63</v>
      </c>
      <c r="H110">
        <v>33.979999999999997</v>
      </c>
      <c r="I110">
        <v>11</v>
      </c>
      <c r="J110">
        <v>18.689</v>
      </c>
      <c r="K110">
        <v>373.78</v>
      </c>
      <c r="L110" s="1">
        <v>43551</v>
      </c>
      <c r="M110" s="2">
        <v>0.4465277777777778</v>
      </c>
      <c r="N110" t="s">
        <v>33</v>
      </c>
      <c r="O110">
        <v>305.82</v>
      </c>
      <c r="P110">
        <v>4.7619047620000003</v>
      </c>
      <c r="Q110">
        <v>67.959999999999994</v>
      </c>
      <c r="R110">
        <v>4.41</v>
      </c>
      <c r="S110">
        <v>96.078500000000005</v>
      </c>
      <c r="T110">
        <v>19.763300000000001</v>
      </c>
    </row>
    <row r="111" spans="1:20" x14ac:dyDescent="0.3">
      <c r="A111" t="s">
        <v>244</v>
      </c>
      <c r="B111" t="s">
        <v>29</v>
      </c>
      <c r="C111" t="s">
        <v>245</v>
      </c>
      <c r="D111" t="s">
        <v>31</v>
      </c>
      <c r="E111" t="s">
        <v>24</v>
      </c>
      <c r="F111" t="s">
        <v>25</v>
      </c>
      <c r="G111" t="s">
        <v>60</v>
      </c>
      <c r="H111">
        <v>81.97</v>
      </c>
      <c r="I111">
        <v>17</v>
      </c>
      <c r="J111">
        <v>69.674499999999995</v>
      </c>
      <c r="K111">
        <v>1393.49</v>
      </c>
      <c r="L111" s="1">
        <v>43512</v>
      </c>
      <c r="M111" s="2">
        <v>0.60416666666666663</v>
      </c>
      <c r="N111" t="s">
        <v>33</v>
      </c>
      <c r="O111">
        <v>819.7</v>
      </c>
      <c r="P111">
        <v>4.7619047620000003</v>
      </c>
      <c r="Q111">
        <v>573.79</v>
      </c>
      <c r="R111">
        <v>7.46</v>
      </c>
      <c r="S111">
        <v>96.078500000000005</v>
      </c>
      <c r="T111">
        <v>19.763300000000001</v>
      </c>
    </row>
    <row r="112" spans="1:20" x14ac:dyDescent="0.3">
      <c r="A112" t="s">
        <v>246</v>
      </c>
      <c r="B112" t="s">
        <v>51</v>
      </c>
      <c r="C112" t="s">
        <v>99</v>
      </c>
      <c r="D112" t="s">
        <v>53</v>
      </c>
      <c r="E112" t="s">
        <v>24</v>
      </c>
      <c r="F112" t="s">
        <v>25</v>
      </c>
      <c r="G112" t="s">
        <v>68</v>
      </c>
      <c r="H112">
        <v>16.489999999999998</v>
      </c>
      <c r="I112">
        <v>4</v>
      </c>
      <c r="J112">
        <v>3.298</v>
      </c>
      <c r="K112">
        <v>65.959999999999994</v>
      </c>
      <c r="L112" s="1">
        <v>43723</v>
      </c>
      <c r="M112" s="2">
        <v>0.48055555555555557</v>
      </c>
      <c r="N112" t="s">
        <v>27</v>
      </c>
      <c r="O112">
        <v>32.979999999999997</v>
      </c>
      <c r="P112">
        <v>4.7619047620000003</v>
      </c>
      <c r="Q112">
        <v>32.979999999999997</v>
      </c>
      <c r="R112">
        <v>7.46</v>
      </c>
      <c r="S112">
        <v>96.089100000000002</v>
      </c>
      <c r="T112">
        <v>21.9588</v>
      </c>
    </row>
    <row r="113" spans="1:20" x14ac:dyDescent="0.3">
      <c r="A113" t="s">
        <v>247</v>
      </c>
      <c r="B113" t="s">
        <v>29</v>
      </c>
      <c r="C113" t="s">
        <v>248</v>
      </c>
      <c r="D113" t="s">
        <v>31</v>
      </c>
      <c r="E113" t="s">
        <v>24</v>
      </c>
      <c r="F113" t="s">
        <v>25</v>
      </c>
      <c r="G113" t="s">
        <v>26</v>
      </c>
      <c r="H113">
        <v>98.21</v>
      </c>
      <c r="I113">
        <v>6</v>
      </c>
      <c r="J113">
        <v>29.463000000000001</v>
      </c>
      <c r="K113">
        <v>589.26</v>
      </c>
      <c r="L113" s="1">
        <v>43763</v>
      </c>
      <c r="M113" s="2">
        <v>0.44513888888888886</v>
      </c>
      <c r="N113" t="s">
        <v>37</v>
      </c>
      <c r="O113">
        <v>294.63</v>
      </c>
      <c r="P113">
        <v>4.7619047620000003</v>
      </c>
      <c r="Q113">
        <v>294.63</v>
      </c>
      <c r="R113">
        <v>7.46</v>
      </c>
      <c r="S113">
        <v>96.078500000000005</v>
      </c>
      <c r="T113">
        <v>19.763300000000001</v>
      </c>
    </row>
    <row r="114" spans="1:20" x14ac:dyDescent="0.3">
      <c r="A114" t="s">
        <v>249</v>
      </c>
      <c r="B114" t="s">
        <v>51</v>
      </c>
      <c r="C114" t="s">
        <v>250</v>
      </c>
      <c r="D114" t="s">
        <v>53</v>
      </c>
      <c r="E114" t="s">
        <v>32</v>
      </c>
      <c r="F114" t="s">
        <v>25</v>
      </c>
      <c r="G114" t="s">
        <v>100</v>
      </c>
      <c r="H114">
        <v>72.84</v>
      </c>
      <c r="I114">
        <v>10</v>
      </c>
      <c r="J114">
        <v>36.42</v>
      </c>
      <c r="K114">
        <v>728.4</v>
      </c>
      <c r="L114" s="1">
        <v>43662</v>
      </c>
      <c r="M114" s="2">
        <v>0.53055555555555556</v>
      </c>
      <c r="N114" t="s">
        <v>33</v>
      </c>
      <c r="O114">
        <v>509.88</v>
      </c>
      <c r="P114">
        <v>4.7619047620000003</v>
      </c>
      <c r="Q114">
        <v>218.52</v>
      </c>
      <c r="R114">
        <v>7.46</v>
      </c>
      <c r="S114">
        <v>96.089100000000002</v>
      </c>
      <c r="T114">
        <v>21.9588</v>
      </c>
    </row>
    <row r="115" spans="1:20" x14ac:dyDescent="0.3">
      <c r="A115" t="s">
        <v>251</v>
      </c>
      <c r="B115" t="s">
        <v>21</v>
      </c>
      <c r="C115" t="s">
        <v>252</v>
      </c>
      <c r="D115" t="s">
        <v>23</v>
      </c>
      <c r="E115" t="s">
        <v>24</v>
      </c>
      <c r="F115" t="s">
        <v>36</v>
      </c>
      <c r="G115" t="s">
        <v>77</v>
      </c>
      <c r="H115">
        <v>58.07</v>
      </c>
      <c r="I115">
        <v>13</v>
      </c>
      <c r="J115">
        <v>37.7455</v>
      </c>
      <c r="K115">
        <v>754.91</v>
      </c>
      <c r="L115" s="1">
        <v>43765</v>
      </c>
      <c r="M115" s="2">
        <v>0.83819444444444446</v>
      </c>
      <c r="N115" t="s">
        <v>27</v>
      </c>
      <c r="O115">
        <v>522.63</v>
      </c>
      <c r="P115">
        <v>4.7619047620000003</v>
      </c>
      <c r="Q115">
        <v>232.28</v>
      </c>
      <c r="R115">
        <v>7.46</v>
      </c>
      <c r="S115">
        <v>96.173500000000004</v>
      </c>
      <c r="T115">
        <v>16.840900000000001</v>
      </c>
    </row>
    <row r="116" spans="1:20" x14ac:dyDescent="0.3">
      <c r="A116" t="s">
        <v>253</v>
      </c>
      <c r="B116" t="s">
        <v>29</v>
      </c>
      <c r="C116" t="s">
        <v>254</v>
      </c>
      <c r="D116" t="s">
        <v>31</v>
      </c>
      <c r="E116" t="s">
        <v>24</v>
      </c>
      <c r="F116" t="s">
        <v>25</v>
      </c>
      <c r="G116" t="s">
        <v>77</v>
      </c>
      <c r="H116">
        <v>80.790000000000006</v>
      </c>
      <c r="I116">
        <v>15</v>
      </c>
      <c r="J116">
        <v>60.592500000000001</v>
      </c>
      <c r="K116">
        <v>1211.8499999999999</v>
      </c>
      <c r="L116" s="1">
        <v>43709</v>
      </c>
      <c r="M116" s="2">
        <v>0.85486111111111107</v>
      </c>
      <c r="N116" t="s">
        <v>37</v>
      </c>
      <c r="O116">
        <v>727.11</v>
      </c>
      <c r="P116">
        <v>4.7619047620000003</v>
      </c>
      <c r="Q116">
        <v>484.74</v>
      </c>
      <c r="R116">
        <v>7.46</v>
      </c>
      <c r="S116">
        <v>96.078500000000005</v>
      </c>
      <c r="T116">
        <v>19.763300000000001</v>
      </c>
    </row>
    <row r="117" spans="1:20" x14ac:dyDescent="0.3">
      <c r="A117" t="s">
        <v>255</v>
      </c>
      <c r="B117" t="s">
        <v>29</v>
      </c>
      <c r="C117" t="s">
        <v>256</v>
      </c>
      <c r="D117" t="s">
        <v>31</v>
      </c>
      <c r="E117" t="s">
        <v>32</v>
      </c>
      <c r="F117" t="s">
        <v>25</v>
      </c>
      <c r="G117" t="s">
        <v>26</v>
      </c>
      <c r="H117">
        <v>27.02</v>
      </c>
      <c r="I117">
        <v>4</v>
      </c>
      <c r="J117">
        <v>5.4039999999999999</v>
      </c>
      <c r="K117">
        <v>108.08</v>
      </c>
      <c r="L117" s="1">
        <v>43688</v>
      </c>
      <c r="M117" s="2">
        <v>0.54236111111111107</v>
      </c>
      <c r="N117" t="s">
        <v>37</v>
      </c>
      <c r="O117">
        <v>81.06</v>
      </c>
      <c r="P117">
        <v>4.7619047620000003</v>
      </c>
      <c r="Q117">
        <v>27.02</v>
      </c>
      <c r="R117">
        <v>7.46</v>
      </c>
      <c r="S117">
        <v>96.078500000000005</v>
      </c>
      <c r="T117">
        <v>19.763300000000001</v>
      </c>
    </row>
    <row r="118" spans="1:20" x14ac:dyDescent="0.3">
      <c r="A118" t="s">
        <v>257</v>
      </c>
      <c r="B118" t="s">
        <v>51</v>
      </c>
      <c r="C118" t="s">
        <v>258</v>
      </c>
      <c r="D118" t="s">
        <v>53</v>
      </c>
      <c r="E118" t="s">
        <v>24</v>
      </c>
      <c r="F118" t="s">
        <v>36</v>
      </c>
      <c r="G118" t="s">
        <v>26</v>
      </c>
      <c r="H118">
        <v>21.94</v>
      </c>
      <c r="I118">
        <v>10</v>
      </c>
      <c r="J118">
        <v>10.97</v>
      </c>
      <c r="K118">
        <v>219.4</v>
      </c>
      <c r="L118" s="1">
        <v>43802</v>
      </c>
      <c r="M118" s="2">
        <v>0.52013888888888893</v>
      </c>
      <c r="N118" t="s">
        <v>27</v>
      </c>
      <c r="O118">
        <v>109.7</v>
      </c>
      <c r="P118">
        <v>4.7619047620000003</v>
      </c>
      <c r="Q118">
        <v>109.7</v>
      </c>
      <c r="R118">
        <v>7.46</v>
      </c>
      <c r="S118">
        <v>96.089100000000002</v>
      </c>
      <c r="T118">
        <v>21.9588</v>
      </c>
    </row>
    <row r="119" spans="1:20" x14ac:dyDescent="0.3">
      <c r="A119" t="s">
        <v>259</v>
      </c>
      <c r="B119" t="s">
        <v>51</v>
      </c>
      <c r="C119" t="s">
        <v>260</v>
      </c>
      <c r="D119" t="s">
        <v>53</v>
      </c>
      <c r="E119" t="s">
        <v>24</v>
      </c>
      <c r="F119" t="s">
        <v>36</v>
      </c>
      <c r="G119" t="s">
        <v>26</v>
      </c>
      <c r="H119">
        <v>51.36</v>
      </c>
      <c r="I119">
        <v>1</v>
      </c>
      <c r="J119">
        <v>2.5680000000000001</v>
      </c>
      <c r="K119">
        <v>51.36</v>
      </c>
      <c r="L119" s="1">
        <v>43518</v>
      </c>
      <c r="M119" s="2">
        <v>0.6430555555555556</v>
      </c>
      <c r="N119" t="s">
        <v>27</v>
      </c>
      <c r="O119">
        <v>51.36</v>
      </c>
      <c r="P119">
        <v>4.7619047620000003</v>
      </c>
      <c r="Q119">
        <v>0</v>
      </c>
      <c r="R119">
        <v>7.46</v>
      </c>
      <c r="S119">
        <v>96.089100000000002</v>
      </c>
      <c r="T119">
        <v>21.9588</v>
      </c>
    </row>
    <row r="120" spans="1:20" x14ac:dyDescent="0.3">
      <c r="A120" t="s">
        <v>261</v>
      </c>
      <c r="B120" t="s">
        <v>21</v>
      </c>
      <c r="C120" t="s">
        <v>262</v>
      </c>
      <c r="D120" t="s">
        <v>23</v>
      </c>
      <c r="E120" t="s">
        <v>32</v>
      </c>
      <c r="F120" t="s">
        <v>25</v>
      </c>
      <c r="G120" t="s">
        <v>26</v>
      </c>
      <c r="H120">
        <v>10.96</v>
      </c>
      <c r="I120">
        <v>10</v>
      </c>
      <c r="J120">
        <v>5.48</v>
      </c>
      <c r="K120">
        <v>109.6</v>
      </c>
      <c r="L120" s="1">
        <v>43658</v>
      </c>
      <c r="M120" s="2">
        <v>0.8666666666666667</v>
      </c>
      <c r="N120" t="s">
        <v>27</v>
      </c>
      <c r="O120">
        <v>109.6</v>
      </c>
      <c r="P120">
        <v>4.7619047620000003</v>
      </c>
      <c r="Q120">
        <v>0</v>
      </c>
      <c r="R120">
        <v>7.46</v>
      </c>
      <c r="S120">
        <v>96.173500000000004</v>
      </c>
      <c r="T120">
        <v>16.840900000000001</v>
      </c>
    </row>
    <row r="121" spans="1:20" x14ac:dyDescent="0.3">
      <c r="A121" t="s">
        <v>263</v>
      </c>
      <c r="B121" t="s">
        <v>51</v>
      </c>
      <c r="C121" t="s">
        <v>175</v>
      </c>
      <c r="D121" t="s">
        <v>53</v>
      </c>
      <c r="E121" t="s">
        <v>32</v>
      </c>
      <c r="F121" t="s">
        <v>36</v>
      </c>
      <c r="G121" t="s">
        <v>77</v>
      </c>
      <c r="H121">
        <v>53.44</v>
      </c>
      <c r="I121">
        <v>3</v>
      </c>
      <c r="J121">
        <v>8.016</v>
      </c>
      <c r="K121">
        <v>160.32</v>
      </c>
      <c r="L121" s="1">
        <v>43582</v>
      </c>
      <c r="M121" s="2">
        <v>0.85972222222222228</v>
      </c>
      <c r="N121" t="s">
        <v>27</v>
      </c>
      <c r="O121">
        <v>106.88</v>
      </c>
      <c r="P121">
        <v>4.7619047620000003</v>
      </c>
      <c r="Q121">
        <v>53.44</v>
      </c>
      <c r="R121">
        <v>7.46</v>
      </c>
      <c r="S121">
        <v>96.089100000000002</v>
      </c>
      <c r="T121">
        <v>21.9588</v>
      </c>
    </row>
    <row r="122" spans="1:20" x14ac:dyDescent="0.3">
      <c r="A122" t="s">
        <v>264</v>
      </c>
      <c r="B122" t="s">
        <v>21</v>
      </c>
      <c r="C122" t="s">
        <v>265</v>
      </c>
      <c r="D122" t="s">
        <v>23</v>
      </c>
      <c r="E122" t="s">
        <v>32</v>
      </c>
      <c r="F122" t="s">
        <v>25</v>
      </c>
      <c r="G122" t="s">
        <v>60</v>
      </c>
      <c r="H122">
        <v>99.56</v>
      </c>
      <c r="I122">
        <v>8</v>
      </c>
      <c r="J122">
        <v>39.823999999999998</v>
      </c>
      <c r="K122">
        <v>796.48</v>
      </c>
      <c r="L122" s="1">
        <v>43557</v>
      </c>
      <c r="M122" s="2">
        <v>0.7104166666666667</v>
      </c>
      <c r="N122" t="s">
        <v>37</v>
      </c>
      <c r="O122">
        <v>796.48</v>
      </c>
      <c r="P122">
        <v>4.7619047620000003</v>
      </c>
      <c r="Q122">
        <v>0</v>
      </c>
      <c r="R122">
        <v>7.46</v>
      </c>
      <c r="S122">
        <v>96.173500000000004</v>
      </c>
      <c r="T122">
        <v>16.840900000000001</v>
      </c>
    </row>
    <row r="123" spans="1:20" x14ac:dyDescent="0.3">
      <c r="A123" t="s">
        <v>266</v>
      </c>
      <c r="B123" t="s">
        <v>29</v>
      </c>
      <c r="C123" t="s">
        <v>138</v>
      </c>
      <c r="D123" t="s">
        <v>31</v>
      </c>
      <c r="E123" t="s">
        <v>32</v>
      </c>
      <c r="F123" t="s">
        <v>36</v>
      </c>
      <c r="G123" t="s">
        <v>68</v>
      </c>
      <c r="H123">
        <v>57.12</v>
      </c>
      <c r="I123">
        <v>8</v>
      </c>
      <c r="J123">
        <v>22.847999999999999</v>
      </c>
      <c r="K123">
        <v>456.96</v>
      </c>
      <c r="L123" s="1">
        <v>43823</v>
      </c>
      <c r="M123" s="2">
        <v>0.50138888888888888</v>
      </c>
      <c r="N123" t="s">
        <v>37</v>
      </c>
      <c r="O123">
        <v>399.84</v>
      </c>
      <c r="P123">
        <v>4.7619047620000003</v>
      </c>
      <c r="Q123">
        <v>57.12</v>
      </c>
      <c r="R123">
        <v>7.46</v>
      </c>
      <c r="S123">
        <v>96.078500000000005</v>
      </c>
      <c r="T123">
        <v>19.763300000000001</v>
      </c>
    </row>
    <row r="124" spans="1:20" x14ac:dyDescent="0.3">
      <c r="A124" t="s">
        <v>267</v>
      </c>
      <c r="B124" t="s">
        <v>51</v>
      </c>
      <c r="C124" t="s">
        <v>268</v>
      </c>
      <c r="D124" t="s">
        <v>53</v>
      </c>
      <c r="E124" t="s">
        <v>32</v>
      </c>
      <c r="F124" t="s">
        <v>36</v>
      </c>
      <c r="G124" t="s">
        <v>68</v>
      </c>
      <c r="H124">
        <v>99.96</v>
      </c>
      <c r="I124">
        <v>13</v>
      </c>
      <c r="J124">
        <v>64.974000000000004</v>
      </c>
      <c r="K124">
        <v>1299.48</v>
      </c>
      <c r="L124" s="1">
        <v>43718</v>
      </c>
      <c r="M124" s="2">
        <v>0.72638888888888886</v>
      </c>
      <c r="N124" t="s">
        <v>37</v>
      </c>
      <c r="O124">
        <v>899.64</v>
      </c>
      <c r="P124">
        <v>4.7619047620000003</v>
      </c>
      <c r="Q124">
        <v>399.84</v>
      </c>
      <c r="R124">
        <v>7.46</v>
      </c>
      <c r="S124">
        <v>96.089100000000002</v>
      </c>
      <c r="T124">
        <v>21.9588</v>
      </c>
    </row>
    <row r="125" spans="1:20" x14ac:dyDescent="0.3">
      <c r="A125" t="s">
        <v>269</v>
      </c>
      <c r="B125" t="s">
        <v>29</v>
      </c>
      <c r="C125" t="s">
        <v>270</v>
      </c>
      <c r="D125" t="s">
        <v>31</v>
      </c>
      <c r="E125" t="s">
        <v>32</v>
      </c>
      <c r="F125" t="s">
        <v>36</v>
      </c>
      <c r="G125" t="s">
        <v>77</v>
      </c>
      <c r="H125">
        <v>63.91</v>
      </c>
      <c r="I125">
        <v>10</v>
      </c>
      <c r="J125">
        <v>31.954999999999998</v>
      </c>
      <c r="K125">
        <v>639.1</v>
      </c>
      <c r="L125" s="1">
        <v>43724</v>
      </c>
      <c r="M125" s="2">
        <v>0.82777777777777772</v>
      </c>
      <c r="N125" t="s">
        <v>37</v>
      </c>
      <c r="O125">
        <v>511.28</v>
      </c>
      <c r="P125">
        <v>4.7619047620000003</v>
      </c>
      <c r="Q125">
        <v>127.82</v>
      </c>
      <c r="R125">
        <v>7.46</v>
      </c>
      <c r="S125">
        <v>96.078500000000005</v>
      </c>
      <c r="T125">
        <v>19.763300000000001</v>
      </c>
    </row>
    <row r="126" spans="1:20" x14ac:dyDescent="0.3">
      <c r="A126" t="s">
        <v>271</v>
      </c>
      <c r="B126" t="s">
        <v>51</v>
      </c>
      <c r="C126" t="s">
        <v>57</v>
      </c>
      <c r="D126" t="s">
        <v>53</v>
      </c>
      <c r="E126" t="s">
        <v>32</v>
      </c>
      <c r="F126" t="s">
        <v>25</v>
      </c>
      <c r="G126" t="s">
        <v>100</v>
      </c>
      <c r="H126">
        <v>56.47</v>
      </c>
      <c r="I126">
        <v>11</v>
      </c>
      <c r="J126">
        <f t="shared" ref="J126:J140" si="3">K126*5%</f>
        <v>31.058499999999999</v>
      </c>
      <c r="K126">
        <v>621.16999999999996</v>
      </c>
      <c r="L126" s="1">
        <v>43627</v>
      </c>
      <c r="M126" s="2">
        <v>0.62291666666666667</v>
      </c>
      <c r="N126" t="s">
        <v>27</v>
      </c>
      <c r="O126">
        <v>451.76</v>
      </c>
      <c r="P126">
        <v>4.7619047620000003</v>
      </c>
      <c r="Q126">
        <v>169.41</v>
      </c>
      <c r="R126">
        <v>7.46</v>
      </c>
      <c r="S126">
        <v>96.089100000000002</v>
      </c>
      <c r="T126">
        <v>21.9588</v>
      </c>
    </row>
    <row r="127" spans="1:20" x14ac:dyDescent="0.3">
      <c r="A127" t="s">
        <v>272</v>
      </c>
      <c r="B127" t="s">
        <v>21</v>
      </c>
      <c r="C127" t="s">
        <v>164</v>
      </c>
      <c r="D127" t="s">
        <v>23</v>
      </c>
      <c r="E127" t="s">
        <v>32</v>
      </c>
      <c r="F127" t="s">
        <v>25</v>
      </c>
      <c r="G127" t="s">
        <v>77</v>
      </c>
      <c r="H127">
        <v>93.69</v>
      </c>
      <c r="I127">
        <v>7</v>
      </c>
      <c r="J127">
        <f t="shared" si="3"/>
        <v>32.791500000000006</v>
      </c>
      <c r="K127">
        <v>655.83</v>
      </c>
      <c r="L127" s="1">
        <v>43549</v>
      </c>
      <c r="M127" s="2">
        <v>0.78055555555555556</v>
      </c>
      <c r="N127" t="s">
        <v>37</v>
      </c>
      <c r="O127">
        <v>655.83</v>
      </c>
      <c r="P127">
        <v>4.7619047620000003</v>
      </c>
      <c r="Q127">
        <v>0</v>
      </c>
      <c r="R127">
        <v>7.46</v>
      </c>
      <c r="S127">
        <v>96.173500000000004</v>
      </c>
      <c r="T127">
        <v>16.840900000000001</v>
      </c>
    </row>
    <row r="128" spans="1:20" x14ac:dyDescent="0.3">
      <c r="A128" t="s">
        <v>273</v>
      </c>
      <c r="B128" t="s">
        <v>21</v>
      </c>
      <c r="C128" t="s">
        <v>274</v>
      </c>
      <c r="D128" t="s">
        <v>23</v>
      </c>
      <c r="E128" t="s">
        <v>32</v>
      </c>
      <c r="F128" t="s">
        <v>25</v>
      </c>
      <c r="G128" t="s">
        <v>68</v>
      </c>
      <c r="H128">
        <v>32.25</v>
      </c>
      <c r="I128">
        <v>5</v>
      </c>
      <c r="J128">
        <f t="shared" si="3"/>
        <v>8.0625</v>
      </c>
      <c r="K128">
        <v>161.25</v>
      </c>
      <c r="L128" s="1">
        <v>43798</v>
      </c>
      <c r="M128" s="2">
        <v>0.55972222222222223</v>
      </c>
      <c r="N128" t="s">
        <v>33</v>
      </c>
      <c r="O128">
        <v>161.25</v>
      </c>
      <c r="P128">
        <v>4.7619047620000003</v>
      </c>
      <c r="Q128">
        <v>0</v>
      </c>
      <c r="R128">
        <v>9</v>
      </c>
      <c r="S128">
        <v>96.173500000000004</v>
      </c>
      <c r="T128">
        <v>16.840900000000001</v>
      </c>
    </row>
    <row r="129" spans="1:20" x14ac:dyDescent="0.3">
      <c r="A129" t="s">
        <v>275</v>
      </c>
      <c r="B129" t="s">
        <v>29</v>
      </c>
      <c r="C129" t="s">
        <v>276</v>
      </c>
      <c r="D129" t="s">
        <v>31</v>
      </c>
      <c r="E129" t="s">
        <v>32</v>
      </c>
      <c r="F129" t="s">
        <v>25</v>
      </c>
      <c r="G129" t="s">
        <v>100</v>
      </c>
      <c r="H129">
        <v>31.73</v>
      </c>
      <c r="I129">
        <v>11</v>
      </c>
      <c r="J129">
        <f t="shared" si="3"/>
        <v>17.451499999999999</v>
      </c>
      <c r="K129">
        <v>349.03</v>
      </c>
      <c r="L129" s="1">
        <v>43589</v>
      </c>
      <c r="M129" s="2">
        <v>0.67847222222222225</v>
      </c>
      <c r="N129" t="s">
        <v>37</v>
      </c>
      <c r="O129">
        <v>285.57</v>
      </c>
      <c r="P129">
        <v>4.7619047620000003</v>
      </c>
      <c r="Q129">
        <v>63.46</v>
      </c>
      <c r="R129">
        <v>6.1950000000000003</v>
      </c>
      <c r="S129">
        <v>96.078500000000005</v>
      </c>
      <c r="T129">
        <v>19.763300000000001</v>
      </c>
    </row>
    <row r="130" spans="1:20" x14ac:dyDescent="0.3">
      <c r="A130" t="s">
        <v>277</v>
      </c>
      <c r="B130" t="s">
        <v>29</v>
      </c>
      <c r="C130" t="s">
        <v>278</v>
      </c>
      <c r="D130" t="s">
        <v>31</v>
      </c>
      <c r="E130" t="s">
        <v>32</v>
      </c>
      <c r="F130" t="s">
        <v>25</v>
      </c>
      <c r="G130" t="s">
        <v>63</v>
      </c>
      <c r="H130">
        <v>68.540000000000006</v>
      </c>
      <c r="I130">
        <v>10</v>
      </c>
      <c r="J130">
        <f t="shared" si="3"/>
        <v>34.270000000000003</v>
      </c>
      <c r="K130">
        <v>685.4</v>
      </c>
      <c r="L130" s="1">
        <v>43628</v>
      </c>
      <c r="M130" s="2">
        <v>0.6645833333333333</v>
      </c>
      <c r="N130" t="s">
        <v>27</v>
      </c>
      <c r="O130">
        <v>548.32000000000005</v>
      </c>
      <c r="P130">
        <v>4.7619047620000003</v>
      </c>
      <c r="Q130">
        <v>137.08000000000001</v>
      </c>
      <c r="R130">
        <v>8.9250000000000007</v>
      </c>
      <c r="S130">
        <v>96.078500000000005</v>
      </c>
      <c r="T130">
        <v>19.763300000000001</v>
      </c>
    </row>
    <row r="131" spans="1:20" x14ac:dyDescent="0.3">
      <c r="A131" t="s">
        <v>279</v>
      </c>
      <c r="B131" t="s">
        <v>51</v>
      </c>
      <c r="C131" t="s">
        <v>280</v>
      </c>
      <c r="D131" t="s">
        <v>53</v>
      </c>
      <c r="E131" t="s">
        <v>32</v>
      </c>
      <c r="F131" t="s">
        <v>25</v>
      </c>
      <c r="G131" t="s">
        <v>68</v>
      </c>
      <c r="H131">
        <v>90.28</v>
      </c>
      <c r="I131">
        <v>13</v>
      </c>
      <c r="J131">
        <f t="shared" si="3"/>
        <v>58.682000000000009</v>
      </c>
      <c r="K131">
        <v>1173.6400000000001</v>
      </c>
      <c r="L131" s="1">
        <v>43555</v>
      </c>
      <c r="M131" s="2">
        <v>0.46875</v>
      </c>
      <c r="N131" t="s">
        <v>27</v>
      </c>
      <c r="O131">
        <v>812.52</v>
      </c>
      <c r="P131">
        <v>4.7619047620000003</v>
      </c>
      <c r="Q131">
        <v>361.12</v>
      </c>
      <c r="R131">
        <v>8.64</v>
      </c>
      <c r="S131">
        <v>96.089100000000002</v>
      </c>
      <c r="T131">
        <v>21.9588</v>
      </c>
    </row>
    <row r="132" spans="1:20" x14ac:dyDescent="0.3">
      <c r="A132" t="s">
        <v>281</v>
      </c>
      <c r="B132" t="s">
        <v>51</v>
      </c>
      <c r="C132" t="s">
        <v>282</v>
      </c>
      <c r="D132" t="s">
        <v>53</v>
      </c>
      <c r="E132" t="s">
        <v>32</v>
      </c>
      <c r="F132" t="s">
        <v>25</v>
      </c>
      <c r="G132" t="s">
        <v>100</v>
      </c>
      <c r="H132">
        <v>39.619999999999997</v>
      </c>
      <c r="I132">
        <v>10</v>
      </c>
      <c r="J132">
        <f t="shared" si="3"/>
        <v>19.810000000000002</v>
      </c>
      <c r="K132">
        <v>396.2</v>
      </c>
      <c r="L132" s="1">
        <v>43559</v>
      </c>
      <c r="M132" s="2">
        <v>0.5541666666666667</v>
      </c>
      <c r="N132" t="s">
        <v>27</v>
      </c>
      <c r="O132">
        <v>277.33999999999997</v>
      </c>
      <c r="P132">
        <v>4.7619047620000003</v>
      </c>
      <c r="Q132">
        <v>118.86</v>
      </c>
      <c r="R132">
        <v>9</v>
      </c>
      <c r="S132">
        <v>96.089100000000002</v>
      </c>
      <c r="T132">
        <v>21.9588</v>
      </c>
    </row>
    <row r="133" spans="1:20" x14ac:dyDescent="0.3">
      <c r="A133" t="s">
        <v>283</v>
      </c>
      <c r="B133" t="s">
        <v>21</v>
      </c>
      <c r="C133" t="s">
        <v>284</v>
      </c>
      <c r="D133" t="s">
        <v>23</v>
      </c>
      <c r="E133" t="s">
        <v>32</v>
      </c>
      <c r="F133" t="s">
        <v>25</v>
      </c>
      <c r="G133" t="s">
        <v>68</v>
      </c>
      <c r="H133">
        <v>92.13</v>
      </c>
      <c r="I133">
        <v>6</v>
      </c>
      <c r="J133">
        <f t="shared" si="3"/>
        <v>27.638999999999999</v>
      </c>
      <c r="K133">
        <v>552.78</v>
      </c>
      <c r="L133" s="1">
        <v>43690</v>
      </c>
      <c r="M133" s="2">
        <v>0.8569444444444444</v>
      </c>
      <c r="N133" t="s">
        <v>27</v>
      </c>
      <c r="O133">
        <v>552.78</v>
      </c>
      <c r="P133">
        <v>4.7619047620000003</v>
      </c>
      <c r="Q133">
        <v>0</v>
      </c>
      <c r="R133">
        <v>8.3000000000000007</v>
      </c>
      <c r="S133">
        <v>96.173500000000004</v>
      </c>
      <c r="T133">
        <v>16.840900000000001</v>
      </c>
    </row>
    <row r="134" spans="1:20" x14ac:dyDescent="0.3">
      <c r="A134" t="s">
        <v>285</v>
      </c>
      <c r="B134" t="s">
        <v>51</v>
      </c>
      <c r="C134" t="s">
        <v>286</v>
      </c>
      <c r="D134" t="s">
        <v>53</v>
      </c>
      <c r="E134" t="s">
        <v>32</v>
      </c>
      <c r="F134" t="s">
        <v>25</v>
      </c>
      <c r="G134" t="s">
        <v>68</v>
      </c>
      <c r="H134">
        <v>34.840000000000003</v>
      </c>
      <c r="I134">
        <v>6</v>
      </c>
      <c r="J134">
        <f t="shared" si="3"/>
        <v>10.452</v>
      </c>
      <c r="K134">
        <v>209.04</v>
      </c>
      <c r="L134" s="1">
        <v>43476</v>
      </c>
      <c r="M134" s="2">
        <v>0.77500000000000002</v>
      </c>
      <c r="N134" t="s">
        <v>27</v>
      </c>
      <c r="O134">
        <v>139.36000000000001</v>
      </c>
      <c r="P134">
        <v>4.7619047620000003</v>
      </c>
      <c r="Q134">
        <v>69.680000000000007</v>
      </c>
      <c r="R134">
        <v>8.8800000000000008</v>
      </c>
      <c r="S134">
        <v>96.089100000000002</v>
      </c>
      <c r="T134">
        <v>21.9588</v>
      </c>
    </row>
    <row r="135" spans="1:20" x14ac:dyDescent="0.3">
      <c r="A135" t="s">
        <v>287</v>
      </c>
      <c r="B135" t="s">
        <v>51</v>
      </c>
      <c r="C135" t="s">
        <v>288</v>
      </c>
      <c r="D135" t="s">
        <v>53</v>
      </c>
      <c r="E135" t="s">
        <v>32</v>
      </c>
      <c r="F135" t="s">
        <v>36</v>
      </c>
      <c r="G135" t="s">
        <v>60</v>
      </c>
      <c r="H135">
        <v>87.45</v>
      </c>
      <c r="I135">
        <v>8</v>
      </c>
      <c r="J135">
        <f t="shared" si="3"/>
        <v>34.980000000000004</v>
      </c>
      <c r="K135">
        <v>699.6</v>
      </c>
      <c r="L135" s="1">
        <v>43521</v>
      </c>
      <c r="M135" s="2">
        <v>0.61111111111111116</v>
      </c>
      <c r="N135" t="s">
        <v>27</v>
      </c>
      <c r="O135">
        <v>524.70000000000005</v>
      </c>
      <c r="P135">
        <v>4.7619047620000003</v>
      </c>
      <c r="Q135">
        <v>174.9</v>
      </c>
      <c r="R135">
        <v>10</v>
      </c>
      <c r="S135">
        <v>96.089100000000002</v>
      </c>
      <c r="T135">
        <v>21.9588</v>
      </c>
    </row>
    <row r="136" spans="1:20" x14ac:dyDescent="0.3">
      <c r="A136" t="s">
        <v>289</v>
      </c>
      <c r="B136" t="s">
        <v>29</v>
      </c>
      <c r="C136" t="s">
        <v>290</v>
      </c>
      <c r="D136" t="s">
        <v>31</v>
      </c>
      <c r="E136" t="s">
        <v>32</v>
      </c>
      <c r="F136" t="s">
        <v>25</v>
      </c>
      <c r="G136" t="s">
        <v>26</v>
      </c>
      <c r="H136">
        <v>81.3</v>
      </c>
      <c r="I136">
        <v>7</v>
      </c>
      <c r="J136">
        <f t="shared" si="3"/>
        <v>28.455000000000002</v>
      </c>
      <c r="K136">
        <v>569.1</v>
      </c>
      <c r="L136" s="1">
        <v>43761</v>
      </c>
      <c r="M136" s="2">
        <v>0.69652777777777775</v>
      </c>
      <c r="N136" t="s">
        <v>27</v>
      </c>
      <c r="O136">
        <v>487.8</v>
      </c>
      <c r="P136">
        <v>4.7619047620000003</v>
      </c>
      <c r="Q136">
        <v>81.3</v>
      </c>
      <c r="R136">
        <v>5.5650000000000004</v>
      </c>
      <c r="S136">
        <v>96.078500000000005</v>
      </c>
      <c r="T136">
        <v>19.763300000000001</v>
      </c>
    </row>
    <row r="137" spans="1:20" x14ac:dyDescent="0.3">
      <c r="A137" t="s">
        <v>291</v>
      </c>
      <c r="B137" t="s">
        <v>29</v>
      </c>
      <c r="C137" t="s">
        <v>55</v>
      </c>
      <c r="D137" t="s">
        <v>31</v>
      </c>
      <c r="E137" t="s">
        <v>32</v>
      </c>
      <c r="F137" t="s">
        <v>36</v>
      </c>
      <c r="G137" t="s">
        <v>100</v>
      </c>
      <c r="H137">
        <v>90.22</v>
      </c>
      <c r="I137">
        <v>4</v>
      </c>
      <c r="J137">
        <f t="shared" si="3"/>
        <v>18.044</v>
      </c>
      <c r="K137">
        <v>360.88</v>
      </c>
      <c r="L137" s="1">
        <v>43642</v>
      </c>
      <c r="M137" s="2">
        <v>0.81874999999999998</v>
      </c>
      <c r="N137" t="s">
        <v>27</v>
      </c>
      <c r="O137">
        <v>270.66000000000003</v>
      </c>
      <c r="P137">
        <v>4.7619047620000003</v>
      </c>
      <c r="Q137">
        <v>90.22</v>
      </c>
      <c r="R137">
        <v>6.51</v>
      </c>
      <c r="S137">
        <v>96.078500000000005</v>
      </c>
      <c r="T137">
        <v>19.763300000000001</v>
      </c>
    </row>
    <row r="138" spans="1:20" x14ac:dyDescent="0.3">
      <c r="A138" t="s">
        <v>292</v>
      </c>
      <c r="B138" t="s">
        <v>21</v>
      </c>
      <c r="C138" t="s">
        <v>205</v>
      </c>
      <c r="D138" t="s">
        <v>23</v>
      </c>
      <c r="E138" t="s">
        <v>32</v>
      </c>
      <c r="F138" t="s">
        <v>25</v>
      </c>
      <c r="G138" t="s">
        <v>60</v>
      </c>
      <c r="H138">
        <v>26.31</v>
      </c>
      <c r="I138">
        <v>5</v>
      </c>
      <c r="J138">
        <f t="shared" si="3"/>
        <v>6.5775000000000006</v>
      </c>
      <c r="K138">
        <v>131.55000000000001</v>
      </c>
      <c r="L138" s="1">
        <v>43487</v>
      </c>
      <c r="M138" s="2">
        <v>0.87430555555555556</v>
      </c>
      <c r="N138" t="s">
        <v>27</v>
      </c>
      <c r="O138">
        <v>131.55000000000001</v>
      </c>
      <c r="P138">
        <v>4.7619047620000003</v>
      </c>
      <c r="Q138">
        <v>0</v>
      </c>
      <c r="R138">
        <v>8.8000000000000007</v>
      </c>
      <c r="S138">
        <v>96.173500000000004</v>
      </c>
      <c r="T138">
        <v>16.840900000000001</v>
      </c>
    </row>
    <row r="139" spans="1:20" x14ac:dyDescent="0.3">
      <c r="A139" t="s">
        <v>293</v>
      </c>
      <c r="B139" t="s">
        <v>21</v>
      </c>
      <c r="C139" t="s">
        <v>294</v>
      </c>
      <c r="D139" t="s">
        <v>23</v>
      </c>
      <c r="E139" t="s">
        <v>32</v>
      </c>
      <c r="F139" t="s">
        <v>25</v>
      </c>
      <c r="G139" t="s">
        <v>77</v>
      </c>
      <c r="H139">
        <v>34.42</v>
      </c>
      <c r="I139">
        <v>6</v>
      </c>
      <c r="J139">
        <f t="shared" si="3"/>
        <v>10.326000000000001</v>
      </c>
      <c r="K139">
        <v>206.52</v>
      </c>
      <c r="L139" s="1">
        <v>43510</v>
      </c>
      <c r="M139" s="2">
        <v>0.65208333333333335</v>
      </c>
      <c r="N139" t="s">
        <v>27</v>
      </c>
      <c r="O139">
        <v>206.52</v>
      </c>
      <c r="P139">
        <v>4.7619047620000003</v>
      </c>
      <c r="Q139">
        <v>0</v>
      </c>
      <c r="R139">
        <v>9.8000000000000007</v>
      </c>
      <c r="S139">
        <v>96.173500000000004</v>
      </c>
      <c r="T139">
        <v>16.840900000000001</v>
      </c>
    </row>
    <row r="140" spans="1:20" x14ac:dyDescent="0.3">
      <c r="A140" t="s">
        <v>295</v>
      </c>
      <c r="B140" t="s">
        <v>51</v>
      </c>
      <c r="C140" t="s">
        <v>296</v>
      </c>
      <c r="D140" t="s">
        <v>53</v>
      </c>
      <c r="E140" t="s">
        <v>32</v>
      </c>
      <c r="F140" t="s">
        <v>36</v>
      </c>
      <c r="G140" t="s">
        <v>68</v>
      </c>
      <c r="H140">
        <v>51.91</v>
      </c>
      <c r="I140">
        <v>14</v>
      </c>
      <c r="J140">
        <f t="shared" si="3"/>
        <v>36.337000000000003</v>
      </c>
      <c r="K140">
        <v>726.74</v>
      </c>
      <c r="L140" s="1">
        <v>43476</v>
      </c>
      <c r="M140" s="2">
        <v>0.51458333333333328</v>
      </c>
      <c r="N140" t="s">
        <v>33</v>
      </c>
      <c r="O140">
        <v>519.1</v>
      </c>
      <c r="P140">
        <v>4.7619047620000003</v>
      </c>
      <c r="Q140">
        <v>207.64</v>
      </c>
      <c r="R140">
        <v>9.84</v>
      </c>
      <c r="S140">
        <v>96.089100000000002</v>
      </c>
      <c r="T140">
        <v>21.9588</v>
      </c>
    </row>
    <row r="141" spans="1:20" x14ac:dyDescent="0.3">
      <c r="A141" t="s">
        <v>297</v>
      </c>
      <c r="B141" t="s">
        <v>21</v>
      </c>
      <c r="C141" t="s">
        <v>265</v>
      </c>
      <c r="D141" t="s">
        <v>23</v>
      </c>
      <c r="E141" t="s">
        <v>32</v>
      </c>
      <c r="F141" t="s">
        <v>36</v>
      </c>
      <c r="G141" t="s">
        <v>68</v>
      </c>
      <c r="H141">
        <v>72.5</v>
      </c>
      <c r="I141">
        <v>8</v>
      </c>
      <c r="J141">
        <v>29</v>
      </c>
      <c r="K141">
        <v>580</v>
      </c>
      <c r="L141" s="1">
        <v>43576</v>
      </c>
      <c r="M141" s="2">
        <v>0.80902777777777779</v>
      </c>
      <c r="N141" t="s">
        <v>27</v>
      </c>
      <c r="O141">
        <v>580</v>
      </c>
      <c r="P141">
        <v>4.7619047620000003</v>
      </c>
      <c r="Q141">
        <v>0</v>
      </c>
      <c r="R141">
        <v>9.1999999999999993</v>
      </c>
      <c r="S141">
        <v>96.173500000000004</v>
      </c>
      <c r="T141">
        <v>16.840900000000001</v>
      </c>
    </row>
    <row r="142" spans="1:20" x14ac:dyDescent="0.3">
      <c r="A142" t="s">
        <v>298</v>
      </c>
      <c r="B142" t="s">
        <v>29</v>
      </c>
      <c r="C142" t="s">
        <v>299</v>
      </c>
      <c r="D142" t="s">
        <v>31</v>
      </c>
      <c r="E142" t="s">
        <v>32</v>
      </c>
      <c r="F142" t="s">
        <v>25</v>
      </c>
      <c r="G142" t="s">
        <v>68</v>
      </c>
      <c r="H142">
        <v>89.8</v>
      </c>
      <c r="I142">
        <v>12</v>
      </c>
      <c r="J142">
        <v>53.88</v>
      </c>
      <c r="K142">
        <v>1077.5999999999999</v>
      </c>
      <c r="L142" s="1">
        <v>43524</v>
      </c>
      <c r="M142" s="2">
        <v>0.54166666666666663</v>
      </c>
      <c r="N142" t="s">
        <v>37</v>
      </c>
      <c r="O142">
        <v>898</v>
      </c>
      <c r="P142">
        <v>4.7619047620000003</v>
      </c>
      <c r="Q142">
        <v>179.6</v>
      </c>
      <c r="R142">
        <v>5.67</v>
      </c>
      <c r="S142">
        <v>96.078500000000005</v>
      </c>
      <c r="T142">
        <v>19.763300000000001</v>
      </c>
    </row>
    <row r="143" spans="1:20" x14ac:dyDescent="0.3">
      <c r="A143" t="s">
        <v>300</v>
      </c>
      <c r="B143" t="s">
        <v>29</v>
      </c>
      <c r="C143" t="s">
        <v>301</v>
      </c>
      <c r="D143" t="s">
        <v>31</v>
      </c>
      <c r="E143" t="s">
        <v>32</v>
      </c>
      <c r="F143" t="s">
        <v>36</v>
      </c>
      <c r="G143" t="s">
        <v>26</v>
      </c>
      <c r="H143">
        <v>90.5</v>
      </c>
      <c r="I143">
        <v>12</v>
      </c>
      <c r="J143">
        <v>54.3</v>
      </c>
      <c r="K143">
        <v>1086</v>
      </c>
      <c r="L143" s="1">
        <v>43704</v>
      </c>
      <c r="M143" s="2">
        <v>0.57499999999999996</v>
      </c>
      <c r="N143" t="s">
        <v>33</v>
      </c>
      <c r="O143">
        <v>905</v>
      </c>
      <c r="P143">
        <v>4.7619047620000003</v>
      </c>
      <c r="Q143">
        <v>181</v>
      </c>
      <c r="R143">
        <v>8.5050000000000008</v>
      </c>
      <c r="S143">
        <v>96.078500000000005</v>
      </c>
      <c r="T143">
        <v>19.763300000000001</v>
      </c>
    </row>
    <row r="144" spans="1:20" x14ac:dyDescent="0.3">
      <c r="A144" t="s">
        <v>302</v>
      </c>
      <c r="B144" t="s">
        <v>29</v>
      </c>
      <c r="C144" t="s">
        <v>303</v>
      </c>
      <c r="D144" t="s">
        <v>31</v>
      </c>
      <c r="E144" t="s">
        <v>32</v>
      </c>
      <c r="F144" t="s">
        <v>25</v>
      </c>
      <c r="G144" t="s">
        <v>26</v>
      </c>
      <c r="H144">
        <v>68.599999999999994</v>
      </c>
      <c r="I144">
        <v>12</v>
      </c>
      <c r="J144">
        <v>41.16</v>
      </c>
      <c r="K144">
        <v>823.2</v>
      </c>
      <c r="L144" s="1">
        <v>43792</v>
      </c>
      <c r="M144" s="2">
        <v>0.83125000000000004</v>
      </c>
      <c r="N144" t="s">
        <v>33</v>
      </c>
      <c r="O144">
        <v>686</v>
      </c>
      <c r="P144">
        <v>4.7619047620000003</v>
      </c>
      <c r="Q144">
        <v>137.19999999999999</v>
      </c>
      <c r="R144">
        <v>9.5549999999999997</v>
      </c>
      <c r="S144">
        <v>96.078500000000005</v>
      </c>
      <c r="T144">
        <v>19.763300000000001</v>
      </c>
    </row>
    <row r="145" spans="1:20" x14ac:dyDescent="0.3">
      <c r="A145" t="s">
        <v>304</v>
      </c>
      <c r="B145" t="s">
        <v>29</v>
      </c>
      <c r="C145" t="s">
        <v>305</v>
      </c>
      <c r="D145" t="s">
        <v>31</v>
      </c>
      <c r="E145" t="s">
        <v>24</v>
      </c>
      <c r="F145" t="s">
        <v>25</v>
      </c>
      <c r="G145" t="s">
        <v>63</v>
      </c>
      <c r="H145">
        <v>30.41</v>
      </c>
      <c r="I145">
        <v>1</v>
      </c>
      <c r="J145">
        <v>1.5205</v>
      </c>
      <c r="K145">
        <v>30.41</v>
      </c>
      <c r="L145" s="1">
        <v>43693</v>
      </c>
      <c r="M145" s="2">
        <v>0.44166666666666665</v>
      </c>
      <c r="N145" t="s">
        <v>37</v>
      </c>
      <c r="O145">
        <v>30.41</v>
      </c>
      <c r="P145">
        <v>4.7619047620000003</v>
      </c>
      <c r="Q145">
        <v>0</v>
      </c>
      <c r="R145">
        <v>8.82</v>
      </c>
      <c r="S145">
        <v>96.078500000000005</v>
      </c>
      <c r="T145">
        <v>19.763300000000001</v>
      </c>
    </row>
    <row r="146" spans="1:20" x14ac:dyDescent="0.3">
      <c r="A146" t="s">
        <v>306</v>
      </c>
      <c r="B146" t="s">
        <v>21</v>
      </c>
      <c r="C146" t="s">
        <v>307</v>
      </c>
      <c r="D146" t="s">
        <v>23</v>
      </c>
      <c r="E146" t="s">
        <v>32</v>
      </c>
      <c r="F146" t="s">
        <v>25</v>
      </c>
      <c r="G146" t="s">
        <v>77</v>
      </c>
      <c r="H146">
        <v>77.95</v>
      </c>
      <c r="I146">
        <v>6</v>
      </c>
      <c r="J146">
        <v>23.385000000000002</v>
      </c>
      <c r="K146">
        <v>467.7</v>
      </c>
      <c r="L146" s="1">
        <v>43796</v>
      </c>
      <c r="M146" s="2">
        <v>0.69236111111111109</v>
      </c>
      <c r="N146" t="s">
        <v>27</v>
      </c>
      <c r="O146">
        <v>467.7</v>
      </c>
      <c r="P146">
        <v>4.7619047620000003</v>
      </c>
      <c r="Q146">
        <v>0</v>
      </c>
      <c r="R146">
        <v>8</v>
      </c>
      <c r="S146">
        <v>96.173500000000004</v>
      </c>
      <c r="T146">
        <v>16.840900000000001</v>
      </c>
    </row>
    <row r="147" spans="1:20" x14ac:dyDescent="0.3">
      <c r="A147" t="s">
        <v>308</v>
      </c>
      <c r="B147" t="s">
        <v>29</v>
      </c>
      <c r="C147" t="s">
        <v>309</v>
      </c>
      <c r="D147" t="s">
        <v>31</v>
      </c>
      <c r="E147" t="s">
        <v>32</v>
      </c>
      <c r="F147" t="s">
        <v>25</v>
      </c>
      <c r="G147" t="s">
        <v>26</v>
      </c>
      <c r="H147">
        <v>46.26</v>
      </c>
      <c r="I147">
        <v>7</v>
      </c>
      <c r="J147">
        <v>16.190999999999999</v>
      </c>
      <c r="K147">
        <v>323.82</v>
      </c>
      <c r="L147" s="1">
        <v>43515</v>
      </c>
      <c r="M147" s="2">
        <v>0.71597222222222223</v>
      </c>
      <c r="N147" t="s">
        <v>37</v>
      </c>
      <c r="O147">
        <v>277.56</v>
      </c>
      <c r="P147">
        <v>4.7619047620000003</v>
      </c>
      <c r="Q147">
        <v>46.26</v>
      </c>
      <c r="R147">
        <v>9.9749999999999996</v>
      </c>
      <c r="S147">
        <v>96.078500000000005</v>
      </c>
      <c r="T147">
        <v>19.763300000000001</v>
      </c>
    </row>
    <row r="148" spans="1:20" x14ac:dyDescent="0.3">
      <c r="A148" t="s">
        <v>310</v>
      </c>
      <c r="B148" t="s">
        <v>21</v>
      </c>
      <c r="C148" t="s">
        <v>311</v>
      </c>
      <c r="D148" t="s">
        <v>23</v>
      </c>
      <c r="E148" t="s">
        <v>24</v>
      </c>
      <c r="F148" t="s">
        <v>25</v>
      </c>
      <c r="G148" t="s">
        <v>100</v>
      </c>
      <c r="H148">
        <v>30.14</v>
      </c>
      <c r="I148">
        <v>14</v>
      </c>
      <c r="J148">
        <v>21.097999999999999</v>
      </c>
      <c r="K148">
        <v>421.96</v>
      </c>
      <c r="L148" s="1">
        <v>43589</v>
      </c>
      <c r="M148" s="2">
        <v>0.51944444444444449</v>
      </c>
      <c r="N148" t="s">
        <v>27</v>
      </c>
      <c r="O148">
        <v>301.39999999999998</v>
      </c>
      <c r="P148">
        <v>4.7619047620000003</v>
      </c>
      <c r="Q148">
        <v>120.56</v>
      </c>
      <c r="R148">
        <v>9.1999999999999993</v>
      </c>
      <c r="S148">
        <v>96.173500000000004</v>
      </c>
      <c r="T148">
        <v>16.840900000000001</v>
      </c>
    </row>
    <row r="149" spans="1:20" x14ac:dyDescent="0.3">
      <c r="A149" t="s">
        <v>312</v>
      </c>
      <c r="B149" t="s">
        <v>29</v>
      </c>
      <c r="C149" t="s">
        <v>313</v>
      </c>
      <c r="D149" t="s">
        <v>31</v>
      </c>
      <c r="E149" t="s">
        <v>32</v>
      </c>
      <c r="F149" t="s">
        <v>36</v>
      </c>
      <c r="G149" t="s">
        <v>26</v>
      </c>
      <c r="H149">
        <v>66.14</v>
      </c>
      <c r="I149">
        <v>5</v>
      </c>
      <c r="J149">
        <v>16.535</v>
      </c>
      <c r="K149">
        <v>330.7</v>
      </c>
      <c r="L149" s="1">
        <v>43567</v>
      </c>
      <c r="M149" s="2">
        <v>0.53194444444444444</v>
      </c>
      <c r="N149" t="s">
        <v>37</v>
      </c>
      <c r="O149">
        <v>264.56</v>
      </c>
      <c r="P149">
        <v>4.7619047620000003</v>
      </c>
      <c r="Q149">
        <v>66.14</v>
      </c>
      <c r="R149">
        <v>5.88</v>
      </c>
      <c r="S149">
        <v>96.078500000000005</v>
      </c>
      <c r="T149">
        <v>19.763300000000001</v>
      </c>
    </row>
    <row r="150" spans="1:20" x14ac:dyDescent="0.3">
      <c r="A150" t="s">
        <v>314</v>
      </c>
      <c r="B150" t="s">
        <v>51</v>
      </c>
      <c r="C150" t="s">
        <v>207</v>
      </c>
      <c r="D150" t="s">
        <v>53</v>
      </c>
      <c r="E150" t="s">
        <v>24</v>
      </c>
      <c r="F150" t="s">
        <v>36</v>
      </c>
      <c r="G150" t="s">
        <v>77</v>
      </c>
      <c r="H150">
        <v>71.86</v>
      </c>
      <c r="I150">
        <v>15</v>
      </c>
      <c r="J150">
        <v>53.895000000000003</v>
      </c>
      <c r="K150">
        <v>1077.9000000000001</v>
      </c>
      <c r="L150" s="1">
        <v>43470</v>
      </c>
      <c r="M150" s="2">
        <v>0.62986111111111109</v>
      </c>
      <c r="N150" t="s">
        <v>37</v>
      </c>
      <c r="O150">
        <v>574.88</v>
      </c>
      <c r="P150">
        <v>4.7619047620000003</v>
      </c>
      <c r="Q150">
        <v>503.02</v>
      </c>
      <c r="R150">
        <v>7.44</v>
      </c>
      <c r="S150">
        <v>96.089100000000002</v>
      </c>
      <c r="T150">
        <v>21.9588</v>
      </c>
    </row>
    <row r="151" spans="1:20" x14ac:dyDescent="0.3">
      <c r="A151" t="s">
        <v>315</v>
      </c>
      <c r="B151" t="s">
        <v>21</v>
      </c>
      <c r="C151" t="s">
        <v>316</v>
      </c>
      <c r="D151" t="s">
        <v>23</v>
      </c>
      <c r="E151" t="s">
        <v>32</v>
      </c>
      <c r="F151" t="s">
        <v>36</v>
      </c>
      <c r="G151" t="s">
        <v>26</v>
      </c>
      <c r="H151">
        <v>32.46</v>
      </c>
      <c r="I151">
        <v>8</v>
      </c>
      <c r="J151">
        <v>12.984</v>
      </c>
      <c r="K151">
        <v>259.68</v>
      </c>
      <c r="L151" s="1">
        <v>43477</v>
      </c>
      <c r="M151" s="2">
        <v>0.57499999999999996</v>
      </c>
      <c r="N151" t="s">
        <v>37</v>
      </c>
      <c r="O151">
        <v>259.68</v>
      </c>
      <c r="P151">
        <v>4.7619047620000003</v>
      </c>
      <c r="Q151">
        <v>0</v>
      </c>
      <c r="R151">
        <v>4.9000000000000004</v>
      </c>
      <c r="S151">
        <v>96.173500000000004</v>
      </c>
      <c r="T151">
        <v>16.840900000000001</v>
      </c>
    </row>
    <row r="152" spans="1:20" x14ac:dyDescent="0.3">
      <c r="A152" t="s">
        <v>317</v>
      </c>
      <c r="B152" t="s">
        <v>51</v>
      </c>
      <c r="C152" t="s">
        <v>318</v>
      </c>
      <c r="D152" t="s">
        <v>53</v>
      </c>
      <c r="E152" t="s">
        <v>24</v>
      </c>
      <c r="F152" t="s">
        <v>25</v>
      </c>
      <c r="G152" t="s">
        <v>26</v>
      </c>
      <c r="H152">
        <v>91.54</v>
      </c>
      <c r="I152">
        <v>8</v>
      </c>
      <c r="J152">
        <f t="shared" ref="J152:J159" si="4">K152*5%</f>
        <v>36.616000000000007</v>
      </c>
      <c r="K152">
        <v>732.32</v>
      </c>
      <c r="L152" s="1">
        <v>43668</v>
      </c>
      <c r="M152" s="2">
        <v>0.80555555555555558</v>
      </c>
      <c r="N152" t="s">
        <v>37</v>
      </c>
      <c r="O152">
        <v>366.16</v>
      </c>
      <c r="P152">
        <v>4.7619047620000003</v>
      </c>
      <c r="Q152">
        <v>366.16</v>
      </c>
      <c r="R152">
        <v>5.76</v>
      </c>
      <c r="S152">
        <v>96.089100000000002</v>
      </c>
      <c r="T152">
        <v>21.9588</v>
      </c>
    </row>
    <row r="153" spans="1:20" x14ac:dyDescent="0.3">
      <c r="A153" t="s">
        <v>319</v>
      </c>
      <c r="B153" t="s">
        <v>29</v>
      </c>
      <c r="C153" t="s">
        <v>320</v>
      </c>
      <c r="D153" t="s">
        <v>31</v>
      </c>
      <c r="E153" t="s">
        <v>24</v>
      </c>
      <c r="F153" t="s">
        <v>36</v>
      </c>
      <c r="G153" t="s">
        <v>26</v>
      </c>
      <c r="H153">
        <v>34.56</v>
      </c>
      <c r="I153">
        <v>11</v>
      </c>
      <c r="J153">
        <f t="shared" si="4"/>
        <v>19.008000000000003</v>
      </c>
      <c r="K153">
        <v>380.16</v>
      </c>
      <c r="L153" s="1">
        <v>43703</v>
      </c>
      <c r="M153" s="2">
        <v>0.67152777777777772</v>
      </c>
      <c r="N153" t="s">
        <v>37</v>
      </c>
      <c r="O153">
        <v>241.92</v>
      </c>
      <c r="P153">
        <v>4.7619047620000003</v>
      </c>
      <c r="Q153">
        <v>138.24</v>
      </c>
      <c r="R153">
        <v>7.665</v>
      </c>
      <c r="S153">
        <v>96.078500000000005</v>
      </c>
      <c r="T153">
        <v>19.763300000000001</v>
      </c>
    </row>
    <row r="154" spans="1:20" x14ac:dyDescent="0.3">
      <c r="A154" t="s">
        <v>321</v>
      </c>
      <c r="B154" t="s">
        <v>21</v>
      </c>
      <c r="C154" t="s">
        <v>179</v>
      </c>
      <c r="D154" t="s">
        <v>23</v>
      </c>
      <c r="E154" t="s">
        <v>32</v>
      </c>
      <c r="F154" t="s">
        <v>36</v>
      </c>
      <c r="G154" t="s">
        <v>26</v>
      </c>
      <c r="H154">
        <v>83.24</v>
      </c>
      <c r="I154">
        <v>9</v>
      </c>
      <c r="J154">
        <f t="shared" si="4"/>
        <v>37.457999999999998</v>
      </c>
      <c r="K154">
        <v>749.16</v>
      </c>
      <c r="L154" s="1">
        <v>43490</v>
      </c>
      <c r="M154" s="2">
        <v>0.49722222222222223</v>
      </c>
      <c r="N154" t="s">
        <v>37</v>
      </c>
      <c r="O154">
        <v>749.16</v>
      </c>
      <c r="P154">
        <v>4.7619047620000003</v>
      </c>
      <c r="Q154">
        <v>0</v>
      </c>
      <c r="R154">
        <v>7.4</v>
      </c>
      <c r="S154">
        <v>96.173500000000004</v>
      </c>
      <c r="T154">
        <v>16.840900000000001</v>
      </c>
    </row>
    <row r="155" spans="1:20" x14ac:dyDescent="0.3">
      <c r="A155" t="s">
        <v>322</v>
      </c>
      <c r="B155" t="s">
        <v>29</v>
      </c>
      <c r="C155" t="s">
        <v>323</v>
      </c>
      <c r="D155" t="s">
        <v>31</v>
      </c>
      <c r="E155" t="s">
        <v>32</v>
      </c>
      <c r="F155" t="s">
        <v>25</v>
      </c>
      <c r="G155" t="s">
        <v>26</v>
      </c>
      <c r="H155">
        <v>16.48</v>
      </c>
      <c r="I155">
        <v>7</v>
      </c>
      <c r="J155">
        <f t="shared" si="4"/>
        <v>5.7680000000000007</v>
      </c>
      <c r="K155">
        <v>115.36</v>
      </c>
      <c r="L155" s="1">
        <v>43748</v>
      </c>
      <c r="M155" s="2">
        <v>0.76597222222222228</v>
      </c>
      <c r="N155" t="s">
        <v>27</v>
      </c>
      <c r="O155">
        <v>98.88</v>
      </c>
      <c r="P155">
        <v>4.7619047620000003</v>
      </c>
      <c r="Q155">
        <v>16.48</v>
      </c>
      <c r="R155">
        <v>10</v>
      </c>
      <c r="S155">
        <v>96.078500000000005</v>
      </c>
      <c r="T155">
        <v>19.763300000000001</v>
      </c>
    </row>
    <row r="156" spans="1:20" x14ac:dyDescent="0.3">
      <c r="A156" t="s">
        <v>324</v>
      </c>
      <c r="B156" t="s">
        <v>29</v>
      </c>
      <c r="C156" t="s">
        <v>248</v>
      </c>
      <c r="D156" t="s">
        <v>31</v>
      </c>
      <c r="E156" t="s">
        <v>32</v>
      </c>
      <c r="F156" t="s">
        <v>25</v>
      </c>
      <c r="G156" t="s">
        <v>26</v>
      </c>
      <c r="H156">
        <v>80.97</v>
      </c>
      <c r="I156">
        <v>10</v>
      </c>
      <c r="J156">
        <f t="shared" si="4"/>
        <v>40.485000000000007</v>
      </c>
      <c r="K156">
        <v>809.7</v>
      </c>
      <c r="L156" s="1">
        <v>43826</v>
      </c>
      <c r="M156" s="2">
        <v>0.54513888888888884</v>
      </c>
      <c r="N156" t="s">
        <v>33</v>
      </c>
      <c r="O156">
        <v>647.76</v>
      </c>
      <c r="P156">
        <v>4.7619047620000003</v>
      </c>
      <c r="Q156">
        <v>161.94</v>
      </c>
      <c r="R156">
        <v>9.7650000000000006</v>
      </c>
      <c r="S156">
        <v>96.078500000000005</v>
      </c>
      <c r="T156">
        <v>19.763300000000001</v>
      </c>
    </row>
    <row r="157" spans="1:20" x14ac:dyDescent="0.3">
      <c r="A157" t="s">
        <v>325</v>
      </c>
      <c r="B157" t="s">
        <v>21</v>
      </c>
      <c r="C157" t="s">
        <v>326</v>
      </c>
      <c r="D157" t="s">
        <v>23</v>
      </c>
      <c r="E157" t="s">
        <v>24</v>
      </c>
      <c r="F157" t="s">
        <v>36</v>
      </c>
      <c r="G157" t="s">
        <v>26</v>
      </c>
      <c r="H157">
        <v>92.29</v>
      </c>
      <c r="I157">
        <v>7</v>
      </c>
      <c r="J157">
        <f t="shared" si="4"/>
        <v>32.301499999999997</v>
      </c>
      <c r="K157">
        <v>646.03</v>
      </c>
      <c r="L157" s="1">
        <v>43830</v>
      </c>
      <c r="M157" s="2">
        <v>0.66319444444444442</v>
      </c>
      <c r="N157" t="s">
        <v>37</v>
      </c>
      <c r="O157">
        <v>461.45</v>
      </c>
      <c r="P157">
        <v>4.7619047620000003</v>
      </c>
      <c r="Q157">
        <v>184.58</v>
      </c>
      <c r="R157">
        <v>9</v>
      </c>
      <c r="S157">
        <v>96.173500000000004</v>
      </c>
      <c r="T157">
        <v>16.840900000000001</v>
      </c>
    </row>
    <row r="158" spans="1:20" x14ac:dyDescent="0.3">
      <c r="A158" t="s">
        <v>327</v>
      </c>
      <c r="B158" t="s">
        <v>51</v>
      </c>
      <c r="C158" t="s">
        <v>328</v>
      </c>
      <c r="D158" t="s">
        <v>53</v>
      </c>
      <c r="E158" t="s">
        <v>24</v>
      </c>
      <c r="F158" t="s">
        <v>36</v>
      </c>
      <c r="G158" t="s">
        <v>26</v>
      </c>
      <c r="H158">
        <v>72.17</v>
      </c>
      <c r="I158">
        <v>1</v>
      </c>
      <c r="J158">
        <f t="shared" si="4"/>
        <v>3.6085000000000003</v>
      </c>
      <c r="K158">
        <v>72.17</v>
      </c>
      <c r="L158" s="1">
        <v>43790</v>
      </c>
      <c r="M158" s="2">
        <v>0.81944444444444442</v>
      </c>
      <c r="N158" t="s">
        <v>33</v>
      </c>
      <c r="O158">
        <v>72.17</v>
      </c>
      <c r="P158">
        <v>4.7619047620000003</v>
      </c>
      <c r="Q158">
        <v>0</v>
      </c>
      <c r="R158">
        <v>7.32</v>
      </c>
      <c r="S158">
        <v>96.089100000000002</v>
      </c>
      <c r="T158">
        <v>21.9588</v>
      </c>
    </row>
    <row r="159" spans="1:20" x14ac:dyDescent="0.3">
      <c r="A159" t="s">
        <v>329</v>
      </c>
      <c r="B159" t="s">
        <v>51</v>
      </c>
      <c r="C159" t="s">
        <v>134</v>
      </c>
      <c r="D159" t="s">
        <v>53</v>
      </c>
      <c r="E159" t="s">
        <v>32</v>
      </c>
      <c r="F159" t="s">
        <v>36</v>
      </c>
      <c r="G159" t="s">
        <v>26</v>
      </c>
      <c r="H159">
        <v>50.28</v>
      </c>
      <c r="I159">
        <v>7</v>
      </c>
      <c r="J159">
        <f t="shared" si="4"/>
        <v>17.597999999999999</v>
      </c>
      <c r="K159">
        <v>351.96</v>
      </c>
      <c r="L159" s="1">
        <v>43778</v>
      </c>
      <c r="M159" s="2">
        <v>0.58194444444444449</v>
      </c>
      <c r="N159" t="s">
        <v>27</v>
      </c>
      <c r="O159">
        <v>251.4</v>
      </c>
      <c r="P159">
        <v>4.7619047620000003</v>
      </c>
      <c r="Q159">
        <v>100.56</v>
      </c>
      <c r="R159">
        <v>10</v>
      </c>
      <c r="S159">
        <v>96.089100000000002</v>
      </c>
      <c r="T159">
        <v>21.9588</v>
      </c>
    </row>
    <row r="160" spans="1:20" x14ac:dyDescent="0.3">
      <c r="A160" t="s">
        <v>330</v>
      </c>
      <c r="B160" t="s">
        <v>51</v>
      </c>
      <c r="C160" t="s">
        <v>331</v>
      </c>
      <c r="D160" t="s">
        <v>53</v>
      </c>
      <c r="E160" t="s">
        <v>24</v>
      </c>
      <c r="F160" t="s">
        <v>36</v>
      </c>
      <c r="G160" t="s">
        <v>26</v>
      </c>
      <c r="H160">
        <v>97.22</v>
      </c>
      <c r="I160">
        <v>18</v>
      </c>
      <c r="J160">
        <v>87.498000000000005</v>
      </c>
      <c r="K160">
        <v>1749.96</v>
      </c>
      <c r="L160" s="1">
        <v>43611</v>
      </c>
      <c r="M160" s="2">
        <v>0.61319444444444449</v>
      </c>
      <c r="N160" t="s">
        <v>27</v>
      </c>
      <c r="O160">
        <v>874.98</v>
      </c>
      <c r="P160">
        <v>4.7619047620000003</v>
      </c>
      <c r="Q160">
        <v>874.98</v>
      </c>
      <c r="R160">
        <v>7.2</v>
      </c>
      <c r="S160">
        <v>96.089100000000002</v>
      </c>
      <c r="T160">
        <v>21.9588</v>
      </c>
    </row>
    <row r="161" spans="1:20" x14ac:dyDescent="0.3">
      <c r="A161" t="s">
        <v>332</v>
      </c>
      <c r="B161" t="s">
        <v>51</v>
      </c>
      <c r="C161" t="s">
        <v>333</v>
      </c>
      <c r="D161" t="s">
        <v>53</v>
      </c>
      <c r="E161" t="s">
        <v>32</v>
      </c>
      <c r="F161" t="s">
        <v>36</v>
      </c>
      <c r="G161" t="s">
        <v>26</v>
      </c>
      <c r="H161">
        <v>93.39</v>
      </c>
      <c r="I161">
        <v>8</v>
      </c>
      <c r="J161">
        <v>37.356000000000002</v>
      </c>
      <c r="K161">
        <v>747.12</v>
      </c>
      <c r="L161" s="1">
        <v>43704</v>
      </c>
      <c r="M161" s="2">
        <v>0.8041666666666667</v>
      </c>
      <c r="N161" t="s">
        <v>27</v>
      </c>
      <c r="O161">
        <v>560.34</v>
      </c>
      <c r="P161">
        <v>4.7619047620000003</v>
      </c>
      <c r="Q161">
        <v>186.78</v>
      </c>
      <c r="R161">
        <v>10</v>
      </c>
      <c r="S161">
        <v>96.089100000000002</v>
      </c>
      <c r="T161">
        <v>21.9588</v>
      </c>
    </row>
    <row r="162" spans="1:20" x14ac:dyDescent="0.3">
      <c r="A162" t="s">
        <v>334</v>
      </c>
      <c r="B162" t="s">
        <v>29</v>
      </c>
      <c r="C162" t="s">
        <v>335</v>
      </c>
      <c r="D162" t="s">
        <v>31</v>
      </c>
      <c r="E162" t="s">
        <v>32</v>
      </c>
      <c r="F162" t="s">
        <v>25</v>
      </c>
      <c r="G162" t="s">
        <v>26</v>
      </c>
      <c r="H162">
        <v>43.18</v>
      </c>
      <c r="I162">
        <v>10</v>
      </c>
      <c r="J162">
        <v>21.59</v>
      </c>
      <c r="K162">
        <v>431.8</v>
      </c>
      <c r="L162" s="1">
        <v>43578</v>
      </c>
      <c r="M162" s="2">
        <v>0.81874999999999998</v>
      </c>
      <c r="N162" t="s">
        <v>37</v>
      </c>
      <c r="O162">
        <v>345.44</v>
      </c>
      <c r="P162">
        <v>4.7619047620000003</v>
      </c>
      <c r="Q162">
        <v>86.36</v>
      </c>
      <c r="R162">
        <v>8.7149999999999999</v>
      </c>
      <c r="S162">
        <v>96.078500000000005</v>
      </c>
      <c r="T162">
        <v>19.763300000000001</v>
      </c>
    </row>
    <row r="163" spans="1:20" x14ac:dyDescent="0.3">
      <c r="A163" t="s">
        <v>336</v>
      </c>
      <c r="B163" t="s">
        <v>21</v>
      </c>
      <c r="C163" t="s">
        <v>337</v>
      </c>
      <c r="D163" t="s">
        <v>23</v>
      </c>
      <c r="E163" t="s">
        <v>32</v>
      </c>
      <c r="F163" t="s">
        <v>36</v>
      </c>
      <c r="G163" t="s">
        <v>26</v>
      </c>
      <c r="H163">
        <v>63.69</v>
      </c>
      <c r="I163">
        <v>1</v>
      </c>
      <c r="J163">
        <v>3.1844999999999999</v>
      </c>
      <c r="K163">
        <v>63.69</v>
      </c>
      <c r="L163" s="1">
        <v>43642</v>
      </c>
      <c r="M163" s="2">
        <v>0.68125000000000002</v>
      </c>
      <c r="N163" t="s">
        <v>33</v>
      </c>
      <c r="O163">
        <v>63.69</v>
      </c>
      <c r="P163">
        <v>4.7619047620000003</v>
      </c>
      <c r="Q163">
        <v>0</v>
      </c>
      <c r="R163">
        <v>6</v>
      </c>
      <c r="S163">
        <v>96.173500000000004</v>
      </c>
      <c r="T163">
        <v>16.840900000000001</v>
      </c>
    </row>
    <row r="164" spans="1:20" x14ac:dyDescent="0.3">
      <c r="A164" t="s">
        <v>338</v>
      </c>
      <c r="B164" t="s">
        <v>21</v>
      </c>
      <c r="C164" t="s">
        <v>339</v>
      </c>
      <c r="D164" t="s">
        <v>23</v>
      </c>
      <c r="E164" t="s">
        <v>32</v>
      </c>
      <c r="F164" t="s">
        <v>36</v>
      </c>
      <c r="G164" t="s">
        <v>26</v>
      </c>
      <c r="H164">
        <v>45.79</v>
      </c>
      <c r="I164">
        <v>7</v>
      </c>
      <c r="J164">
        <v>16.026499999999999</v>
      </c>
      <c r="K164">
        <v>320.52999999999997</v>
      </c>
      <c r="L164" s="1">
        <v>43492</v>
      </c>
      <c r="M164" s="2">
        <v>0.82222222222222219</v>
      </c>
      <c r="N164" t="s">
        <v>37</v>
      </c>
      <c r="O164">
        <v>320.52999999999997</v>
      </c>
      <c r="P164">
        <v>4.7619047620000003</v>
      </c>
      <c r="Q164">
        <v>0</v>
      </c>
      <c r="R164">
        <v>7</v>
      </c>
      <c r="S164">
        <v>96.173500000000004</v>
      </c>
      <c r="T164">
        <v>16.840900000000001</v>
      </c>
    </row>
    <row r="165" spans="1:20" x14ac:dyDescent="0.3">
      <c r="A165" t="s">
        <v>340</v>
      </c>
      <c r="B165" t="s">
        <v>29</v>
      </c>
      <c r="C165" t="s">
        <v>341</v>
      </c>
      <c r="D165" t="s">
        <v>31</v>
      </c>
      <c r="E165" t="s">
        <v>32</v>
      </c>
      <c r="F165" t="s">
        <v>36</v>
      </c>
      <c r="G165" t="s">
        <v>26</v>
      </c>
      <c r="H165">
        <v>76.400000000000006</v>
      </c>
      <c r="I165">
        <v>2</v>
      </c>
      <c r="J165">
        <v>7.64</v>
      </c>
      <c r="K165">
        <v>152.80000000000001</v>
      </c>
      <c r="L165" s="1">
        <v>43559</v>
      </c>
      <c r="M165" s="2">
        <v>0.8208333333333333</v>
      </c>
      <c r="N165" t="s">
        <v>27</v>
      </c>
      <c r="O165">
        <v>152.80000000000001</v>
      </c>
      <c r="P165">
        <v>4.7619047620000003</v>
      </c>
      <c r="Q165">
        <v>0</v>
      </c>
      <c r="R165">
        <v>6.8250000000000002</v>
      </c>
      <c r="S165">
        <v>96.078500000000005</v>
      </c>
      <c r="T165">
        <v>19.763300000000001</v>
      </c>
    </row>
    <row r="166" spans="1:20" x14ac:dyDescent="0.3">
      <c r="A166" t="s">
        <v>342</v>
      </c>
      <c r="B166" t="s">
        <v>51</v>
      </c>
      <c r="C166" t="s">
        <v>343</v>
      </c>
      <c r="D166" t="s">
        <v>53</v>
      </c>
      <c r="E166" t="s">
        <v>32</v>
      </c>
      <c r="F166" t="s">
        <v>36</v>
      </c>
      <c r="G166" t="s">
        <v>26</v>
      </c>
      <c r="H166">
        <v>39.9</v>
      </c>
      <c r="I166">
        <v>14</v>
      </c>
      <c r="J166">
        <v>27.93</v>
      </c>
      <c r="K166">
        <v>558.6</v>
      </c>
      <c r="L166" s="1">
        <v>43634</v>
      </c>
      <c r="M166" s="2">
        <v>0.64166666666666672</v>
      </c>
      <c r="N166" t="s">
        <v>37</v>
      </c>
      <c r="O166">
        <v>399</v>
      </c>
      <c r="P166">
        <v>4.7619047620000003</v>
      </c>
      <c r="Q166">
        <v>159.6</v>
      </c>
      <c r="R166">
        <v>7.08</v>
      </c>
      <c r="S166">
        <v>96.089100000000002</v>
      </c>
      <c r="T166">
        <v>21.9588</v>
      </c>
    </row>
    <row r="167" spans="1:20" x14ac:dyDescent="0.3">
      <c r="A167" t="s">
        <v>344</v>
      </c>
      <c r="B167" t="s">
        <v>51</v>
      </c>
      <c r="C167" t="s">
        <v>345</v>
      </c>
      <c r="D167" t="s">
        <v>53</v>
      </c>
      <c r="E167" t="s">
        <v>24</v>
      </c>
      <c r="F167" t="s">
        <v>36</v>
      </c>
      <c r="G167" t="s">
        <v>26</v>
      </c>
      <c r="H167">
        <v>42.57</v>
      </c>
      <c r="I167">
        <v>15</v>
      </c>
      <c r="J167">
        <v>31.927499999999998</v>
      </c>
      <c r="K167">
        <v>638.54999999999995</v>
      </c>
      <c r="L167" s="1">
        <v>43622</v>
      </c>
      <c r="M167" s="2">
        <v>0.59166666666666667</v>
      </c>
      <c r="N167" t="s">
        <v>27</v>
      </c>
      <c r="O167">
        <v>340.56</v>
      </c>
      <c r="P167">
        <v>4.7619047620000003</v>
      </c>
      <c r="Q167">
        <v>297.99</v>
      </c>
      <c r="R167">
        <v>6.72</v>
      </c>
      <c r="S167">
        <v>96.089100000000002</v>
      </c>
      <c r="T167">
        <v>21.9588</v>
      </c>
    </row>
    <row r="168" spans="1:20" x14ac:dyDescent="0.3">
      <c r="A168" t="s">
        <v>346</v>
      </c>
      <c r="B168" t="s">
        <v>29</v>
      </c>
      <c r="C168" t="s">
        <v>347</v>
      </c>
      <c r="D168" t="s">
        <v>31</v>
      </c>
      <c r="E168" t="s">
        <v>32</v>
      </c>
      <c r="F168" t="s">
        <v>36</v>
      </c>
      <c r="G168" t="s">
        <v>26</v>
      </c>
      <c r="H168">
        <v>95.58</v>
      </c>
      <c r="I168">
        <v>12</v>
      </c>
      <c r="J168">
        <v>57.347999999999999</v>
      </c>
      <c r="K168">
        <v>1146.96</v>
      </c>
      <c r="L168" s="1">
        <v>43471</v>
      </c>
      <c r="M168" s="2">
        <v>0.56388888888888888</v>
      </c>
      <c r="N168" t="s">
        <v>33</v>
      </c>
      <c r="O168">
        <v>955.8</v>
      </c>
      <c r="P168">
        <v>4.7619047620000003</v>
      </c>
      <c r="Q168">
        <v>191.16</v>
      </c>
      <c r="R168">
        <v>5.04</v>
      </c>
      <c r="S168">
        <v>96.078500000000005</v>
      </c>
      <c r="T168">
        <v>19.763300000000001</v>
      </c>
    </row>
    <row r="169" spans="1:20" x14ac:dyDescent="0.3">
      <c r="A169" t="s">
        <v>348</v>
      </c>
      <c r="B169" t="s">
        <v>21</v>
      </c>
      <c r="C169" t="s">
        <v>349</v>
      </c>
      <c r="D169" t="s">
        <v>23</v>
      </c>
      <c r="E169" t="s">
        <v>32</v>
      </c>
      <c r="F169" t="s">
        <v>36</v>
      </c>
      <c r="G169" t="s">
        <v>26</v>
      </c>
      <c r="H169">
        <v>98.98</v>
      </c>
      <c r="I169">
        <v>10</v>
      </c>
      <c r="J169">
        <v>49.49</v>
      </c>
      <c r="K169">
        <v>989.8</v>
      </c>
      <c r="L169" s="1">
        <v>43578</v>
      </c>
      <c r="M169" s="2">
        <v>0.68055555555555558</v>
      </c>
      <c r="N169" t="s">
        <v>37</v>
      </c>
      <c r="O169">
        <v>989.8</v>
      </c>
      <c r="P169">
        <v>4.7619047620000003</v>
      </c>
      <c r="Q169">
        <v>0</v>
      </c>
      <c r="R169">
        <v>8.6999999999999993</v>
      </c>
      <c r="S169">
        <v>96.173500000000004</v>
      </c>
      <c r="T169">
        <v>16.840900000000001</v>
      </c>
    </row>
    <row r="170" spans="1:20" x14ac:dyDescent="0.3">
      <c r="A170" t="s">
        <v>350</v>
      </c>
      <c r="B170" t="s">
        <v>21</v>
      </c>
      <c r="C170" t="s">
        <v>351</v>
      </c>
      <c r="D170" t="s">
        <v>23</v>
      </c>
      <c r="E170" t="s">
        <v>32</v>
      </c>
      <c r="F170" t="s">
        <v>36</v>
      </c>
      <c r="G170" t="s">
        <v>26</v>
      </c>
      <c r="H170">
        <v>51.28</v>
      </c>
      <c r="I170">
        <v>6</v>
      </c>
      <c r="J170">
        <v>15.384</v>
      </c>
      <c r="K170">
        <v>307.68</v>
      </c>
      <c r="L170" s="1">
        <v>43656</v>
      </c>
      <c r="M170" s="2">
        <v>0.68819444444444444</v>
      </c>
      <c r="N170" t="s">
        <v>33</v>
      </c>
      <c r="O170">
        <v>307.68</v>
      </c>
      <c r="P170">
        <v>4.7619047620000003</v>
      </c>
      <c r="Q170">
        <v>0</v>
      </c>
      <c r="R170">
        <v>6.5</v>
      </c>
      <c r="S170">
        <v>96.173500000000004</v>
      </c>
      <c r="T170">
        <v>16.840900000000001</v>
      </c>
    </row>
    <row r="171" spans="1:20" x14ac:dyDescent="0.3">
      <c r="A171" t="s">
        <v>352</v>
      </c>
      <c r="B171" t="s">
        <v>21</v>
      </c>
      <c r="C171" t="s">
        <v>351</v>
      </c>
      <c r="D171" t="s">
        <v>23</v>
      </c>
      <c r="E171" t="s">
        <v>24</v>
      </c>
      <c r="F171" t="s">
        <v>36</v>
      </c>
      <c r="G171" t="s">
        <v>26</v>
      </c>
      <c r="H171">
        <v>69.52</v>
      </c>
      <c r="I171">
        <v>10</v>
      </c>
      <c r="J171">
        <v>34.76</v>
      </c>
      <c r="K171">
        <v>695.2</v>
      </c>
      <c r="L171" s="1">
        <v>43807</v>
      </c>
      <c r="M171" s="2">
        <v>0.63194444444444442</v>
      </c>
      <c r="N171" t="s">
        <v>37</v>
      </c>
      <c r="O171">
        <v>486.64</v>
      </c>
      <c r="P171">
        <v>4.7619047620000003</v>
      </c>
      <c r="Q171">
        <v>208.56</v>
      </c>
      <c r="R171">
        <v>8.5</v>
      </c>
      <c r="S171">
        <v>96.173500000000004</v>
      </c>
      <c r="T171">
        <v>16.840900000000001</v>
      </c>
    </row>
    <row r="172" spans="1:20" x14ac:dyDescent="0.3">
      <c r="A172" t="s">
        <v>353</v>
      </c>
      <c r="B172" t="s">
        <v>21</v>
      </c>
      <c r="C172" t="s">
        <v>354</v>
      </c>
      <c r="D172" t="s">
        <v>23</v>
      </c>
      <c r="E172" t="s">
        <v>32</v>
      </c>
      <c r="F172" t="s">
        <v>36</v>
      </c>
      <c r="G172" t="s">
        <v>26</v>
      </c>
      <c r="H172">
        <v>70.010000000000005</v>
      </c>
      <c r="I172">
        <v>5</v>
      </c>
      <c r="J172">
        <v>17.502500000000001</v>
      </c>
      <c r="K172">
        <v>350.05</v>
      </c>
      <c r="L172" s="1">
        <v>43785</v>
      </c>
      <c r="M172" s="2">
        <v>0.48333333333333334</v>
      </c>
      <c r="N172" t="s">
        <v>27</v>
      </c>
      <c r="O172">
        <v>350.05</v>
      </c>
      <c r="P172">
        <v>4.7619047620000003</v>
      </c>
      <c r="Q172">
        <v>0</v>
      </c>
      <c r="R172">
        <v>5.5</v>
      </c>
      <c r="S172">
        <v>96.173500000000004</v>
      </c>
      <c r="T172">
        <v>16.840900000000001</v>
      </c>
    </row>
    <row r="173" spans="1:20" x14ac:dyDescent="0.3">
      <c r="A173" t="s">
        <v>355</v>
      </c>
      <c r="B173" t="s">
        <v>51</v>
      </c>
      <c r="C173" t="s">
        <v>356</v>
      </c>
      <c r="D173" t="s">
        <v>53</v>
      </c>
      <c r="E173" t="s">
        <v>24</v>
      </c>
      <c r="F173" t="s">
        <v>36</v>
      </c>
      <c r="G173" t="s">
        <v>26</v>
      </c>
      <c r="H173">
        <v>80.05</v>
      </c>
      <c r="I173">
        <v>10</v>
      </c>
      <c r="J173">
        <v>40.024999999999999</v>
      </c>
      <c r="K173">
        <v>800.5</v>
      </c>
      <c r="L173" s="1">
        <v>43520</v>
      </c>
      <c r="M173" s="2">
        <v>0.53125</v>
      </c>
      <c r="N173" t="s">
        <v>37</v>
      </c>
      <c r="O173">
        <v>400.25</v>
      </c>
      <c r="P173">
        <v>4.7619047620000003</v>
      </c>
      <c r="Q173">
        <v>400.25</v>
      </c>
      <c r="R173">
        <v>10</v>
      </c>
      <c r="S173">
        <v>96.089100000000002</v>
      </c>
      <c r="T173">
        <v>21.9588</v>
      </c>
    </row>
    <row r="174" spans="1:20" x14ac:dyDescent="0.3">
      <c r="A174" t="s">
        <v>357</v>
      </c>
      <c r="B174" t="s">
        <v>29</v>
      </c>
      <c r="C174" t="s">
        <v>358</v>
      </c>
      <c r="D174" t="s">
        <v>31</v>
      </c>
      <c r="E174" t="s">
        <v>32</v>
      </c>
      <c r="F174" t="s">
        <v>36</v>
      </c>
      <c r="G174" t="s">
        <v>26</v>
      </c>
      <c r="H174">
        <v>20.85</v>
      </c>
      <c r="I174">
        <v>10</v>
      </c>
      <c r="J174">
        <v>10.425000000000001</v>
      </c>
      <c r="K174">
        <v>208.5</v>
      </c>
      <c r="L174" s="1">
        <v>43490</v>
      </c>
      <c r="M174" s="2">
        <v>0.80347222222222225</v>
      </c>
      <c r="N174" t="s">
        <v>33</v>
      </c>
      <c r="O174">
        <v>166.8</v>
      </c>
      <c r="P174">
        <v>4.7619047620000003</v>
      </c>
      <c r="Q174">
        <v>41.7</v>
      </c>
      <c r="R174">
        <v>6.6150000000000002</v>
      </c>
      <c r="S174">
        <v>96.078500000000005</v>
      </c>
      <c r="T174">
        <v>19.763300000000001</v>
      </c>
    </row>
    <row r="175" spans="1:20" x14ac:dyDescent="0.3">
      <c r="A175" t="s">
        <v>359</v>
      </c>
      <c r="B175" t="s">
        <v>51</v>
      </c>
      <c r="C175" t="s">
        <v>81</v>
      </c>
      <c r="D175" t="s">
        <v>53</v>
      </c>
      <c r="E175" t="s">
        <v>32</v>
      </c>
      <c r="F175" t="s">
        <v>36</v>
      </c>
      <c r="G175" t="s">
        <v>26</v>
      </c>
      <c r="H175">
        <v>52.89</v>
      </c>
      <c r="I175">
        <v>8</v>
      </c>
      <c r="J175">
        <v>21.155999999999999</v>
      </c>
      <c r="K175">
        <v>423.12</v>
      </c>
      <c r="L175" s="1">
        <v>43492</v>
      </c>
      <c r="M175" s="2">
        <v>0.7319444444444444</v>
      </c>
      <c r="N175" t="s">
        <v>37</v>
      </c>
      <c r="O175">
        <v>317.33999999999997</v>
      </c>
      <c r="P175">
        <v>4.7619047620000003</v>
      </c>
      <c r="Q175">
        <v>105.78</v>
      </c>
      <c r="R175">
        <v>10</v>
      </c>
      <c r="S175">
        <v>96.089100000000002</v>
      </c>
      <c r="T175">
        <v>21.9588</v>
      </c>
    </row>
    <row r="176" spans="1:20" x14ac:dyDescent="0.3">
      <c r="A176" t="s">
        <v>360</v>
      </c>
      <c r="B176" t="s">
        <v>51</v>
      </c>
      <c r="C176" t="s">
        <v>361</v>
      </c>
      <c r="D176" t="s">
        <v>53</v>
      </c>
      <c r="E176" t="s">
        <v>32</v>
      </c>
      <c r="F176" t="s">
        <v>36</v>
      </c>
      <c r="G176" t="s">
        <v>26</v>
      </c>
      <c r="H176">
        <v>19.79</v>
      </c>
      <c r="I176">
        <v>11</v>
      </c>
      <c r="J176">
        <v>10.884499999999999</v>
      </c>
      <c r="K176">
        <v>217.69</v>
      </c>
      <c r="L176" s="1">
        <v>43636</v>
      </c>
      <c r="M176" s="2">
        <v>0.50277777777777777</v>
      </c>
      <c r="N176" t="s">
        <v>27</v>
      </c>
      <c r="O176">
        <v>158.32</v>
      </c>
      <c r="P176">
        <v>4.7619047620000003</v>
      </c>
      <c r="Q176">
        <v>59.37</v>
      </c>
      <c r="R176">
        <v>10</v>
      </c>
      <c r="S176">
        <v>96.089100000000002</v>
      </c>
      <c r="T176">
        <v>21.9588</v>
      </c>
    </row>
    <row r="177" spans="1:20" x14ac:dyDescent="0.3">
      <c r="A177" t="s">
        <v>362</v>
      </c>
      <c r="B177" t="s">
        <v>21</v>
      </c>
      <c r="C177" t="s">
        <v>363</v>
      </c>
      <c r="D177" t="s">
        <v>23</v>
      </c>
      <c r="E177" t="s">
        <v>32</v>
      </c>
      <c r="F177" t="s">
        <v>36</v>
      </c>
      <c r="G177" t="s">
        <v>26</v>
      </c>
      <c r="H177">
        <v>33.840000000000003</v>
      </c>
      <c r="I177">
        <v>9</v>
      </c>
      <c r="J177">
        <f t="shared" ref="J177:J191" si="5">K177*5%</f>
        <v>15.228000000000002</v>
      </c>
      <c r="K177">
        <v>304.56</v>
      </c>
      <c r="L177" s="1">
        <v>43530</v>
      </c>
      <c r="M177" s="2">
        <v>0.68125000000000002</v>
      </c>
      <c r="N177" t="s">
        <v>27</v>
      </c>
      <c r="O177">
        <v>304.56</v>
      </c>
      <c r="P177">
        <v>4.7619047620000003</v>
      </c>
      <c r="Q177">
        <v>0</v>
      </c>
      <c r="R177">
        <v>8.8000000000000007</v>
      </c>
      <c r="S177">
        <v>96.173500000000004</v>
      </c>
      <c r="T177">
        <v>16.840900000000001</v>
      </c>
    </row>
    <row r="178" spans="1:20" x14ac:dyDescent="0.3">
      <c r="A178" t="s">
        <v>364</v>
      </c>
      <c r="B178" t="s">
        <v>21</v>
      </c>
      <c r="C178" t="s">
        <v>365</v>
      </c>
      <c r="D178" t="s">
        <v>23</v>
      </c>
      <c r="E178" t="s">
        <v>32</v>
      </c>
      <c r="F178" t="s">
        <v>36</v>
      </c>
      <c r="G178" t="s">
        <v>26</v>
      </c>
      <c r="H178">
        <v>22.17</v>
      </c>
      <c r="I178">
        <v>8</v>
      </c>
      <c r="J178">
        <f t="shared" si="5"/>
        <v>8.8680000000000003</v>
      </c>
      <c r="K178">
        <v>177.36</v>
      </c>
      <c r="L178" s="1">
        <v>43625</v>
      </c>
      <c r="M178" s="2">
        <v>0.70902777777777781</v>
      </c>
      <c r="N178" t="s">
        <v>37</v>
      </c>
      <c r="O178">
        <v>177.36</v>
      </c>
      <c r="P178">
        <v>4.7619047620000003</v>
      </c>
      <c r="Q178">
        <v>0</v>
      </c>
      <c r="R178">
        <v>9.6</v>
      </c>
      <c r="S178">
        <v>96.173500000000004</v>
      </c>
      <c r="T178">
        <v>16.840900000000001</v>
      </c>
    </row>
    <row r="179" spans="1:20" x14ac:dyDescent="0.3">
      <c r="A179" t="s">
        <v>366</v>
      </c>
      <c r="B179" t="s">
        <v>29</v>
      </c>
      <c r="C179" t="s">
        <v>367</v>
      </c>
      <c r="D179" t="s">
        <v>31</v>
      </c>
      <c r="E179" t="s">
        <v>32</v>
      </c>
      <c r="F179" t="s">
        <v>25</v>
      </c>
      <c r="G179" t="s">
        <v>26</v>
      </c>
      <c r="H179">
        <v>22.51</v>
      </c>
      <c r="I179">
        <v>8</v>
      </c>
      <c r="J179">
        <f t="shared" si="5"/>
        <v>9.0040000000000013</v>
      </c>
      <c r="K179">
        <v>180.08</v>
      </c>
      <c r="L179" s="1">
        <v>43742</v>
      </c>
      <c r="M179" s="2">
        <v>0.4513888888888889</v>
      </c>
      <c r="N179" t="s">
        <v>37</v>
      </c>
      <c r="O179">
        <v>157.57</v>
      </c>
      <c r="P179">
        <v>4.7619047620000003</v>
      </c>
      <c r="Q179">
        <v>22.51</v>
      </c>
      <c r="R179">
        <v>5.04</v>
      </c>
      <c r="S179">
        <v>96.078500000000005</v>
      </c>
      <c r="T179">
        <v>19.763300000000001</v>
      </c>
    </row>
    <row r="180" spans="1:20" x14ac:dyDescent="0.3">
      <c r="A180" t="s">
        <v>368</v>
      </c>
      <c r="B180" t="s">
        <v>21</v>
      </c>
      <c r="C180" t="s">
        <v>369</v>
      </c>
      <c r="D180" t="s">
        <v>23</v>
      </c>
      <c r="E180" t="s">
        <v>32</v>
      </c>
      <c r="F180" t="s">
        <v>36</v>
      </c>
      <c r="G180" t="s">
        <v>26</v>
      </c>
      <c r="H180">
        <v>73.88</v>
      </c>
      <c r="I180">
        <v>6</v>
      </c>
      <c r="J180">
        <f t="shared" si="5"/>
        <v>22.164000000000001</v>
      </c>
      <c r="K180">
        <v>443.28</v>
      </c>
      <c r="L180" s="1">
        <v>43609</v>
      </c>
      <c r="M180" s="2">
        <v>0.80277777777777781</v>
      </c>
      <c r="N180" t="s">
        <v>27</v>
      </c>
      <c r="O180">
        <v>443.28</v>
      </c>
      <c r="P180">
        <v>4.7619047620000003</v>
      </c>
      <c r="Q180">
        <v>0</v>
      </c>
      <c r="R180">
        <v>4.4000000000000004</v>
      </c>
      <c r="S180">
        <v>96.173500000000004</v>
      </c>
      <c r="T180">
        <v>16.840900000000001</v>
      </c>
    </row>
    <row r="181" spans="1:20" x14ac:dyDescent="0.3">
      <c r="A181" t="s">
        <v>370</v>
      </c>
      <c r="B181" t="s">
        <v>21</v>
      </c>
      <c r="C181" t="s">
        <v>371</v>
      </c>
      <c r="D181" t="s">
        <v>31</v>
      </c>
      <c r="E181" t="s">
        <v>32</v>
      </c>
      <c r="F181" t="s">
        <v>36</v>
      </c>
      <c r="G181" t="s">
        <v>26</v>
      </c>
      <c r="H181">
        <v>86.8</v>
      </c>
      <c r="I181">
        <v>4</v>
      </c>
      <c r="J181">
        <f t="shared" si="5"/>
        <v>17.36</v>
      </c>
      <c r="K181">
        <v>347.2</v>
      </c>
      <c r="L181" s="1">
        <v>43756</v>
      </c>
      <c r="M181" s="2">
        <v>0.69930555555555551</v>
      </c>
      <c r="N181" t="s">
        <v>27</v>
      </c>
      <c r="O181">
        <v>260.39999999999998</v>
      </c>
      <c r="P181">
        <v>4.7619047620000003</v>
      </c>
      <c r="Q181">
        <v>86.8</v>
      </c>
      <c r="R181">
        <v>7.46</v>
      </c>
      <c r="S181">
        <v>96.078500000000005</v>
      </c>
      <c r="T181">
        <v>19.763300000000001</v>
      </c>
    </row>
    <row r="182" spans="1:20" x14ac:dyDescent="0.3">
      <c r="A182" t="s">
        <v>372</v>
      </c>
      <c r="B182" t="s">
        <v>21</v>
      </c>
      <c r="C182" t="s">
        <v>183</v>
      </c>
      <c r="D182" t="s">
        <v>31</v>
      </c>
      <c r="E182" t="s">
        <v>32</v>
      </c>
      <c r="F182" t="s">
        <v>25</v>
      </c>
      <c r="G182" t="s">
        <v>26</v>
      </c>
      <c r="H182">
        <v>64.260000000000005</v>
      </c>
      <c r="I182">
        <v>8</v>
      </c>
      <c r="J182">
        <f t="shared" si="5"/>
        <v>25.704000000000004</v>
      </c>
      <c r="K182">
        <v>514.08000000000004</v>
      </c>
      <c r="L182" s="1">
        <v>43498</v>
      </c>
      <c r="M182" s="2">
        <v>0.41666666666666669</v>
      </c>
      <c r="N182" t="s">
        <v>33</v>
      </c>
      <c r="O182">
        <v>449.82</v>
      </c>
      <c r="P182">
        <v>4.7619047620000003</v>
      </c>
      <c r="Q182">
        <v>64.260000000000005</v>
      </c>
      <c r="R182">
        <v>7.46</v>
      </c>
      <c r="S182">
        <v>96.078500000000005</v>
      </c>
      <c r="T182">
        <v>19.763300000000001</v>
      </c>
    </row>
    <row r="183" spans="1:20" x14ac:dyDescent="0.3">
      <c r="A183" t="s">
        <v>373</v>
      </c>
      <c r="B183" t="s">
        <v>21</v>
      </c>
      <c r="C183" t="s">
        <v>374</v>
      </c>
      <c r="D183" t="s">
        <v>31</v>
      </c>
      <c r="E183" t="s">
        <v>32</v>
      </c>
      <c r="F183" t="s">
        <v>25</v>
      </c>
      <c r="G183" t="s">
        <v>26</v>
      </c>
      <c r="H183">
        <v>38.47</v>
      </c>
      <c r="I183">
        <v>10</v>
      </c>
      <c r="J183">
        <f t="shared" si="5"/>
        <v>19.234999999999999</v>
      </c>
      <c r="K183">
        <v>384.7</v>
      </c>
      <c r="L183" s="1">
        <v>43658</v>
      </c>
      <c r="M183" s="2">
        <v>0.49375000000000002</v>
      </c>
      <c r="N183" t="s">
        <v>33</v>
      </c>
      <c r="O183">
        <v>307.76</v>
      </c>
      <c r="P183">
        <v>4.7619047620000003</v>
      </c>
      <c r="Q183">
        <v>76.94</v>
      </c>
      <c r="R183">
        <v>7.46</v>
      </c>
      <c r="S183">
        <v>96.078500000000005</v>
      </c>
      <c r="T183">
        <v>19.763300000000001</v>
      </c>
    </row>
    <row r="184" spans="1:20" x14ac:dyDescent="0.3">
      <c r="A184" t="s">
        <v>375</v>
      </c>
      <c r="B184" t="s">
        <v>21</v>
      </c>
      <c r="C184" t="s">
        <v>376</v>
      </c>
      <c r="D184" t="s">
        <v>23</v>
      </c>
      <c r="E184" t="s">
        <v>32</v>
      </c>
      <c r="F184" t="s">
        <v>25</v>
      </c>
      <c r="G184" t="s">
        <v>26</v>
      </c>
      <c r="H184">
        <v>15.5</v>
      </c>
      <c r="I184">
        <v>10</v>
      </c>
      <c r="J184">
        <f t="shared" si="5"/>
        <v>7.75</v>
      </c>
      <c r="K184">
        <v>155</v>
      </c>
      <c r="L184" s="1">
        <v>43659</v>
      </c>
      <c r="M184" s="2">
        <v>0.4548611111111111</v>
      </c>
      <c r="N184" t="s">
        <v>27</v>
      </c>
      <c r="O184">
        <v>155</v>
      </c>
      <c r="P184">
        <v>4.7619047620000003</v>
      </c>
      <c r="Q184">
        <v>0</v>
      </c>
      <c r="R184">
        <v>7.46</v>
      </c>
      <c r="S184">
        <v>96.173500000000004</v>
      </c>
      <c r="T184">
        <v>16.840900000000001</v>
      </c>
    </row>
    <row r="185" spans="1:20" x14ac:dyDescent="0.3">
      <c r="A185" t="s">
        <v>377</v>
      </c>
      <c r="B185" t="s">
        <v>21</v>
      </c>
      <c r="C185" t="s">
        <v>378</v>
      </c>
      <c r="D185" t="s">
        <v>31</v>
      </c>
      <c r="E185" t="s">
        <v>32</v>
      </c>
      <c r="F185" t="s">
        <v>25</v>
      </c>
      <c r="G185" t="s">
        <v>26</v>
      </c>
      <c r="H185">
        <v>34.31</v>
      </c>
      <c r="I185">
        <v>10</v>
      </c>
      <c r="J185">
        <f t="shared" si="5"/>
        <v>17.155000000000001</v>
      </c>
      <c r="K185">
        <v>343.1</v>
      </c>
      <c r="L185" s="1">
        <v>43825</v>
      </c>
      <c r="M185" s="2">
        <v>0.625</v>
      </c>
      <c r="N185" t="s">
        <v>27</v>
      </c>
      <c r="O185">
        <v>274.48</v>
      </c>
      <c r="P185">
        <v>4.7619047620000003</v>
      </c>
      <c r="Q185">
        <v>68.62</v>
      </c>
      <c r="R185">
        <v>7.46</v>
      </c>
      <c r="S185">
        <v>96.078500000000005</v>
      </c>
      <c r="T185">
        <v>19.763300000000001</v>
      </c>
    </row>
    <row r="186" spans="1:20" x14ac:dyDescent="0.3">
      <c r="A186" t="s">
        <v>379</v>
      </c>
      <c r="B186" t="s">
        <v>21</v>
      </c>
      <c r="C186" t="s">
        <v>380</v>
      </c>
      <c r="D186" t="s">
        <v>23</v>
      </c>
      <c r="E186" t="s">
        <v>32</v>
      </c>
      <c r="F186" t="s">
        <v>25</v>
      </c>
      <c r="G186" t="s">
        <v>26</v>
      </c>
      <c r="H186">
        <v>12.34</v>
      </c>
      <c r="I186">
        <v>7</v>
      </c>
      <c r="J186">
        <f t="shared" si="5"/>
        <v>4.319</v>
      </c>
      <c r="K186">
        <v>86.38</v>
      </c>
      <c r="L186" s="1">
        <v>43746</v>
      </c>
      <c r="M186" s="2">
        <v>0.47152777777777777</v>
      </c>
      <c r="N186" t="s">
        <v>37</v>
      </c>
      <c r="O186">
        <v>86.38</v>
      </c>
      <c r="P186">
        <v>4.7619047620000003</v>
      </c>
      <c r="Q186">
        <v>0</v>
      </c>
      <c r="R186">
        <v>7.46</v>
      </c>
      <c r="S186">
        <v>96.173500000000004</v>
      </c>
      <c r="T186">
        <v>16.840900000000001</v>
      </c>
    </row>
    <row r="187" spans="1:20" x14ac:dyDescent="0.3">
      <c r="A187" t="s">
        <v>381</v>
      </c>
      <c r="B187" t="s">
        <v>21</v>
      </c>
      <c r="C187" t="s">
        <v>382</v>
      </c>
      <c r="D187" t="s">
        <v>53</v>
      </c>
      <c r="E187" t="s">
        <v>32</v>
      </c>
      <c r="F187" t="s">
        <v>36</v>
      </c>
      <c r="G187" t="s">
        <v>26</v>
      </c>
      <c r="H187">
        <v>18.079999999999998</v>
      </c>
      <c r="I187">
        <v>4</v>
      </c>
      <c r="J187">
        <f t="shared" si="5"/>
        <v>3.6159999999999997</v>
      </c>
      <c r="K187">
        <v>72.319999999999993</v>
      </c>
      <c r="L187" s="1">
        <v>43542</v>
      </c>
      <c r="M187" s="2">
        <v>0.82361111111111107</v>
      </c>
      <c r="N187" t="s">
        <v>27</v>
      </c>
      <c r="O187">
        <v>54.24</v>
      </c>
      <c r="P187">
        <v>4.7619047620000003</v>
      </c>
      <c r="Q187">
        <v>18.079999999999998</v>
      </c>
      <c r="R187">
        <v>7.46</v>
      </c>
      <c r="S187">
        <v>96.089100000000002</v>
      </c>
      <c r="T187">
        <v>21.9588</v>
      </c>
    </row>
    <row r="188" spans="1:20" x14ac:dyDescent="0.3">
      <c r="A188" t="s">
        <v>383</v>
      </c>
      <c r="B188" t="s">
        <v>21</v>
      </c>
      <c r="C188" t="s">
        <v>333</v>
      </c>
      <c r="D188" t="s">
        <v>53</v>
      </c>
      <c r="E188" t="s">
        <v>32</v>
      </c>
      <c r="F188" t="s">
        <v>25</v>
      </c>
      <c r="G188" t="s">
        <v>26</v>
      </c>
      <c r="H188">
        <v>94.49</v>
      </c>
      <c r="I188">
        <v>11</v>
      </c>
      <c r="J188">
        <f t="shared" si="5"/>
        <v>51.969500000000011</v>
      </c>
      <c r="K188">
        <v>1039.3900000000001</v>
      </c>
      <c r="L188" s="1">
        <v>43791</v>
      </c>
      <c r="M188" s="2">
        <v>0.79166666666666663</v>
      </c>
      <c r="N188" t="s">
        <v>27</v>
      </c>
      <c r="O188">
        <v>755.92</v>
      </c>
      <c r="P188">
        <v>4.7619047620000003</v>
      </c>
      <c r="Q188">
        <v>283.47000000000003</v>
      </c>
      <c r="R188">
        <v>7.46</v>
      </c>
      <c r="S188">
        <v>96.089100000000002</v>
      </c>
      <c r="T188">
        <v>21.9588</v>
      </c>
    </row>
    <row r="189" spans="1:20" x14ac:dyDescent="0.3">
      <c r="A189" t="s">
        <v>384</v>
      </c>
      <c r="B189" t="s">
        <v>21</v>
      </c>
      <c r="C189" t="s">
        <v>385</v>
      </c>
      <c r="D189" t="s">
        <v>53</v>
      </c>
      <c r="E189" t="s">
        <v>24</v>
      </c>
      <c r="F189" t="s">
        <v>36</v>
      </c>
      <c r="G189" t="s">
        <v>26</v>
      </c>
      <c r="H189">
        <v>46.47</v>
      </c>
      <c r="I189">
        <v>8</v>
      </c>
      <c r="J189">
        <f t="shared" si="5"/>
        <v>18.588000000000001</v>
      </c>
      <c r="K189">
        <v>371.76</v>
      </c>
      <c r="L189" s="1">
        <v>43770</v>
      </c>
      <c r="M189" s="2">
        <v>0.45347222222222222</v>
      </c>
      <c r="N189" t="s">
        <v>33</v>
      </c>
      <c r="O189">
        <v>185.88</v>
      </c>
      <c r="P189">
        <v>4.7619047620000003</v>
      </c>
      <c r="Q189">
        <v>185.88</v>
      </c>
      <c r="R189">
        <v>7.46</v>
      </c>
      <c r="S189">
        <v>96.089100000000002</v>
      </c>
      <c r="T189">
        <v>21.9588</v>
      </c>
    </row>
    <row r="190" spans="1:20" x14ac:dyDescent="0.3">
      <c r="A190" t="s">
        <v>386</v>
      </c>
      <c r="B190" t="s">
        <v>21</v>
      </c>
      <c r="C190" t="s">
        <v>387</v>
      </c>
      <c r="D190" t="s">
        <v>23</v>
      </c>
      <c r="E190" t="s">
        <v>32</v>
      </c>
      <c r="F190" t="s">
        <v>36</v>
      </c>
      <c r="G190" t="s">
        <v>26</v>
      </c>
      <c r="H190">
        <v>74.069999999999993</v>
      </c>
      <c r="I190">
        <v>1</v>
      </c>
      <c r="J190">
        <f t="shared" si="5"/>
        <v>3.7035</v>
      </c>
      <c r="K190">
        <v>74.069999999999993</v>
      </c>
      <c r="L190" s="1">
        <v>43536</v>
      </c>
      <c r="M190" s="2">
        <v>0.53472222222222221</v>
      </c>
      <c r="N190" t="s">
        <v>27</v>
      </c>
      <c r="O190">
        <v>74.069999999999993</v>
      </c>
      <c r="P190">
        <v>4.7619047620000003</v>
      </c>
      <c r="Q190">
        <v>0</v>
      </c>
      <c r="R190">
        <v>7.46</v>
      </c>
      <c r="S190">
        <v>96.173500000000004</v>
      </c>
      <c r="T190">
        <v>16.840900000000001</v>
      </c>
    </row>
    <row r="191" spans="1:20" x14ac:dyDescent="0.3">
      <c r="A191" t="s">
        <v>388</v>
      </c>
      <c r="B191" t="s">
        <v>29</v>
      </c>
      <c r="C191" t="s">
        <v>389</v>
      </c>
      <c r="D191" t="s">
        <v>31</v>
      </c>
      <c r="E191" t="s">
        <v>32</v>
      </c>
      <c r="F191" t="s">
        <v>25</v>
      </c>
      <c r="G191" t="s">
        <v>26</v>
      </c>
      <c r="H191">
        <v>69.81</v>
      </c>
      <c r="I191">
        <v>5</v>
      </c>
      <c r="J191">
        <f t="shared" si="5"/>
        <v>17.452500000000001</v>
      </c>
      <c r="K191">
        <v>349.05</v>
      </c>
      <c r="L191" s="1">
        <v>43753</v>
      </c>
      <c r="M191" s="2">
        <v>0.86805555555555558</v>
      </c>
      <c r="N191" t="s">
        <v>37</v>
      </c>
      <c r="O191">
        <v>279.24</v>
      </c>
      <c r="P191">
        <v>4.7619047620000003</v>
      </c>
      <c r="Q191">
        <v>69.81</v>
      </c>
      <c r="R191">
        <v>7.46</v>
      </c>
      <c r="S191">
        <v>96.078500000000005</v>
      </c>
      <c r="T191">
        <v>19.763300000000001</v>
      </c>
    </row>
    <row r="192" spans="1:20" x14ac:dyDescent="0.3">
      <c r="A192" t="s">
        <v>390</v>
      </c>
      <c r="B192" t="s">
        <v>51</v>
      </c>
      <c r="C192" t="s">
        <v>95</v>
      </c>
      <c r="D192" t="s">
        <v>53</v>
      </c>
      <c r="E192" t="s">
        <v>32</v>
      </c>
      <c r="F192" t="s">
        <v>25</v>
      </c>
      <c r="G192" t="s">
        <v>26</v>
      </c>
      <c r="H192">
        <v>77.040000000000006</v>
      </c>
      <c r="I192">
        <v>4</v>
      </c>
      <c r="J192">
        <v>15.407999999999999</v>
      </c>
      <c r="K192">
        <v>308.16000000000003</v>
      </c>
      <c r="L192" s="1">
        <v>43817</v>
      </c>
      <c r="M192" s="2">
        <v>0.44374999999999998</v>
      </c>
      <c r="N192" t="s">
        <v>37</v>
      </c>
      <c r="O192">
        <v>231.12</v>
      </c>
      <c r="P192">
        <v>4.7619047620000003</v>
      </c>
      <c r="Q192">
        <v>77.040000000000006</v>
      </c>
      <c r="R192">
        <v>8.64</v>
      </c>
      <c r="S192">
        <v>96.089100000000002</v>
      </c>
      <c r="T192">
        <v>21.9588</v>
      </c>
    </row>
    <row r="193" spans="1:20" x14ac:dyDescent="0.3">
      <c r="A193" t="s">
        <v>391</v>
      </c>
      <c r="B193" t="s">
        <v>51</v>
      </c>
      <c r="C193" t="s">
        <v>392</v>
      </c>
      <c r="D193" t="s">
        <v>53</v>
      </c>
      <c r="E193" t="s">
        <v>32</v>
      </c>
      <c r="F193" t="s">
        <v>25</v>
      </c>
      <c r="G193" t="s">
        <v>26</v>
      </c>
      <c r="H193">
        <v>73.52</v>
      </c>
      <c r="I193">
        <v>3</v>
      </c>
      <c r="J193">
        <v>11.028</v>
      </c>
      <c r="K193">
        <v>220.56</v>
      </c>
      <c r="L193" s="1">
        <v>43685</v>
      </c>
      <c r="M193" s="2">
        <v>0.57013888888888886</v>
      </c>
      <c r="N193" t="s">
        <v>27</v>
      </c>
      <c r="O193">
        <v>147.04</v>
      </c>
      <c r="P193">
        <v>4.7619047620000003</v>
      </c>
      <c r="Q193">
        <v>73.52</v>
      </c>
      <c r="R193">
        <v>5.52</v>
      </c>
      <c r="S193">
        <v>96.089100000000002</v>
      </c>
      <c r="T193">
        <v>21.9588</v>
      </c>
    </row>
    <row r="194" spans="1:20" x14ac:dyDescent="0.3">
      <c r="A194" t="s">
        <v>393</v>
      </c>
      <c r="B194" t="s">
        <v>29</v>
      </c>
      <c r="C194" t="s">
        <v>394</v>
      </c>
      <c r="D194" t="s">
        <v>31</v>
      </c>
      <c r="E194" t="s">
        <v>32</v>
      </c>
      <c r="F194" t="s">
        <v>25</v>
      </c>
      <c r="G194" t="s">
        <v>26</v>
      </c>
      <c r="H194">
        <v>87.8</v>
      </c>
      <c r="I194">
        <v>11</v>
      </c>
      <c r="J194">
        <v>48.29</v>
      </c>
      <c r="K194">
        <v>965.8</v>
      </c>
      <c r="L194" s="1">
        <v>43767</v>
      </c>
      <c r="M194" s="2">
        <v>0.79722222222222228</v>
      </c>
      <c r="N194" t="s">
        <v>33</v>
      </c>
      <c r="O194">
        <v>790.2</v>
      </c>
      <c r="P194">
        <v>4.7619047620000003</v>
      </c>
      <c r="Q194">
        <v>175.6</v>
      </c>
      <c r="R194">
        <v>9.66</v>
      </c>
      <c r="S194">
        <v>96.078500000000005</v>
      </c>
      <c r="T194">
        <v>19.763300000000001</v>
      </c>
    </row>
    <row r="195" spans="1:20" x14ac:dyDescent="0.3">
      <c r="A195" t="s">
        <v>395</v>
      </c>
      <c r="B195" t="s">
        <v>51</v>
      </c>
      <c r="C195" t="s">
        <v>104</v>
      </c>
      <c r="D195" t="s">
        <v>53</v>
      </c>
      <c r="E195" t="s">
        <v>32</v>
      </c>
      <c r="F195" t="s">
        <v>36</v>
      </c>
      <c r="G195" t="s">
        <v>26</v>
      </c>
      <c r="H195">
        <v>25.55</v>
      </c>
      <c r="I195">
        <v>6</v>
      </c>
      <c r="J195">
        <v>7.665</v>
      </c>
      <c r="K195">
        <v>153.30000000000001</v>
      </c>
      <c r="L195" s="1">
        <v>43773</v>
      </c>
      <c r="M195" s="2">
        <v>0.84930555555555554</v>
      </c>
      <c r="N195" t="s">
        <v>27</v>
      </c>
      <c r="O195">
        <v>102.2</v>
      </c>
      <c r="P195">
        <v>4.7619047620000003</v>
      </c>
      <c r="Q195">
        <v>51.1</v>
      </c>
      <c r="R195">
        <v>6.84</v>
      </c>
      <c r="S195">
        <v>96.089100000000002</v>
      </c>
      <c r="T195">
        <v>21.9588</v>
      </c>
    </row>
    <row r="196" spans="1:20" x14ac:dyDescent="0.3">
      <c r="A196" t="s">
        <v>396</v>
      </c>
      <c r="B196" t="s">
        <v>21</v>
      </c>
      <c r="C196" t="s">
        <v>397</v>
      </c>
      <c r="D196" t="s">
        <v>23</v>
      </c>
      <c r="E196" t="s">
        <v>32</v>
      </c>
      <c r="F196" t="s">
        <v>36</v>
      </c>
      <c r="G196" t="s">
        <v>26</v>
      </c>
      <c r="H196">
        <v>32.71</v>
      </c>
      <c r="I196">
        <v>5</v>
      </c>
      <c r="J196">
        <v>8.1775000000000002</v>
      </c>
      <c r="K196">
        <v>163.55000000000001</v>
      </c>
      <c r="L196" s="1">
        <v>43777</v>
      </c>
      <c r="M196" s="2">
        <v>0.47916666666666669</v>
      </c>
      <c r="N196" t="s">
        <v>37</v>
      </c>
      <c r="O196">
        <v>163.55000000000001</v>
      </c>
      <c r="P196">
        <v>4.7619047620000003</v>
      </c>
      <c r="Q196">
        <v>0</v>
      </c>
      <c r="R196">
        <v>9.9</v>
      </c>
      <c r="S196">
        <v>96.173500000000004</v>
      </c>
      <c r="T196">
        <v>16.840900000000001</v>
      </c>
    </row>
    <row r="197" spans="1:20" x14ac:dyDescent="0.3">
      <c r="A197" t="s">
        <v>398</v>
      </c>
      <c r="B197" t="s">
        <v>29</v>
      </c>
      <c r="C197" t="s">
        <v>399</v>
      </c>
      <c r="D197" t="s">
        <v>31</v>
      </c>
      <c r="E197" t="s">
        <v>24</v>
      </c>
      <c r="F197" t="s">
        <v>25</v>
      </c>
      <c r="G197" t="s">
        <v>26</v>
      </c>
      <c r="H197">
        <v>74.290000000000006</v>
      </c>
      <c r="I197">
        <v>1</v>
      </c>
      <c r="J197">
        <v>3.7145000000000001</v>
      </c>
      <c r="K197">
        <v>74.290000000000006</v>
      </c>
      <c r="L197" s="1">
        <v>43578</v>
      </c>
      <c r="M197" s="2">
        <v>0.8125</v>
      </c>
      <c r="N197" t="s">
        <v>33</v>
      </c>
      <c r="O197">
        <v>74.290000000000006</v>
      </c>
      <c r="P197">
        <v>4.7619047620000003</v>
      </c>
      <c r="Q197">
        <v>0</v>
      </c>
      <c r="R197">
        <v>5.25</v>
      </c>
      <c r="S197">
        <v>96.078500000000005</v>
      </c>
      <c r="T197">
        <v>19.763300000000001</v>
      </c>
    </row>
    <row r="198" spans="1:20" x14ac:dyDescent="0.3">
      <c r="A198" t="s">
        <v>400</v>
      </c>
      <c r="B198" t="s">
        <v>29</v>
      </c>
      <c r="C198" t="s">
        <v>401</v>
      </c>
      <c r="D198" t="s">
        <v>31</v>
      </c>
      <c r="E198" t="s">
        <v>24</v>
      </c>
      <c r="F198" t="s">
        <v>36</v>
      </c>
      <c r="G198" t="s">
        <v>26</v>
      </c>
      <c r="H198">
        <v>43.7</v>
      </c>
      <c r="I198">
        <v>3</v>
      </c>
      <c r="J198">
        <v>6.5549999999999997</v>
      </c>
      <c r="K198">
        <v>131.1</v>
      </c>
      <c r="L198" s="1">
        <v>43774</v>
      </c>
      <c r="M198" s="2">
        <v>0.75208333333333333</v>
      </c>
      <c r="N198" t="s">
        <v>33</v>
      </c>
      <c r="O198">
        <v>87.4</v>
      </c>
      <c r="P198">
        <v>4.7619047620000003</v>
      </c>
      <c r="Q198">
        <v>43.7</v>
      </c>
      <c r="R198">
        <v>5.1449999999999996</v>
      </c>
      <c r="S198">
        <v>96.078500000000005</v>
      </c>
      <c r="T198">
        <v>19.763300000000001</v>
      </c>
    </row>
    <row r="199" spans="1:20" x14ac:dyDescent="0.3">
      <c r="A199" t="s">
        <v>402</v>
      </c>
      <c r="B199" t="s">
        <v>21</v>
      </c>
      <c r="C199" t="s">
        <v>403</v>
      </c>
      <c r="D199" t="s">
        <v>23</v>
      </c>
      <c r="E199" t="s">
        <v>32</v>
      </c>
      <c r="F199" t="s">
        <v>25</v>
      </c>
      <c r="G199" t="s">
        <v>26</v>
      </c>
      <c r="H199">
        <v>25.29</v>
      </c>
      <c r="I199">
        <v>1</v>
      </c>
      <c r="J199">
        <v>1.2645</v>
      </c>
      <c r="K199">
        <v>25.29</v>
      </c>
      <c r="L199" s="1">
        <v>43829</v>
      </c>
      <c r="M199" s="2">
        <v>0.42569444444444443</v>
      </c>
      <c r="N199" t="s">
        <v>27</v>
      </c>
      <c r="O199">
        <v>25.29</v>
      </c>
      <c r="P199">
        <v>4.7619047620000003</v>
      </c>
      <c r="Q199">
        <v>0</v>
      </c>
      <c r="R199">
        <v>6.1</v>
      </c>
      <c r="S199">
        <v>96.173500000000004</v>
      </c>
      <c r="T199">
        <v>16.840900000000001</v>
      </c>
    </row>
    <row r="200" spans="1:20" x14ac:dyDescent="0.3">
      <c r="A200" t="s">
        <v>404</v>
      </c>
      <c r="B200" t="s">
        <v>29</v>
      </c>
      <c r="C200" t="s">
        <v>405</v>
      </c>
      <c r="D200" t="s">
        <v>31</v>
      </c>
      <c r="E200" t="s">
        <v>32</v>
      </c>
      <c r="F200" t="s">
        <v>36</v>
      </c>
      <c r="G200" t="s">
        <v>26</v>
      </c>
      <c r="H200">
        <v>41.5</v>
      </c>
      <c r="I200">
        <v>5</v>
      </c>
      <c r="J200">
        <v>10.375</v>
      </c>
      <c r="K200">
        <v>207.5</v>
      </c>
      <c r="L200" s="1">
        <v>43637</v>
      </c>
      <c r="M200" s="2">
        <v>0.83194444444444449</v>
      </c>
      <c r="N200" t="s">
        <v>37</v>
      </c>
      <c r="O200">
        <v>166</v>
      </c>
      <c r="P200">
        <v>4.7619047620000003</v>
      </c>
      <c r="Q200">
        <v>41.5</v>
      </c>
      <c r="R200">
        <v>8.61</v>
      </c>
      <c r="S200">
        <v>96.078500000000005</v>
      </c>
      <c r="T200">
        <v>19.763300000000001</v>
      </c>
    </row>
    <row r="201" spans="1:20" x14ac:dyDescent="0.3">
      <c r="A201" t="s">
        <v>406</v>
      </c>
      <c r="B201" t="s">
        <v>29</v>
      </c>
      <c r="C201" t="s">
        <v>407</v>
      </c>
      <c r="D201" t="s">
        <v>31</v>
      </c>
      <c r="E201" t="s">
        <v>32</v>
      </c>
      <c r="F201" t="s">
        <v>25</v>
      </c>
      <c r="G201" t="s">
        <v>26</v>
      </c>
      <c r="H201">
        <v>71.39</v>
      </c>
      <c r="I201">
        <v>6</v>
      </c>
      <c r="J201">
        <v>21.417000000000002</v>
      </c>
      <c r="K201">
        <v>428.34</v>
      </c>
      <c r="L201" s="1">
        <v>43519</v>
      </c>
      <c r="M201" s="2">
        <v>0.83125000000000004</v>
      </c>
      <c r="N201" t="s">
        <v>37</v>
      </c>
      <c r="O201">
        <v>356.95</v>
      </c>
      <c r="P201">
        <v>4.7619047620000003</v>
      </c>
      <c r="Q201">
        <v>71.39</v>
      </c>
      <c r="R201">
        <v>5.7750000000000004</v>
      </c>
      <c r="S201">
        <v>96.078500000000005</v>
      </c>
      <c r="T201">
        <v>19.763300000000001</v>
      </c>
    </row>
    <row r="202" spans="1:20" x14ac:dyDescent="0.3">
      <c r="A202" t="s">
        <v>408</v>
      </c>
      <c r="B202" t="s">
        <v>29</v>
      </c>
      <c r="C202" t="s">
        <v>341</v>
      </c>
      <c r="D202" t="s">
        <v>31</v>
      </c>
      <c r="E202" t="s">
        <v>32</v>
      </c>
      <c r="F202" t="s">
        <v>25</v>
      </c>
      <c r="G202" t="s">
        <v>26</v>
      </c>
      <c r="H202">
        <v>19.149999999999999</v>
      </c>
      <c r="I202">
        <v>7</v>
      </c>
      <c r="J202">
        <v>6.7024999999999997</v>
      </c>
      <c r="K202">
        <v>134.05000000000001</v>
      </c>
      <c r="L202" s="1">
        <v>43599</v>
      </c>
      <c r="M202" s="2">
        <v>0.41736111111111113</v>
      </c>
      <c r="N202" t="s">
        <v>37</v>
      </c>
      <c r="O202">
        <v>114.9</v>
      </c>
      <c r="P202">
        <v>4.7619047620000003</v>
      </c>
      <c r="Q202">
        <v>19.149999999999999</v>
      </c>
      <c r="R202">
        <v>7.14</v>
      </c>
      <c r="S202">
        <v>96.078500000000005</v>
      </c>
      <c r="T202">
        <v>19.763300000000001</v>
      </c>
    </row>
    <row r="203" spans="1:20" x14ac:dyDescent="0.3">
      <c r="A203" t="s">
        <v>409</v>
      </c>
      <c r="B203" t="s">
        <v>51</v>
      </c>
      <c r="C203" t="s">
        <v>286</v>
      </c>
      <c r="D203" t="s">
        <v>53</v>
      </c>
      <c r="E203" t="s">
        <v>32</v>
      </c>
      <c r="F203" t="s">
        <v>25</v>
      </c>
      <c r="G203" t="s">
        <v>26</v>
      </c>
      <c r="H203">
        <v>57.49</v>
      </c>
      <c r="I203">
        <v>6</v>
      </c>
      <c r="J203">
        <v>17.247</v>
      </c>
      <c r="K203">
        <v>344.94</v>
      </c>
      <c r="L203" s="1">
        <v>43784</v>
      </c>
      <c r="M203" s="2">
        <v>0.49791666666666667</v>
      </c>
      <c r="N203" t="s">
        <v>33</v>
      </c>
      <c r="O203">
        <v>229.96</v>
      </c>
      <c r="P203">
        <v>4.7619047620000003</v>
      </c>
      <c r="Q203">
        <v>114.98</v>
      </c>
      <c r="R203">
        <v>7.92</v>
      </c>
      <c r="S203">
        <v>96.089100000000002</v>
      </c>
      <c r="T203">
        <v>21.9588</v>
      </c>
    </row>
    <row r="204" spans="1:20" x14ac:dyDescent="0.3">
      <c r="A204" t="s">
        <v>410</v>
      </c>
      <c r="B204" t="s">
        <v>29</v>
      </c>
      <c r="C204" t="s">
        <v>411</v>
      </c>
      <c r="D204" t="s">
        <v>31</v>
      </c>
      <c r="E204" t="s">
        <v>32</v>
      </c>
      <c r="F204" t="s">
        <v>36</v>
      </c>
      <c r="G204" t="s">
        <v>26</v>
      </c>
      <c r="H204">
        <v>61.41</v>
      </c>
      <c r="I204">
        <v>8</v>
      </c>
      <c r="J204">
        <v>24.564</v>
      </c>
      <c r="K204">
        <v>491.28</v>
      </c>
      <c r="L204" s="1">
        <v>43511</v>
      </c>
      <c r="M204" s="2">
        <v>0.41805555555555557</v>
      </c>
      <c r="N204" t="s">
        <v>33</v>
      </c>
      <c r="O204">
        <v>429.87</v>
      </c>
      <c r="P204">
        <v>4.7619047620000003</v>
      </c>
      <c r="Q204">
        <v>61.41</v>
      </c>
      <c r="R204">
        <v>10</v>
      </c>
      <c r="S204">
        <v>96.078500000000005</v>
      </c>
      <c r="T204">
        <v>19.763300000000001</v>
      </c>
    </row>
    <row r="205" spans="1:20" x14ac:dyDescent="0.3">
      <c r="A205" t="s">
        <v>412</v>
      </c>
      <c r="B205" t="s">
        <v>51</v>
      </c>
      <c r="C205" t="s">
        <v>333</v>
      </c>
      <c r="D205" t="s">
        <v>53</v>
      </c>
      <c r="E205" t="s">
        <v>24</v>
      </c>
      <c r="F205" t="s">
        <v>36</v>
      </c>
      <c r="G205" t="s">
        <v>26</v>
      </c>
      <c r="H205">
        <v>25.9</v>
      </c>
      <c r="I205">
        <v>20</v>
      </c>
      <c r="J205">
        <v>25.9</v>
      </c>
      <c r="K205">
        <v>518</v>
      </c>
      <c r="L205" s="1">
        <v>43620</v>
      </c>
      <c r="M205" s="2">
        <v>0.61875000000000002</v>
      </c>
      <c r="N205" t="s">
        <v>27</v>
      </c>
      <c r="O205">
        <v>259</v>
      </c>
      <c r="P205">
        <v>4.7619047620000003</v>
      </c>
      <c r="Q205">
        <v>259</v>
      </c>
      <c r="R205">
        <v>10</v>
      </c>
      <c r="S205">
        <v>96.089100000000002</v>
      </c>
      <c r="T205">
        <v>21.9588</v>
      </c>
    </row>
    <row r="206" spans="1:20" x14ac:dyDescent="0.3">
      <c r="A206" t="s">
        <v>413</v>
      </c>
      <c r="B206" t="s">
        <v>51</v>
      </c>
      <c r="C206" t="s">
        <v>104</v>
      </c>
      <c r="D206" t="s">
        <v>53</v>
      </c>
      <c r="E206" t="s">
        <v>24</v>
      </c>
      <c r="F206" t="s">
        <v>36</v>
      </c>
      <c r="G206" t="s">
        <v>26</v>
      </c>
      <c r="H206">
        <v>17.77</v>
      </c>
      <c r="I206">
        <v>10</v>
      </c>
      <c r="J206">
        <v>8.8849999999999998</v>
      </c>
      <c r="K206">
        <v>177.7</v>
      </c>
      <c r="L206" s="1">
        <v>43713</v>
      </c>
      <c r="M206" s="2">
        <v>0.52916666666666667</v>
      </c>
      <c r="N206" t="s">
        <v>37</v>
      </c>
      <c r="O206">
        <v>88.85</v>
      </c>
      <c r="P206">
        <v>4.7619047620000003</v>
      </c>
      <c r="Q206">
        <v>88.85</v>
      </c>
      <c r="R206">
        <v>6.48</v>
      </c>
      <c r="S206">
        <v>96.089100000000002</v>
      </c>
      <c r="T206">
        <v>21.9588</v>
      </c>
    </row>
    <row r="207" spans="1:20" x14ac:dyDescent="0.3">
      <c r="A207" t="s">
        <v>414</v>
      </c>
      <c r="B207" t="s">
        <v>21</v>
      </c>
      <c r="C207" t="s">
        <v>415</v>
      </c>
      <c r="D207" t="s">
        <v>23</v>
      </c>
      <c r="E207" t="s">
        <v>32</v>
      </c>
      <c r="F207" t="s">
        <v>25</v>
      </c>
      <c r="G207" t="s">
        <v>26</v>
      </c>
      <c r="H207">
        <v>23.03</v>
      </c>
      <c r="I207">
        <v>9</v>
      </c>
      <c r="J207">
        <v>10.3635</v>
      </c>
      <c r="K207">
        <v>207.27</v>
      </c>
      <c r="L207" s="1">
        <v>43679</v>
      </c>
      <c r="M207" s="2">
        <v>0.50138888888888888</v>
      </c>
      <c r="N207" t="s">
        <v>27</v>
      </c>
      <c r="O207">
        <v>207.27</v>
      </c>
      <c r="P207">
        <v>4.7619047620000003</v>
      </c>
      <c r="Q207">
        <v>0</v>
      </c>
      <c r="R207">
        <v>7.9</v>
      </c>
      <c r="S207">
        <v>96.173500000000004</v>
      </c>
      <c r="T207">
        <v>16.840900000000001</v>
      </c>
    </row>
    <row r="208" spans="1:20" x14ac:dyDescent="0.3">
      <c r="A208" t="s">
        <v>416</v>
      </c>
      <c r="B208" t="s">
        <v>29</v>
      </c>
      <c r="C208" t="s">
        <v>417</v>
      </c>
      <c r="D208" t="s">
        <v>31</v>
      </c>
      <c r="E208" t="s">
        <v>24</v>
      </c>
      <c r="F208" t="s">
        <v>25</v>
      </c>
      <c r="G208" t="s">
        <v>26</v>
      </c>
      <c r="H208">
        <v>66.650000000000006</v>
      </c>
      <c r="I208">
        <v>15</v>
      </c>
      <c r="J208">
        <f t="shared" ref="J208:J212" si="6">K208*5%</f>
        <v>49.987500000000004</v>
      </c>
      <c r="K208">
        <v>999.75</v>
      </c>
      <c r="L208" s="1">
        <v>43516</v>
      </c>
      <c r="M208" s="2">
        <v>0.7631944444444444</v>
      </c>
      <c r="N208" t="s">
        <v>37</v>
      </c>
      <c r="O208">
        <v>599.85</v>
      </c>
      <c r="P208">
        <v>4.7619047620000003</v>
      </c>
      <c r="Q208">
        <v>399.9</v>
      </c>
      <c r="R208">
        <v>10</v>
      </c>
      <c r="S208">
        <v>96.078500000000005</v>
      </c>
      <c r="T208">
        <v>19.763300000000001</v>
      </c>
    </row>
    <row r="209" spans="1:20" x14ac:dyDescent="0.3">
      <c r="A209" t="s">
        <v>418</v>
      </c>
      <c r="B209" t="s">
        <v>29</v>
      </c>
      <c r="C209" t="s">
        <v>419</v>
      </c>
      <c r="D209" t="s">
        <v>31</v>
      </c>
      <c r="E209" t="s">
        <v>24</v>
      </c>
      <c r="F209" t="s">
        <v>25</v>
      </c>
      <c r="G209" t="s">
        <v>26</v>
      </c>
      <c r="H209">
        <v>28.53</v>
      </c>
      <c r="I209">
        <v>17</v>
      </c>
      <c r="J209">
        <f t="shared" si="6"/>
        <v>24.250500000000002</v>
      </c>
      <c r="K209">
        <v>485.01</v>
      </c>
      <c r="L209" s="1">
        <v>43474</v>
      </c>
      <c r="M209" s="2">
        <v>0.73472222222222228</v>
      </c>
      <c r="N209" t="s">
        <v>27</v>
      </c>
      <c r="O209">
        <v>285.3</v>
      </c>
      <c r="P209">
        <v>4.7619047620000003</v>
      </c>
      <c r="Q209">
        <v>199.71</v>
      </c>
      <c r="R209">
        <v>8.19</v>
      </c>
      <c r="S209">
        <v>96.078500000000005</v>
      </c>
      <c r="T209">
        <v>19.763300000000001</v>
      </c>
    </row>
    <row r="210" spans="1:20" x14ac:dyDescent="0.3">
      <c r="A210" t="s">
        <v>420</v>
      </c>
      <c r="B210" t="s">
        <v>51</v>
      </c>
      <c r="C210" t="s">
        <v>132</v>
      </c>
      <c r="D210" t="s">
        <v>53</v>
      </c>
      <c r="E210" t="s">
        <v>32</v>
      </c>
      <c r="F210" t="s">
        <v>25</v>
      </c>
      <c r="G210" t="s">
        <v>26</v>
      </c>
      <c r="H210">
        <v>30.37</v>
      </c>
      <c r="I210">
        <v>4</v>
      </c>
      <c r="J210">
        <f t="shared" si="6"/>
        <v>6.0740000000000007</v>
      </c>
      <c r="K210">
        <v>121.48</v>
      </c>
      <c r="L210" s="1">
        <v>43531</v>
      </c>
      <c r="M210" s="2">
        <v>0.57013888888888886</v>
      </c>
      <c r="N210" t="s">
        <v>27</v>
      </c>
      <c r="O210">
        <v>91.11</v>
      </c>
      <c r="P210">
        <v>4.7619047620000003</v>
      </c>
      <c r="Q210">
        <v>30.37</v>
      </c>
      <c r="R210">
        <v>6.12</v>
      </c>
      <c r="S210">
        <v>96.089100000000002</v>
      </c>
      <c r="T210">
        <v>21.9588</v>
      </c>
    </row>
    <row r="211" spans="1:20" x14ac:dyDescent="0.3">
      <c r="A211" t="s">
        <v>421</v>
      </c>
      <c r="B211" t="s">
        <v>51</v>
      </c>
      <c r="C211" t="s">
        <v>67</v>
      </c>
      <c r="D211" t="s">
        <v>53</v>
      </c>
      <c r="E211" t="s">
        <v>32</v>
      </c>
      <c r="F211" t="s">
        <v>25</v>
      </c>
      <c r="G211" t="s">
        <v>26</v>
      </c>
      <c r="H211">
        <v>99.73</v>
      </c>
      <c r="I211">
        <v>13</v>
      </c>
      <c r="J211">
        <f t="shared" si="6"/>
        <v>64.8245</v>
      </c>
      <c r="K211">
        <v>1296.49</v>
      </c>
      <c r="L211" s="1">
        <v>43552</v>
      </c>
      <c r="M211" s="2">
        <v>0.8208333333333333</v>
      </c>
      <c r="N211" t="s">
        <v>37</v>
      </c>
      <c r="O211">
        <v>897.57</v>
      </c>
      <c r="P211">
        <v>4.7619047620000003</v>
      </c>
      <c r="Q211">
        <v>398.92</v>
      </c>
      <c r="R211">
        <v>7.8</v>
      </c>
      <c r="S211">
        <v>96.089100000000002</v>
      </c>
      <c r="T211">
        <v>21.9588</v>
      </c>
    </row>
    <row r="212" spans="1:20" x14ac:dyDescent="0.3">
      <c r="A212" t="s">
        <v>422</v>
      </c>
      <c r="B212" t="s">
        <v>21</v>
      </c>
      <c r="C212" t="s">
        <v>326</v>
      </c>
      <c r="D212" t="s">
        <v>23</v>
      </c>
      <c r="E212" t="s">
        <v>32</v>
      </c>
      <c r="F212" t="s">
        <v>36</v>
      </c>
      <c r="G212" t="s">
        <v>26</v>
      </c>
      <c r="H212">
        <v>26.23</v>
      </c>
      <c r="I212">
        <v>9</v>
      </c>
      <c r="J212">
        <f t="shared" si="6"/>
        <v>11.8035</v>
      </c>
      <c r="K212">
        <v>236.07</v>
      </c>
      <c r="L212" s="1">
        <v>43554</v>
      </c>
      <c r="M212" s="2">
        <v>0.85</v>
      </c>
      <c r="N212" t="s">
        <v>27</v>
      </c>
      <c r="O212">
        <v>236.07</v>
      </c>
      <c r="P212">
        <v>4.7619047620000003</v>
      </c>
      <c r="Q212">
        <v>0</v>
      </c>
      <c r="R212">
        <v>5.9</v>
      </c>
      <c r="S212">
        <v>96.173500000000004</v>
      </c>
      <c r="T212">
        <v>16.840900000000001</v>
      </c>
    </row>
    <row r="213" spans="1:20" x14ac:dyDescent="0.3">
      <c r="A213" t="s">
        <v>423</v>
      </c>
      <c r="B213" t="s">
        <v>29</v>
      </c>
      <c r="C213" t="s">
        <v>424</v>
      </c>
      <c r="D213" t="s">
        <v>31</v>
      </c>
      <c r="E213" t="s">
        <v>32</v>
      </c>
      <c r="F213" t="s">
        <v>25</v>
      </c>
      <c r="G213" t="s">
        <v>26</v>
      </c>
      <c r="H213">
        <v>93.26</v>
      </c>
      <c r="I213">
        <v>11</v>
      </c>
      <c r="J213">
        <v>51.292999999999999</v>
      </c>
      <c r="K213">
        <v>1025.8599999999999</v>
      </c>
      <c r="L213" s="1">
        <v>43711</v>
      </c>
      <c r="M213" s="2">
        <v>0.75555555555555554</v>
      </c>
      <c r="N213" t="s">
        <v>33</v>
      </c>
      <c r="O213">
        <v>839.34</v>
      </c>
      <c r="P213">
        <v>4.7619047620000003</v>
      </c>
      <c r="Q213">
        <v>186.52</v>
      </c>
      <c r="R213">
        <v>9.24</v>
      </c>
      <c r="S213">
        <v>96.078500000000005</v>
      </c>
      <c r="T213">
        <v>19.763300000000001</v>
      </c>
    </row>
    <row r="214" spans="1:20" x14ac:dyDescent="0.3">
      <c r="A214" t="s">
        <v>425</v>
      </c>
      <c r="B214" t="s">
        <v>51</v>
      </c>
      <c r="C214" t="s">
        <v>426</v>
      </c>
      <c r="D214" t="s">
        <v>53</v>
      </c>
      <c r="E214" t="s">
        <v>32</v>
      </c>
      <c r="F214" t="s">
        <v>36</v>
      </c>
      <c r="G214" t="s">
        <v>26</v>
      </c>
      <c r="H214">
        <v>92.36</v>
      </c>
      <c r="I214">
        <v>7</v>
      </c>
      <c r="J214">
        <v>32.326000000000001</v>
      </c>
      <c r="K214">
        <v>646.52</v>
      </c>
      <c r="L214" s="1">
        <v>43680</v>
      </c>
      <c r="M214" s="2">
        <v>0.80347222222222225</v>
      </c>
      <c r="N214" t="s">
        <v>27</v>
      </c>
      <c r="O214">
        <v>461.8</v>
      </c>
      <c r="P214">
        <v>4.7619047620000003</v>
      </c>
      <c r="Q214">
        <v>184.72</v>
      </c>
      <c r="R214">
        <v>5.88</v>
      </c>
      <c r="S214">
        <v>96.089100000000002</v>
      </c>
      <c r="T214">
        <v>21.9588</v>
      </c>
    </row>
    <row r="215" spans="1:20" x14ac:dyDescent="0.3">
      <c r="A215" t="s">
        <v>427</v>
      </c>
      <c r="B215" t="s">
        <v>51</v>
      </c>
      <c r="C215" t="s">
        <v>428</v>
      </c>
      <c r="D215" t="s">
        <v>53</v>
      </c>
      <c r="E215" t="s">
        <v>32</v>
      </c>
      <c r="F215" t="s">
        <v>36</v>
      </c>
      <c r="G215" t="s">
        <v>26</v>
      </c>
      <c r="H215">
        <v>46.42</v>
      </c>
      <c r="I215">
        <v>4</v>
      </c>
      <c r="J215">
        <v>9.2840000000000007</v>
      </c>
      <c r="K215">
        <v>185.68</v>
      </c>
      <c r="L215" s="1">
        <v>43713</v>
      </c>
      <c r="M215" s="2">
        <v>0.55833333333333335</v>
      </c>
      <c r="N215" t="s">
        <v>37</v>
      </c>
      <c r="O215">
        <v>139.26</v>
      </c>
      <c r="P215">
        <v>4.7619047620000003</v>
      </c>
      <c r="Q215">
        <v>46.42</v>
      </c>
      <c r="R215">
        <v>5.28</v>
      </c>
      <c r="S215">
        <v>96.089100000000002</v>
      </c>
      <c r="T215">
        <v>21.9588</v>
      </c>
    </row>
    <row r="216" spans="1:20" x14ac:dyDescent="0.3">
      <c r="A216" t="s">
        <v>429</v>
      </c>
      <c r="B216" t="s">
        <v>51</v>
      </c>
      <c r="C216" t="s">
        <v>430</v>
      </c>
      <c r="D216" t="s">
        <v>53</v>
      </c>
      <c r="E216" t="s">
        <v>24</v>
      </c>
      <c r="F216" t="s">
        <v>25</v>
      </c>
      <c r="G216" t="s">
        <v>26</v>
      </c>
      <c r="H216">
        <v>29.61</v>
      </c>
      <c r="I216">
        <v>14</v>
      </c>
      <c r="J216">
        <v>20.727</v>
      </c>
      <c r="K216">
        <v>414.54</v>
      </c>
      <c r="L216" s="1">
        <v>43508</v>
      </c>
      <c r="M216" s="2">
        <v>0.66180555555555554</v>
      </c>
      <c r="N216" t="s">
        <v>33</v>
      </c>
      <c r="O216">
        <v>207.27</v>
      </c>
      <c r="P216">
        <v>4.7619047620000003</v>
      </c>
      <c r="Q216">
        <v>207.27</v>
      </c>
      <c r="R216">
        <v>7.8</v>
      </c>
      <c r="S216">
        <v>96.089100000000002</v>
      </c>
      <c r="T216">
        <v>21.9588</v>
      </c>
    </row>
    <row r="217" spans="1:20" x14ac:dyDescent="0.3">
      <c r="A217" t="s">
        <v>431</v>
      </c>
      <c r="B217" t="s">
        <v>21</v>
      </c>
      <c r="C217" t="s">
        <v>432</v>
      </c>
      <c r="D217" t="s">
        <v>23</v>
      </c>
      <c r="E217" t="s">
        <v>32</v>
      </c>
      <c r="F217" t="s">
        <v>36</v>
      </c>
      <c r="G217" t="s">
        <v>26</v>
      </c>
      <c r="H217">
        <v>18.28</v>
      </c>
      <c r="I217">
        <v>1</v>
      </c>
      <c r="J217">
        <v>0.91400000000000003</v>
      </c>
      <c r="K217">
        <v>18.28</v>
      </c>
      <c r="L217" s="1">
        <v>43771</v>
      </c>
      <c r="M217" s="2">
        <v>0.62847222222222221</v>
      </c>
      <c r="N217" t="s">
        <v>37</v>
      </c>
      <c r="O217">
        <v>18.28</v>
      </c>
      <c r="P217">
        <v>4.7619047620000003</v>
      </c>
      <c r="Q217">
        <v>0</v>
      </c>
      <c r="R217">
        <v>8.3000000000000007</v>
      </c>
      <c r="S217">
        <v>96.173500000000004</v>
      </c>
      <c r="T217">
        <v>16.840900000000001</v>
      </c>
    </row>
    <row r="218" spans="1:20" x14ac:dyDescent="0.3">
      <c r="A218" t="s">
        <v>433</v>
      </c>
      <c r="B218" t="s">
        <v>51</v>
      </c>
      <c r="C218" t="s">
        <v>361</v>
      </c>
      <c r="D218" t="s">
        <v>53</v>
      </c>
      <c r="E218" t="s">
        <v>32</v>
      </c>
      <c r="F218" t="s">
        <v>25</v>
      </c>
      <c r="G218" t="s">
        <v>26</v>
      </c>
      <c r="H218">
        <v>24.77</v>
      </c>
      <c r="I218">
        <v>7</v>
      </c>
      <c r="J218">
        <v>8.6694999999999993</v>
      </c>
      <c r="K218">
        <v>173.39</v>
      </c>
      <c r="L218" s="1">
        <v>43676</v>
      </c>
      <c r="M218" s="2">
        <v>0.76875000000000004</v>
      </c>
      <c r="N218" t="s">
        <v>33</v>
      </c>
      <c r="O218">
        <v>123.85</v>
      </c>
      <c r="P218">
        <v>4.7619047620000003</v>
      </c>
      <c r="Q218">
        <v>49.54</v>
      </c>
      <c r="R218">
        <v>10</v>
      </c>
      <c r="S218">
        <v>96.089100000000002</v>
      </c>
      <c r="T218">
        <v>21.9588</v>
      </c>
    </row>
    <row r="219" spans="1:20" x14ac:dyDescent="0.3">
      <c r="A219" t="s">
        <v>434</v>
      </c>
      <c r="B219" t="s">
        <v>21</v>
      </c>
      <c r="C219" t="s">
        <v>435</v>
      </c>
      <c r="D219" t="s">
        <v>23</v>
      </c>
      <c r="E219" t="s">
        <v>24</v>
      </c>
      <c r="F219" t="s">
        <v>25</v>
      </c>
      <c r="G219" t="s">
        <v>26</v>
      </c>
      <c r="H219">
        <v>94.64</v>
      </c>
      <c r="I219">
        <v>4</v>
      </c>
      <c r="J219">
        <v>18.928000000000001</v>
      </c>
      <c r="K219">
        <v>378.56</v>
      </c>
      <c r="L219" s="1">
        <v>43762</v>
      </c>
      <c r="M219" s="2">
        <v>0.70486111111111116</v>
      </c>
      <c r="N219" t="s">
        <v>33</v>
      </c>
      <c r="O219">
        <v>283.92</v>
      </c>
      <c r="P219">
        <v>4.7619047620000003</v>
      </c>
      <c r="Q219">
        <v>94.64</v>
      </c>
      <c r="R219">
        <v>5.5</v>
      </c>
      <c r="S219">
        <v>96.173500000000004</v>
      </c>
      <c r="T219">
        <v>16.840900000000001</v>
      </c>
    </row>
    <row r="220" spans="1:20" x14ac:dyDescent="0.3">
      <c r="A220" t="s">
        <v>436</v>
      </c>
      <c r="B220" t="s">
        <v>51</v>
      </c>
      <c r="C220" t="s">
        <v>437</v>
      </c>
      <c r="D220" t="s">
        <v>53</v>
      </c>
      <c r="E220" t="s">
        <v>32</v>
      </c>
      <c r="F220" t="s">
        <v>36</v>
      </c>
      <c r="G220" t="s">
        <v>26</v>
      </c>
      <c r="H220">
        <v>94.87</v>
      </c>
      <c r="I220">
        <v>11</v>
      </c>
      <c r="J220">
        <v>52.1785</v>
      </c>
      <c r="K220">
        <v>1043.57</v>
      </c>
      <c r="L220" s="1">
        <v>43523</v>
      </c>
      <c r="M220" s="2">
        <v>0.54027777777777775</v>
      </c>
      <c r="N220" t="s">
        <v>27</v>
      </c>
      <c r="O220">
        <v>758.96</v>
      </c>
      <c r="P220">
        <v>4.7619047620000003</v>
      </c>
      <c r="Q220">
        <v>284.61</v>
      </c>
      <c r="R220">
        <v>10</v>
      </c>
      <c r="S220">
        <v>96.089100000000002</v>
      </c>
      <c r="T220">
        <v>21.9588</v>
      </c>
    </row>
    <row r="221" spans="1:20" x14ac:dyDescent="0.3">
      <c r="A221" t="s">
        <v>438</v>
      </c>
      <c r="B221" t="s">
        <v>51</v>
      </c>
      <c r="C221" t="s">
        <v>258</v>
      </c>
      <c r="D221" t="s">
        <v>53</v>
      </c>
      <c r="E221" t="s">
        <v>32</v>
      </c>
      <c r="F221" t="s">
        <v>25</v>
      </c>
      <c r="G221" t="s">
        <v>26</v>
      </c>
      <c r="H221">
        <v>57.34</v>
      </c>
      <c r="I221">
        <v>4</v>
      </c>
      <c r="J221">
        <v>11.468</v>
      </c>
      <c r="K221">
        <v>229.36</v>
      </c>
      <c r="L221" s="1">
        <v>43474</v>
      </c>
      <c r="M221" s="2">
        <v>0.79097222222222219</v>
      </c>
      <c r="N221" t="s">
        <v>37</v>
      </c>
      <c r="O221">
        <v>172.02</v>
      </c>
      <c r="P221">
        <v>4.7619047620000003</v>
      </c>
      <c r="Q221">
        <v>57.34</v>
      </c>
      <c r="R221">
        <v>9.48</v>
      </c>
      <c r="S221">
        <v>96.089100000000002</v>
      </c>
      <c r="T221">
        <v>21.9588</v>
      </c>
    </row>
    <row r="222" spans="1:20" x14ac:dyDescent="0.3">
      <c r="A222" t="s">
        <v>439</v>
      </c>
      <c r="B222" t="s">
        <v>51</v>
      </c>
      <c r="C222" t="s">
        <v>440</v>
      </c>
      <c r="D222" t="s">
        <v>53</v>
      </c>
      <c r="E222" t="s">
        <v>32</v>
      </c>
      <c r="F222" t="s">
        <v>36</v>
      </c>
      <c r="G222" t="s">
        <v>26</v>
      </c>
      <c r="H222">
        <v>45.35</v>
      </c>
      <c r="I222">
        <v>8</v>
      </c>
      <c r="J222">
        <v>18.14</v>
      </c>
      <c r="K222">
        <v>362.8</v>
      </c>
      <c r="L222" s="1">
        <v>43680</v>
      </c>
      <c r="M222" s="2">
        <v>0.57222222222222219</v>
      </c>
      <c r="N222" t="s">
        <v>27</v>
      </c>
      <c r="O222">
        <v>272.10000000000002</v>
      </c>
      <c r="P222">
        <v>4.7619047620000003</v>
      </c>
      <c r="Q222">
        <v>90.7</v>
      </c>
      <c r="R222">
        <v>7.32</v>
      </c>
      <c r="S222">
        <v>96.089100000000002</v>
      </c>
      <c r="T222">
        <v>21.9588</v>
      </c>
    </row>
    <row r="223" spans="1:20" x14ac:dyDescent="0.3">
      <c r="A223" t="s">
        <v>441</v>
      </c>
      <c r="B223" t="s">
        <v>51</v>
      </c>
      <c r="C223" t="s">
        <v>129</v>
      </c>
      <c r="D223" t="s">
        <v>53</v>
      </c>
      <c r="E223" t="s">
        <v>32</v>
      </c>
      <c r="F223" t="s">
        <v>36</v>
      </c>
      <c r="G223" t="s">
        <v>26</v>
      </c>
      <c r="H223">
        <v>62.08</v>
      </c>
      <c r="I223">
        <v>10</v>
      </c>
      <c r="J223">
        <v>31.04</v>
      </c>
      <c r="K223">
        <v>620.79999999999995</v>
      </c>
      <c r="L223" s="1">
        <v>43722</v>
      </c>
      <c r="M223" s="2">
        <v>0.57361111111111107</v>
      </c>
      <c r="N223" t="s">
        <v>27</v>
      </c>
      <c r="O223">
        <v>434.56</v>
      </c>
      <c r="P223">
        <v>4.7619047620000003</v>
      </c>
      <c r="Q223">
        <v>186.24</v>
      </c>
      <c r="R223">
        <v>6.48</v>
      </c>
      <c r="S223">
        <v>96.089100000000002</v>
      </c>
      <c r="T223">
        <v>21.9588</v>
      </c>
    </row>
    <row r="224" spans="1:20" x14ac:dyDescent="0.3">
      <c r="A224" t="s">
        <v>442</v>
      </c>
      <c r="B224" t="s">
        <v>29</v>
      </c>
      <c r="C224" t="s">
        <v>443</v>
      </c>
      <c r="D224" t="s">
        <v>31</v>
      </c>
      <c r="E224" t="s">
        <v>32</v>
      </c>
      <c r="F224" t="s">
        <v>36</v>
      </c>
      <c r="G224" t="s">
        <v>26</v>
      </c>
      <c r="H224">
        <v>11.81</v>
      </c>
      <c r="I224">
        <v>6</v>
      </c>
      <c r="J224">
        <v>3.5430000000000001</v>
      </c>
      <c r="K224">
        <v>70.86</v>
      </c>
      <c r="L224" s="1">
        <v>43734</v>
      </c>
      <c r="M224" s="2">
        <v>0.75416666666666665</v>
      </c>
      <c r="N224" t="s">
        <v>33</v>
      </c>
      <c r="O224">
        <v>59.05</v>
      </c>
      <c r="P224">
        <v>4.7619047620000003</v>
      </c>
      <c r="Q224">
        <v>11.81</v>
      </c>
      <c r="R224">
        <v>9.8699999999999992</v>
      </c>
      <c r="S224">
        <v>96.078500000000005</v>
      </c>
      <c r="T224">
        <v>19.763300000000001</v>
      </c>
    </row>
    <row r="225" spans="1:20" x14ac:dyDescent="0.3">
      <c r="A225" t="s">
        <v>444</v>
      </c>
      <c r="B225" t="s">
        <v>29</v>
      </c>
      <c r="C225" t="s">
        <v>445</v>
      </c>
      <c r="D225" t="s">
        <v>31</v>
      </c>
      <c r="E225" t="s">
        <v>24</v>
      </c>
      <c r="F225" t="s">
        <v>25</v>
      </c>
      <c r="G225" t="s">
        <v>26</v>
      </c>
      <c r="H225">
        <v>12.54</v>
      </c>
      <c r="I225">
        <v>1</v>
      </c>
      <c r="J225">
        <v>0.627</v>
      </c>
      <c r="K225">
        <v>12.54</v>
      </c>
      <c r="L225" s="1">
        <v>43787</v>
      </c>
      <c r="M225" s="2">
        <v>0.52638888888888891</v>
      </c>
      <c r="N225" t="s">
        <v>33</v>
      </c>
      <c r="O225">
        <v>12.54</v>
      </c>
      <c r="P225">
        <v>4.7619047620000003</v>
      </c>
      <c r="Q225">
        <v>0</v>
      </c>
      <c r="R225">
        <v>8.61</v>
      </c>
      <c r="S225">
        <v>96.078500000000005</v>
      </c>
      <c r="T225">
        <v>19.763300000000001</v>
      </c>
    </row>
    <row r="226" spans="1:20" x14ac:dyDescent="0.3">
      <c r="A226" t="s">
        <v>446</v>
      </c>
      <c r="B226" t="s">
        <v>21</v>
      </c>
      <c r="C226" t="s">
        <v>447</v>
      </c>
      <c r="D226" t="s">
        <v>23</v>
      </c>
      <c r="E226" t="s">
        <v>32</v>
      </c>
      <c r="F226" t="s">
        <v>36</v>
      </c>
      <c r="G226" t="s">
        <v>26</v>
      </c>
      <c r="H226">
        <v>43.25</v>
      </c>
      <c r="I226">
        <v>2</v>
      </c>
      <c r="J226">
        <v>4.3250000000000002</v>
      </c>
      <c r="K226">
        <v>86.5</v>
      </c>
      <c r="L226" s="1">
        <v>43660</v>
      </c>
      <c r="M226" s="2">
        <v>0.66388888888888886</v>
      </c>
      <c r="N226" t="s">
        <v>33</v>
      </c>
      <c r="O226">
        <v>86.5</v>
      </c>
      <c r="P226">
        <v>4.7619047620000003</v>
      </c>
      <c r="Q226">
        <v>0</v>
      </c>
      <c r="R226">
        <v>6.2</v>
      </c>
      <c r="S226">
        <v>96.173500000000004</v>
      </c>
      <c r="T226">
        <v>16.840900000000001</v>
      </c>
    </row>
    <row r="227" spans="1:20" x14ac:dyDescent="0.3">
      <c r="A227" t="s">
        <v>448</v>
      </c>
      <c r="B227" t="s">
        <v>29</v>
      </c>
      <c r="C227" t="s">
        <v>449</v>
      </c>
      <c r="D227" t="s">
        <v>31</v>
      </c>
      <c r="E227" t="s">
        <v>24</v>
      </c>
      <c r="F227" t="s">
        <v>25</v>
      </c>
      <c r="G227" t="s">
        <v>26</v>
      </c>
      <c r="H227">
        <v>87.16</v>
      </c>
      <c r="I227">
        <v>3</v>
      </c>
      <c r="J227">
        <v>13.074</v>
      </c>
      <c r="K227">
        <v>261.48</v>
      </c>
      <c r="L227" s="1">
        <v>43785</v>
      </c>
      <c r="M227" s="2">
        <v>0.60347222222222219</v>
      </c>
      <c r="N227" t="s">
        <v>37</v>
      </c>
      <c r="O227">
        <v>174.32</v>
      </c>
      <c r="P227">
        <v>4.7619047620000003</v>
      </c>
      <c r="Q227">
        <v>87.16</v>
      </c>
      <c r="R227">
        <v>10</v>
      </c>
      <c r="S227">
        <v>96.078500000000005</v>
      </c>
      <c r="T227">
        <v>19.763300000000001</v>
      </c>
    </row>
    <row r="228" spans="1:20" x14ac:dyDescent="0.3">
      <c r="A228" t="s">
        <v>450</v>
      </c>
      <c r="B228" t="s">
        <v>51</v>
      </c>
      <c r="C228" t="s">
        <v>361</v>
      </c>
      <c r="D228" t="s">
        <v>53</v>
      </c>
      <c r="E228" t="s">
        <v>24</v>
      </c>
      <c r="F228" t="s">
        <v>36</v>
      </c>
      <c r="G228" t="s">
        <v>26</v>
      </c>
      <c r="H228">
        <v>69.37</v>
      </c>
      <c r="I228">
        <v>18</v>
      </c>
      <c r="J228">
        <v>62.433</v>
      </c>
      <c r="K228">
        <v>1248.6600000000001</v>
      </c>
      <c r="L228" s="1">
        <v>43689</v>
      </c>
      <c r="M228" s="2">
        <v>0.80138888888888893</v>
      </c>
      <c r="N228" t="s">
        <v>27</v>
      </c>
      <c r="O228">
        <v>624.33000000000004</v>
      </c>
      <c r="P228">
        <v>4.7619047620000003</v>
      </c>
      <c r="Q228">
        <v>624.33000000000004</v>
      </c>
      <c r="R228">
        <v>4.8</v>
      </c>
      <c r="S228">
        <v>96.089100000000002</v>
      </c>
      <c r="T228">
        <v>21.9588</v>
      </c>
    </row>
    <row r="229" spans="1:20" x14ac:dyDescent="0.3">
      <c r="A229" t="s">
        <v>451</v>
      </c>
      <c r="B229" t="s">
        <v>29</v>
      </c>
      <c r="C229" t="s">
        <v>452</v>
      </c>
      <c r="D229" t="s">
        <v>31</v>
      </c>
      <c r="E229" t="s">
        <v>24</v>
      </c>
      <c r="F229" t="s">
        <v>36</v>
      </c>
      <c r="G229" t="s">
        <v>26</v>
      </c>
      <c r="H229">
        <v>37.06</v>
      </c>
      <c r="I229">
        <v>7</v>
      </c>
      <c r="J229">
        <v>12.971</v>
      </c>
      <c r="K229">
        <v>259.42</v>
      </c>
      <c r="L229" s="1">
        <v>43754</v>
      </c>
      <c r="M229" s="2">
        <v>0.68333333333333335</v>
      </c>
      <c r="N229" t="s">
        <v>27</v>
      </c>
      <c r="O229">
        <v>148.24</v>
      </c>
      <c r="P229">
        <v>4.7619047620000003</v>
      </c>
      <c r="Q229">
        <v>111.18</v>
      </c>
      <c r="R229">
        <v>7.46</v>
      </c>
      <c r="S229">
        <v>96.078500000000005</v>
      </c>
      <c r="T229">
        <v>19.763300000000001</v>
      </c>
    </row>
    <row r="230" spans="1:20" x14ac:dyDescent="0.3">
      <c r="A230" t="s">
        <v>453</v>
      </c>
      <c r="B230" t="s">
        <v>51</v>
      </c>
      <c r="C230" t="s">
        <v>454</v>
      </c>
      <c r="D230" t="s">
        <v>53</v>
      </c>
      <c r="E230" t="s">
        <v>24</v>
      </c>
      <c r="F230" t="s">
        <v>25</v>
      </c>
      <c r="G230" t="s">
        <v>26</v>
      </c>
      <c r="H230">
        <v>90.7</v>
      </c>
      <c r="I230">
        <v>11</v>
      </c>
      <c r="J230">
        <v>49.884999999999998</v>
      </c>
      <c r="K230">
        <v>997.7</v>
      </c>
      <c r="L230" s="1">
        <v>43633</v>
      </c>
      <c r="M230" s="2">
        <v>0.45277777777777778</v>
      </c>
      <c r="N230" t="s">
        <v>33</v>
      </c>
      <c r="O230">
        <v>544.20000000000005</v>
      </c>
      <c r="P230">
        <v>4.7619047620000003</v>
      </c>
      <c r="Q230">
        <v>453.5</v>
      </c>
      <c r="R230">
        <v>7.46</v>
      </c>
      <c r="S230">
        <v>96.089100000000002</v>
      </c>
      <c r="T230">
        <v>21.9588</v>
      </c>
    </row>
    <row r="231" spans="1:20" x14ac:dyDescent="0.3">
      <c r="A231" t="s">
        <v>455</v>
      </c>
      <c r="B231" t="s">
        <v>21</v>
      </c>
      <c r="C231" t="s">
        <v>113</v>
      </c>
      <c r="D231" t="s">
        <v>23</v>
      </c>
      <c r="E231" t="s">
        <v>32</v>
      </c>
      <c r="F231" t="s">
        <v>25</v>
      </c>
      <c r="G231" t="s">
        <v>26</v>
      </c>
      <c r="H231">
        <v>63.42</v>
      </c>
      <c r="I231">
        <v>8</v>
      </c>
      <c r="J231">
        <v>25.367999999999999</v>
      </c>
      <c r="K231">
        <v>507.36</v>
      </c>
      <c r="L231" s="1">
        <v>43661</v>
      </c>
      <c r="M231" s="2">
        <v>0.53819444444444442</v>
      </c>
      <c r="N231" t="s">
        <v>27</v>
      </c>
      <c r="O231">
        <v>507.36</v>
      </c>
      <c r="P231">
        <v>4.7619047620000003</v>
      </c>
      <c r="Q231">
        <v>0</v>
      </c>
      <c r="R231">
        <v>7.46</v>
      </c>
      <c r="S231">
        <v>96.173500000000004</v>
      </c>
      <c r="T231">
        <v>16.840900000000001</v>
      </c>
    </row>
    <row r="232" spans="1:20" x14ac:dyDescent="0.3">
      <c r="A232" t="s">
        <v>456</v>
      </c>
      <c r="B232" t="s">
        <v>51</v>
      </c>
      <c r="C232" t="s">
        <v>104</v>
      </c>
      <c r="D232" t="s">
        <v>53</v>
      </c>
      <c r="E232" t="s">
        <v>32</v>
      </c>
      <c r="F232" t="s">
        <v>25</v>
      </c>
      <c r="G232" t="s">
        <v>26</v>
      </c>
      <c r="H232">
        <v>81.37</v>
      </c>
      <c r="I232">
        <v>3</v>
      </c>
      <c r="J232">
        <v>12.205500000000001</v>
      </c>
      <c r="K232">
        <v>244.11</v>
      </c>
      <c r="L232" s="1">
        <v>43514</v>
      </c>
      <c r="M232" s="2">
        <v>0.81111111111111112</v>
      </c>
      <c r="N232" t="s">
        <v>33</v>
      </c>
      <c r="O232">
        <v>162.74</v>
      </c>
      <c r="P232">
        <v>4.7619047620000003</v>
      </c>
      <c r="Q232">
        <v>81.37</v>
      </c>
      <c r="R232">
        <v>7.46</v>
      </c>
      <c r="S232">
        <v>96.089100000000002</v>
      </c>
      <c r="T232">
        <v>21.9588</v>
      </c>
    </row>
    <row r="233" spans="1:20" x14ac:dyDescent="0.3">
      <c r="A233" t="s">
        <v>457</v>
      </c>
      <c r="B233" t="s">
        <v>51</v>
      </c>
      <c r="C233" t="s">
        <v>458</v>
      </c>
      <c r="D233" t="s">
        <v>53</v>
      </c>
      <c r="E233" t="s">
        <v>24</v>
      </c>
      <c r="F233" t="s">
        <v>25</v>
      </c>
      <c r="G233" t="s">
        <v>26</v>
      </c>
      <c r="H233">
        <v>10.59</v>
      </c>
      <c r="I233">
        <v>6</v>
      </c>
      <c r="J233">
        <v>3.177</v>
      </c>
      <c r="K233">
        <v>63.54</v>
      </c>
      <c r="L233" s="1">
        <v>43788</v>
      </c>
      <c r="M233" s="2">
        <v>0.57777777777777772</v>
      </c>
      <c r="N233" t="s">
        <v>37</v>
      </c>
      <c r="O233">
        <v>31.77</v>
      </c>
      <c r="P233">
        <v>4.7619047620000003</v>
      </c>
      <c r="Q233">
        <v>31.77</v>
      </c>
      <c r="R233">
        <v>7.46</v>
      </c>
      <c r="S233">
        <v>96.089100000000002</v>
      </c>
      <c r="T233">
        <v>21.9588</v>
      </c>
    </row>
    <row r="234" spans="1:20" x14ac:dyDescent="0.3">
      <c r="A234" t="s">
        <v>459</v>
      </c>
      <c r="B234" t="s">
        <v>51</v>
      </c>
      <c r="C234" t="s">
        <v>52</v>
      </c>
      <c r="D234" t="s">
        <v>53</v>
      </c>
      <c r="E234" t="s">
        <v>32</v>
      </c>
      <c r="F234" t="s">
        <v>25</v>
      </c>
      <c r="G234" t="s">
        <v>26</v>
      </c>
      <c r="H234">
        <v>84.09</v>
      </c>
      <c r="I234">
        <v>13</v>
      </c>
      <c r="J234">
        <v>54.658499999999997</v>
      </c>
      <c r="K234">
        <v>1093.17</v>
      </c>
      <c r="L234" s="1">
        <v>43792</v>
      </c>
      <c r="M234" s="2">
        <v>0.45416666666666666</v>
      </c>
      <c r="N234" t="s">
        <v>33</v>
      </c>
      <c r="O234">
        <v>756.81</v>
      </c>
      <c r="P234">
        <v>4.7619047620000003</v>
      </c>
      <c r="Q234">
        <v>336.36</v>
      </c>
      <c r="R234">
        <v>7.46</v>
      </c>
      <c r="S234">
        <v>96.089100000000002</v>
      </c>
      <c r="T234">
        <v>21.9588</v>
      </c>
    </row>
    <row r="235" spans="1:20" x14ac:dyDescent="0.3">
      <c r="A235" t="s">
        <v>460</v>
      </c>
      <c r="B235" t="s">
        <v>51</v>
      </c>
      <c r="C235" t="s">
        <v>215</v>
      </c>
      <c r="D235" t="s">
        <v>53</v>
      </c>
      <c r="E235" t="s">
        <v>24</v>
      </c>
      <c r="F235" t="s">
        <v>36</v>
      </c>
      <c r="G235" t="s">
        <v>26</v>
      </c>
      <c r="H235">
        <v>73.819999999999993</v>
      </c>
      <c r="I235">
        <v>8</v>
      </c>
      <c r="J235">
        <v>29.527999999999999</v>
      </c>
      <c r="K235">
        <v>590.55999999999995</v>
      </c>
      <c r="L235" s="1">
        <v>43813</v>
      </c>
      <c r="M235" s="2">
        <v>0.77152777777777781</v>
      </c>
      <c r="N235" t="s">
        <v>33</v>
      </c>
      <c r="O235">
        <v>295.27999999999997</v>
      </c>
      <c r="P235">
        <v>4.7619047620000003</v>
      </c>
      <c r="Q235">
        <v>295.27999999999997</v>
      </c>
      <c r="R235">
        <v>7.46</v>
      </c>
      <c r="S235">
        <v>96.089100000000002</v>
      </c>
      <c r="T235">
        <v>21.9588</v>
      </c>
    </row>
    <row r="236" spans="1:20" x14ac:dyDescent="0.3">
      <c r="A236" t="s">
        <v>461</v>
      </c>
      <c r="B236" t="s">
        <v>21</v>
      </c>
      <c r="C236" t="s">
        <v>462</v>
      </c>
      <c r="D236" t="s">
        <v>23</v>
      </c>
      <c r="E236" t="s">
        <v>32</v>
      </c>
      <c r="F236" t="s">
        <v>36</v>
      </c>
      <c r="G236" t="s">
        <v>26</v>
      </c>
      <c r="H236">
        <v>51.94</v>
      </c>
      <c r="I236">
        <v>10</v>
      </c>
      <c r="J236">
        <f t="shared" ref="J236:J238" si="7">K236*5%</f>
        <v>25.97</v>
      </c>
      <c r="K236">
        <v>519.4</v>
      </c>
      <c r="L236" s="1">
        <v>43484</v>
      </c>
      <c r="M236" s="2">
        <v>0.76666666666666672</v>
      </c>
      <c r="N236" t="s">
        <v>27</v>
      </c>
      <c r="O236">
        <v>519.4</v>
      </c>
      <c r="P236">
        <v>4.7619047620000003</v>
      </c>
      <c r="Q236">
        <v>0</v>
      </c>
      <c r="R236">
        <v>7.46</v>
      </c>
      <c r="S236">
        <v>96.173500000000004</v>
      </c>
      <c r="T236">
        <v>16.840900000000001</v>
      </c>
    </row>
    <row r="237" spans="1:20" x14ac:dyDescent="0.3">
      <c r="A237" t="s">
        <v>463</v>
      </c>
      <c r="B237" t="s">
        <v>21</v>
      </c>
      <c r="C237" t="s">
        <v>464</v>
      </c>
      <c r="D237" t="s">
        <v>23</v>
      </c>
      <c r="E237" t="s">
        <v>32</v>
      </c>
      <c r="F237" t="s">
        <v>25</v>
      </c>
      <c r="G237" t="s">
        <v>26</v>
      </c>
      <c r="H237">
        <v>93.14</v>
      </c>
      <c r="I237">
        <v>2</v>
      </c>
      <c r="J237">
        <f t="shared" si="7"/>
        <v>9.3140000000000001</v>
      </c>
      <c r="K237">
        <v>186.28</v>
      </c>
      <c r="L237" s="1">
        <v>43511</v>
      </c>
      <c r="M237" s="2">
        <v>0.75624999999999998</v>
      </c>
      <c r="N237" t="s">
        <v>27</v>
      </c>
      <c r="O237">
        <v>186.28</v>
      </c>
      <c r="P237">
        <v>4.7619047620000003</v>
      </c>
      <c r="Q237">
        <v>0</v>
      </c>
      <c r="R237">
        <v>7.46</v>
      </c>
      <c r="S237">
        <v>96.173500000000004</v>
      </c>
      <c r="T237">
        <v>16.840900000000001</v>
      </c>
    </row>
    <row r="238" spans="1:20" x14ac:dyDescent="0.3">
      <c r="A238" t="s">
        <v>465</v>
      </c>
      <c r="B238" t="s">
        <v>29</v>
      </c>
      <c r="C238" t="s">
        <v>466</v>
      </c>
      <c r="D238" t="s">
        <v>31</v>
      </c>
      <c r="E238" t="s">
        <v>32</v>
      </c>
      <c r="F238" t="s">
        <v>36</v>
      </c>
      <c r="G238" t="s">
        <v>26</v>
      </c>
      <c r="H238">
        <v>17.41</v>
      </c>
      <c r="I238">
        <v>6</v>
      </c>
      <c r="J238">
        <f t="shared" si="7"/>
        <v>5.2229999999999999</v>
      </c>
      <c r="K238">
        <v>104.46</v>
      </c>
      <c r="L238" s="1">
        <v>43570</v>
      </c>
      <c r="M238" s="2">
        <v>0.63611111111111107</v>
      </c>
      <c r="N238" t="s">
        <v>37</v>
      </c>
      <c r="O238">
        <v>87.05</v>
      </c>
      <c r="P238">
        <v>4.7619047620000003</v>
      </c>
      <c r="Q238">
        <v>17.41</v>
      </c>
      <c r="R238">
        <v>7.46</v>
      </c>
      <c r="S238">
        <v>96.078500000000005</v>
      </c>
      <c r="T238">
        <v>19.763300000000001</v>
      </c>
    </row>
    <row r="239" spans="1:20" x14ac:dyDescent="0.3">
      <c r="A239" t="s">
        <v>467</v>
      </c>
      <c r="B239" t="s">
        <v>29</v>
      </c>
      <c r="C239" t="s">
        <v>199</v>
      </c>
      <c r="D239" t="s">
        <v>31</v>
      </c>
      <c r="E239" t="s">
        <v>32</v>
      </c>
      <c r="F239" t="s">
        <v>25</v>
      </c>
      <c r="G239" t="s">
        <v>26</v>
      </c>
      <c r="H239">
        <v>44.22</v>
      </c>
      <c r="I239">
        <v>6</v>
      </c>
      <c r="J239">
        <v>13.266</v>
      </c>
      <c r="K239">
        <v>265.32</v>
      </c>
      <c r="L239" s="1">
        <v>43569</v>
      </c>
      <c r="M239" s="2">
        <v>0.71319444444444446</v>
      </c>
      <c r="N239" t="s">
        <v>37</v>
      </c>
      <c r="O239">
        <v>221.1</v>
      </c>
      <c r="P239">
        <v>4.7619047620000003</v>
      </c>
      <c r="Q239">
        <v>44.22</v>
      </c>
      <c r="R239">
        <v>7.46</v>
      </c>
      <c r="S239">
        <v>96.078500000000005</v>
      </c>
      <c r="T239">
        <v>19.763300000000001</v>
      </c>
    </row>
    <row r="240" spans="1:20" x14ac:dyDescent="0.3">
      <c r="A240" t="s">
        <v>468</v>
      </c>
      <c r="B240" t="s">
        <v>51</v>
      </c>
      <c r="C240" t="s">
        <v>469</v>
      </c>
      <c r="D240" t="s">
        <v>53</v>
      </c>
      <c r="E240" t="s">
        <v>32</v>
      </c>
      <c r="F240" t="s">
        <v>25</v>
      </c>
      <c r="G240" t="s">
        <v>26</v>
      </c>
      <c r="H240">
        <v>13.22</v>
      </c>
      <c r="I240">
        <v>7</v>
      </c>
      <c r="J240">
        <v>4.6269999999999998</v>
      </c>
      <c r="K240">
        <v>92.54</v>
      </c>
      <c r="L240" s="1">
        <v>43539</v>
      </c>
      <c r="M240" s="2">
        <v>0.80972222222222223</v>
      </c>
      <c r="N240" t="s">
        <v>33</v>
      </c>
      <c r="O240">
        <v>66.099999999999994</v>
      </c>
      <c r="P240">
        <v>4.7619047620000003</v>
      </c>
      <c r="Q240">
        <v>26.44</v>
      </c>
      <c r="R240">
        <v>5.16</v>
      </c>
      <c r="S240">
        <v>96.089100000000002</v>
      </c>
      <c r="T240">
        <v>21.9588</v>
      </c>
    </row>
    <row r="241" spans="1:20" x14ac:dyDescent="0.3">
      <c r="A241" t="s">
        <v>470</v>
      </c>
      <c r="B241" t="s">
        <v>21</v>
      </c>
      <c r="C241" t="s">
        <v>89</v>
      </c>
      <c r="D241" t="s">
        <v>23</v>
      </c>
      <c r="E241" t="s">
        <v>32</v>
      </c>
      <c r="F241" t="s">
        <v>36</v>
      </c>
      <c r="G241" t="s">
        <v>26</v>
      </c>
      <c r="H241">
        <v>89.69</v>
      </c>
      <c r="I241">
        <v>1</v>
      </c>
      <c r="J241">
        <v>4.4844999999999997</v>
      </c>
      <c r="K241">
        <v>89.69</v>
      </c>
      <c r="L241" s="1">
        <v>43550</v>
      </c>
      <c r="M241" s="2">
        <v>0.47222222222222221</v>
      </c>
      <c r="N241" t="s">
        <v>27</v>
      </c>
      <c r="O241">
        <v>89.69</v>
      </c>
      <c r="P241">
        <v>4.7619047620000003</v>
      </c>
      <c r="Q241">
        <v>0</v>
      </c>
      <c r="R241">
        <v>4.9000000000000004</v>
      </c>
      <c r="S241">
        <v>96.173500000000004</v>
      </c>
      <c r="T241">
        <v>16.840900000000001</v>
      </c>
    </row>
    <row r="242" spans="1:20" x14ac:dyDescent="0.3">
      <c r="A242" t="s">
        <v>471</v>
      </c>
      <c r="B242" t="s">
        <v>21</v>
      </c>
      <c r="C242" t="s">
        <v>472</v>
      </c>
      <c r="D242" t="s">
        <v>23</v>
      </c>
      <c r="E242" t="s">
        <v>32</v>
      </c>
      <c r="F242" t="s">
        <v>36</v>
      </c>
      <c r="G242" t="s">
        <v>26</v>
      </c>
      <c r="H242">
        <v>24.94</v>
      </c>
      <c r="I242">
        <v>9</v>
      </c>
      <c r="J242">
        <v>11.223000000000001</v>
      </c>
      <c r="K242">
        <v>224.46</v>
      </c>
      <c r="L242" s="1">
        <v>43630</v>
      </c>
      <c r="M242" s="2">
        <v>0.7006944444444444</v>
      </c>
      <c r="N242" t="s">
        <v>37</v>
      </c>
      <c r="O242">
        <v>224.46</v>
      </c>
      <c r="P242">
        <v>4.7619047620000003</v>
      </c>
      <c r="Q242">
        <v>0</v>
      </c>
      <c r="R242">
        <v>5.6</v>
      </c>
      <c r="S242">
        <v>96.173500000000004</v>
      </c>
      <c r="T242">
        <v>16.840900000000001</v>
      </c>
    </row>
    <row r="243" spans="1:20" x14ac:dyDescent="0.3">
      <c r="A243" t="s">
        <v>473</v>
      </c>
      <c r="B243" t="s">
        <v>21</v>
      </c>
      <c r="C243" t="s">
        <v>59</v>
      </c>
      <c r="D243" t="s">
        <v>23</v>
      </c>
      <c r="E243" t="s">
        <v>32</v>
      </c>
      <c r="F243" t="s">
        <v>36</v>
      </c>
      <c r="G243" t="s">
        <v>26</v>
      </c>
      <c r="H243">
        <v>59.77</v>
      </c>
      <c r="I243">
        <v>2</v>
      </c>
      <c r="J243">
        <v>5.9770000000000003</v>
      </c>
      <c r="K243">
        <v>119.54</v>
      </c>
      <c r="L243" s="1">
        <v>43654</v>
      </c>
      <c r="M243" s="2">
        <v>0.50069444444444444</v>
      </c>
      <c r="N243" t="s">
        <v>37</v>
      </c>
      <c r="O243">
        <v>119.54</v>
      </c>
      <c r="P243">
        <v>4.7619047620000003</v>
      </c>
      <c r="Q243">
        <v>0</v>
      </c>
      <c r="R243">
        <v>5.8</v>
      </c>
      <c r="S243">
        <v>96.173500000000004</v>
      </c>
      <c r="T243">
        <v>16.840900000000001</v>
      </c>
    </row>
    <row r="244" spans="1:20" x14ac:dyDescent="0.3">
      <c r="A244" t="s">
        <v>474</v>
      </c>
      <c r="B244" t="s">
        <v>29</v>
      </c>
      <c r="C244" t="s">
        <v>475</v>
      </c>
      <c r="D244" t="s">
        <v>31</v>
      </c>
      <c r="E244" t="s">
        <v>32</v>
      </c>
      <c r="F244" t="s">
        <v>36</v>
      </c>
      <c r="G244" t="s">
        <v>26</v>
      </c>
      <c r="H244">
        <v>93.2</v>
      </c>
      <c r="I244">
        <v>2</v>
      </c>
      <c r="J244">
        <v>9.32</v>
      </c>
      <c r="K244">
        <v>186.4</v>
      </c>
      <c r="L244" s="1">
        <v>43732</v>
      </c>
      <c r="M244" s="2">
        <v>0.77569444444444446</v>
      </c>
      <c r="N244" t="s">
        <v>37</v>
      </c>
      <c r="O244">
        <v>186.4</v>
      </c>
      <c r="P244">
        <v>4.7619047620000003</v>
      </c>
      <c r="Q244">
        <v>0</v>
      </c>
      <c r="R244">
        <v>6.3</v>
      </c>
      <c r="S244">
        <v>96.078500000000005</v>
      </c>
      <c r="T244">
        <v>19.763300000000001</v>
      </c>
    </row>
    <row r="245" spans="1:20" x14ac:dyDescent="0.3">
      <c r="A245" t="s">
        <v>476</v>
      </c>
      <c r="B245" t="s">
        <v>21</v>
      </c>
      <c r="C245" t="s">
        <v>477</v>
      </c>
      <c r="D245" t="s">
        <v>23</v>
      </c>
      <c r="E245" t="s">
        <v>32</v>
      </c>
      <c r="F245" t="s">
        <v>36</v>
      </c>
      <c r="G245" t="s">
        <v>26</v>
      </c>
      <c r="H245">
        <v>62.65</v>
      </c>
      <c r="I245">
        <v>4</v>
      </c>
      <c r="J245">
        <v>12.53</v>
      </c>
      <c r="K245">
        <v>250.6</v>
      </c>
      <c r="L245" s="1">
        <v>43684</v>
      </c>
      <c r="M245" s="2">
        <v>0.47569444444444442</v>
      </c>
      <c r="N245" t="s">
        <v>33</v>
      </c>
      <c r="O245">
        <v>250.6</v>
      </c>
      <c r="P245">
        <v>4.7619047620000003</v>
      </c>
      <c r="Q245">
        <v>0</v>
      </c>
      <c r="R245">
        <v>4.2</v>
      </c>
      <c r="S245">
        <v>96.173500000000004</v>
      </c>
      <c r="T245">
        <v>16.840900000000001</v>
      </c>
    </row>
    <row r="246" spans="1:20" x14ac:dyDescent="0.3">
      <c r="A246" t="s">
        <v>478</v>
      </c>
      <c r="B246" t="s">
        <v>51</v>
      </c>
      <c r="C246" t="s">
        <v>479</v>
      </c>
      <c r="D246" t="s">
        <v>53</v>
      </c>
      <c r="E246" t="s">
        <v>32</v>
      </c>
      <c r="F246" t="s">
        <v>36</v>
      </c>
      <c r="G246" t="s">
        <v>26</v>
      </c>
      <c r="H246">
        <v>93.87</v>
      </c>
      <c r="I246">
        <v>11</v>
      </c>
      <c r="J246">
        <v>51.628500000000003</v>
      </c>
      <c r="K246">
        <v>1032.57</v>
      </c>
      <c r="L246" s="1">
        <v>43471</v>
      </c>
      <c r="M246" s="2">
        <v>0.77916666666666667</v>
      </c>
      <c r="N246" t="s">
        <v>37</v>
      </c>
      <c r="O246">
        <v>750.96</v>
      </c>
      <c r="P246">
        <v>4.7619047620000003</v>
      </c>
      <c r="Q246">
        <v>281.61</v>
      </c>
      <c r="R246">
        <v>9.9600000000000009</v>
      </c>
      <c r="S246">
        <v>96.089100000000002</v>
      </c>
      <c r="T246">
        <v>21.9588</v>
      </c>
    </row>
    <row r="247" spans="1:20" x14ac:dyDescent="0.3">
      <c r="A247" t="s">
        <v>480</v>
      </c>
      <c r="B247" t="s">
        <v>21</v>
      </c>
      <c r="C247" t="s">
        <v>481</v>
      </c>
      <c r="D247" t="s">
        <v>23</v>
      </c>
      <c r="E247" t="s">
        <v>32</v>
      </c>
      <c r="F247" t="s">
        <v>36</v>
      </c>
      <c r="G247" t="s">
        <v>26</v>
      </c>
      <c r="H247">
        <v>47.59</v>
      </c>
      <c r="I247">
        <v>8</v>
      </c>
      <c r="J247">
        <v>19.036000000000001</v>
      </c>
      <c r="K247">
        <v>380.72</v>
      </c>
      <c r="L247" s="1">
        <v>43693</v>
      </c>
      <c r="M247" s="2">
        <v>0.61597222222222225</v>
      </c>
      <c r="N247" t="s">
        <v>33</v>
      </c>
      <c r="O247">
        <v>380.72</v>
      </c>
      <c r="P247">
        <v>4.7619047620000003</v>
      </c>
      <c r="Q247">
        <v>0</v>
      </c>
      <c r="R247">
        <v>5.7</v>
      </c>
      <c r="S247">
        <v>96.173500000000004</v>
      </c>
      <c r="T247">
        <v>16.840900000000001</v>
      </c>
    </row>
    <row r="248" spans="1:20" x14ac:dyDescent="0.3">
      <c r="A248" t="s">
        <v>482</v>
      </c>
      <c r="B248" t="s">
        <v>51</v>
      </c>
      <c r="C248" t="s">
        <v>331</v>
      </c>
      <c r="D248" t="s">
        <v>53</v>
      </c>
      <c r="E248" t="s">
        <v>32</v>
      </c>
      <c r="F248" t="s">
        <v>25</v>
      </c>
      <c r="G248" t="s">
        <v>26</v>
      </c>
      <c r="H248">
        <v>81.400000000000006</v>
      </c>
      <c r="I248">
        <v>4</v>
      </c>
      <c r="J248">
        <v>16.28</v>
      </c>
      <c r="K248">
        <v>325.60000000000002</v>
      </c>
      <c r="L248" s="1">
        <v>43785</v>
      </c>
      <c r="M248" s="2">
        <v>0.82152777777777775</v>
      </c>
      <c r="N248" t="s">
        <v>33</v>
      </c>
      <c r="O248">
        <v>244.2</v>
      </c>
      <c r="P248">
        <v>4.7619047620000003</v>
      </c>
      <c r="Q248">
        <v>81.400000000000006</v>
      </c>
      <c r="R248">
        <v>5.76</v>
      </c>
      <c r="S248">
        <v>96.089100000000002</v>
      </c>
      <c r="T248">
        <v>21.9588</v>
      </c>
    </row>
    <row r="249" spans="1:20" x14ac:dyDescent="0.3">
      <c r="A249" t="s">
        <v>483</v>
      </c>
      <c r="B249" t="s">
        <v>21</v>
      </c>
      <c r="C249" t="s">
        <v>484</v>
      </c>
      <c r="D249" t="s">
        <v>23</v>
      </c>
      <c r="E249" t="s">
        <v>32</v>
      </c>
      <c r="F249" t="s">
        <v>36</v>
      </c>
      <c r="G249" t="s">
        <v>26</v>
      </c>
      <c r="H249">
        <v>17.940000000000001</v>
      </c>
      <c r="I249">
        <v>5</v>
      </c>
      <c r="J249">
        <v>4.4850000000000003</v>
      </c>
      <c r="K249">
        <v>89.7</v>
      </c>
      <c r="L249" s="1">
        <v>43582</v>
      </c>
      <c r="M249" s="2">
        <v>0.58611111111111114</v>
      </c>
      <c r="N249" t="s">
        <v>27</v>
      </c>
      <c r="O249">
        <v>89.7</v>
      </c>
      <c r="P249">
        <v>4.7619047620000003</v>
      </c>
      <c r="Q249">
        <v>0</v>
      </c>
      <c r="R249">
        <v>6.8</v>
      </c>
      <c r="S249">
        <v>96.173500000000004</v>
      </c>
      <c r="T249">
        <v>16.840900000000001</v>
      </c>
    </row>
    <row r="250" spans="1:20" x14ac:dyDescent="0.3">
      <c r="A250" t="s">
        <v>485</v>
      </c>
      <c r="B250" t="s">
        <v>21</v>
      </c>
      <c r="C250" t="s">
        <v>486</v>
      </c>
      <c r="D250" t="s">
        <v>23</v>
      </c>
      <c r="E250" t="s">
        <v>32</v>
      </c>
      <c r="F250" t="s">
        <v>25</v>
      </c>
      <c r="G250" t="s">
        <v>26</v>
      </c>
      <c r="H250">
        <v>77.72</v>
      </c>
      <c r="I250">
        <v>4</v>
      </c>
      <c r="J250">
        <v>15.544</v>
      </c>
      <c r="K250">
        <v>310.88</v>
      </c>
      <c r="L250" s="1">
        <v>43783</v>
      </c>
      <c r="M250" s="2">
        <v>0.6743055555555556</v>
      </c>
      <c r="N250" t="s">
        <v>37</v>
      </c>
      <c r="O250">
        <v>310.88</v>
      </c>
      <c r="P250">
        <v>4.7619047620000003</v>
      </c>
      <c r="Q250">
        <v>0</v>
      </c>
      <c r="R250">
        <v>8.8000000000000007</v>
      </c>
      <c r="S250">
        <v>96.173500000000004</v>
      </c>
      <c r="T250">
        <v>16.840900000000001</v>
      </c>
    </row>
    <row r="251" spans="1:20" x14ac:dyDescent="0.3">
      <c r="A251" t="s">
        <v>487</v>
      </c>
      <c r="B251" t="s">
        <v>51</v>
      </c>
      <c r="C251" t="s">
        <v>83</v>
      </c>
      <c r="D251" t="s">
        <v>53</v>
      </c>
      <c r="E251" t="s">
        <v>32</v>
      </c>
      <c r="F251" t="s">
        <v>25</v>
      </c>
      <c r="G251" t="s">
        <v>26</v>
      </c>
      <c r="H251">
        <v>73.06</v>
      </c>
      <c r="I251">
        <v>10</v>
      </c>
      <c r="J251">
        <v>36.53</v>
      </c>
      <c r="K251">
        <v>730.6</v>
      </c>
      <c r="L251" s="1">
        <v>43824</v>
      </c>
      <c r="M251" s="2">
        <v>0.79583333333333328</v>
      </c>
      <c r="N251" t="s">
        <v>37</v>
      </c>
      <c r="O251">
        <v>511.42</v>
      </c>
      <c r="P251">
        <v>4.7619047620000003</v>
      </c>
      <c r="Q251">
        <v>219.18</v>
      </c>
      <c r="R251">
        <v>5.04</v>
      </c>
      <c r="S251">
        <v>96.089100000000002</v>
      </c>
      <c r="T251">
        <v>21.9588</v>
      </c>
    </row>
    <row r="252" spans="1:20" x14ac:dyDescent="0.3">
      <c r="A252" t="s">
        <v>488</v>
      </c>
      <c r="B252" t="s">
        <v>21</v>
      </c>
      <c r="C252" t="s">
        <v>489</v>
      </c>
      <c r="D252" t="s">
        <v>53</v>
      </c>
      <c r="E252" t="s">
        <v>32</v>
      </c>
      <c r="F252" t="s">
        <v>25</v>
      </c>
      <c r="G252" t="s">
        <v>26</v>
      </c>
      <c r="H252">
        <v>46.55</v>
      </c>
      <c r="I252">
        <v>13</v>
      </c>
      <c r="J252">
        <v>30.2575</v>
      </c>
      <c r="K252">
        <v>605.15</v>
      </c>
      <c r="L252" s="1">
        <v>43713</v>
      </c>
      <c r="M252" s="2">
        <v>0.64861111111111114</v>
      </c>
      <c r="N252" t="s">
        <v>27</v>
      </c>
      <c r="O252">
        <v>418.95</v>
      </c>
      <c r="P252">
        <v>4.7619047620000003</v>
      </c>
      <c r="Q252">
        <v>186.2</v>
      </c>
      <c r="R252">
        <v>7.68</v>
      </c>
      <c r="S252">
        <v>96.089100000000002</v>
      </c>
      <c r="T252">
        <v>21.9588</v>
      </c>
    </row>
    <row r="253" spans="1:20" x14ac:dyDescent="0.3">
      <c r="A253" t="s">
        <v>490</v>
      </c>
      <c r="B253" t="s">
        <v>21</v>
      </c>
      <c r="C253" t="s">
        <v>491</v>
      </c>
      <c r="D253" t="s">
        <v>31</v>
      </c>
      <c r="E253" t="s">
        <v>32</v>
      </c>
      <c r="F253" t="s">
        <v>36</v>
      </c>
      <c r="G253" t="s">
        <v>26</v>
      </c>
      <c r="H253">
        <v>35.19</v>
      </c>
      <c r="I253">
        <v>12</v>
      </c>
      <c r="J253">
        <v>21.114000000000001</v>
      </c>
      <c r="K253">
        <v>422.28</v>
      </c>
      <c r="L253" s="1">
        <v>43761</v>
      </c>
      <c r="M253" s="2">
        <v>0.79583333333333328</v>
      </c>
      <c r="N253" t="s">
        <v>37</v>
      </c>
      <c r="O253">
        <v>351.9</v>
      </c>
      <c r="P253">
        <v>4.7619047620000003</v>
      </c>
      <c r="Q253">
        <v>70.38</v>
      </c>
      <c r="R253">
        <v>8.82</v>
      </c>
      <c r="S253">
        <v>96.078500000000005</v>
      </c>
      <c r="T253">
        <v>19.763300000000001</v>
      </c>
    </row>
    <row r="254" spans="1:20" x14ac:dyDescent="0.3">
      <c r="A254" t="s">
        <v>492</v>
      </c>
      <c r="B254" t="s">
        <v>21</v>
      </c>
      <c r="C254" t="s">
        <v>493</v>
      </c>
      <c r="D254" t="s">
        <v>31</v>
      </c>
      <c r="E254" t="s">
        <v>32</v>
      </c>
      <c r="F254" t="s">
        <v>25</v>
      </c>
      <c r="G254" t="s">
        <v>26</v>
      </c>
      <c r="H254">
        <v>14.39</v>
      </c>
      <c r="I254">
        <v>2</v>
      </c>
      <c r="J254">
        <v>1.4390000000000001</v>
      </c>
      <c r="K254">
        <v>28.78</v>
      </c>
      <c r="L254" s="1">
        <v>43606</v>
      </c>
      <c r="M254" s="2">
        <v>0.82222222222222219</v>
      </c>
      <c r="N254" t="s">
        <v>37</v>
      </c>
      <c r="O254">
        <v>28.78</v>
      </c>
      <c r="P254">
        <v>4.7619047620000003</v>
      </c>
      <c r="Q254">
        <v>0</v>
      </c>
      <c r="R254">
        <v>7.56</v>
      </c>
      <c r="S254">
        <v>96.078500000000005</v>
      </c>
      <c r="T254">
        <v>19.763300000000001</v>
      </c>
    </row>
    <row r="255" spans="1:20" x14ac:dyDescent="0.3">
      <c r="A255" t="s">
        <v>494</v>
      </c>
      <c r="B255" t="s">
        <v>21</v>
      </c>
      <c r="C255" t="s">
        <v>495</v>
      </c>
      <c r="D255" t="s">
        <v>23</v>
      </c>
      <c r="E255" t="s">
        <v>32</v>
      </c>
      <c r="F255" t="s">
        <v>36</v>
      </c>
      <c r="G255" t="s">
        <v>26</v>
      </c>
      <c r="H255">
        <v>23.75</v>
      </c>
      <c r="I255">
        <v>4</v>
      </c>
      <c r="J255">
        <v>4.75</v>
      </c>
      <c r="K255">
        <v>95</v>
      </c>
      <c r="L255" s="1">
        <v>43515</v>
      </c>
      <c r="M255" s="2">
        <v>0.47361111111111109</v>
      </c>
      <c r="N255" t="s">
        <v>33</v>
      </c>
      <c r="O255">
        <v>95</v>
      </c>
      <c r="P255">
        <v>4.7619047620000003</v>
      </c>
      <c r="Q255">
        <v>0</v>
      </c>
      <c r="R255">
        <v>5.2</v>
      </c>
      <c r="S255">
        <v>96.173500000000004</v>
      </c>
      <c r="T255">
        <v>16.840900000000001</v>
      </c>
    </row>
    <row r="256" spans="1:20" x14ac:dyDescent="0.3">
      <c r="A256" t="s">
        <v>496</v>
      </c>
      <c r="B256" t="s">
        <v>21</v>
      </c>
      <c r="C256" t="s">
        <v>311</v>
      </c>
      <c r="D256" t="s">
        <v>23</v>
      </c>
      <c r="E256" t="s">
        <v>32</v>
      </c>
      <c r="F256" t="s">
        <v>36</v>
      </c>
      <c r="G256" t="s">
        <v>26</v>
      </c>
      <c r="H256">
        <v>58.9</v>
      </c>
      <c r="I256">
        <v>8</v>
      </c>
      <c r="J256">
        <v>23.56</v>
      </c>
      <c r="K256">
        <v>471.2</v>
      </c>
      <c r="L256" s="1">
        <v>43720</v>
      </c>
      <c r="M256" s="2">
        <v>0.47430555555555554</v>
      </c>
      <c r="N256" t="s">
        <v>33</v>
      </c>
      <c r="O256">
        <v>471.2</v>
      </c>
      <c r="P256">
        <v>4.7619047620000003</v>
      </c>
      <c r="Q256">
        <v>0</v>
      </c>
      <c r="R256">
        <v>8.9</v>
      </c>
      <c r="S256">
        <v>96.173500000000004</v>
      </c>
      <c r="T256">
        <v>16.840900000000001</v>
      </c>
    </row>
    <row r="257" spans="1:20" x14ac:dyDescent="0.3">
      <c r="A257" t="s">
        <v>497</v>
      </c>
      <c r="B257" t="s">
        <v>21</v>
      </c>
      <c r="C257" t="s">
        <v>498</v>
      </c>
      <c r="D257" t="s">
        <v>53</v>
      </c>
      <c r="E257" t="s">
        <v>32</v>
      </c>
      <c r="F257" t="s">
        <v>36</v>
      </c>
      <c r="G257" t="s">
        <v>26</v>
      </c>
      <c r="H257">
        <v>32.619999999999997</v>
      </c>
      <c r="I257">
        <v>6</v>
      </c>
      <c r="J257">
        <v>9.7859999999999996</v>
      </c>
      <c r="K257">
        <v>195.72</v>
      </c>
      <c r="L257" s="1">
        <v>43637</v>
      </c>
      <c r="M257" s="2">
        <v>0.59166666666666667</v>
      </c>
      <c r="N257" t="s">
        <v>33</v>
      </c>
      <c r="O257">
        <v>130.47999999999999</v>
      </c>
      <c r="P257">
        <v>4.7619047620000003</v>
      </c>
      <c r="Q257">
        <v>65.239999999999995</v>
      </c>
      <c r="R257">
        <v>10</v>
      </c>
      <c r="S257">
        <v>96.089100000000002</v>
      </c>
      <c r="T257">
        <v>21.9588</v>
      </c>
    </row>
    <row r="258" spans="1:20" x14ac:dyDescent="0.3">
      <c r="A258" t="s">
        <v>499</v>
      </c>
      <c r="B258" t="s">
        <v>21</v>
      </c>
      <c r="C258" t="s">
        <v>500</v>
      </c>
      <c r="D258" t="s">
        <v>23</v>
      </c>
      <c r="E258" t="s">
        <v>32</v>
      </c>
      <c r="F258" t="s">
        <v>36</v>
      </c>
      <c r="G258" t="s">
        <v>26</v>
      </c>
      <c r="H258">
        <v>66.349999999999994</v>
      </c>
      <c r="I258">
        <v>1</v>
      </c>
      <c r="J258">
        <v>3.3174999999999999</v>
      </c>
      <c r="K258">
        <v>66.349999999999994</v>
      </c>
      <c r="L258" s="1">
        <v>43496</v>
      </c>
      <c r="M258" s="2">
        <v>0.44861111111111113</v>
      </c>
      <c r="N258" t="s">
        <v>37</v>
      </c>
      <c r="O258">
        <v>66.349999999999994</v>
      </c>
      <c r="P258">
        <v>4.7619047620000003</v>
      </c>
      <c r="Q258">
        <v>0</v>
      </c>
      <c r="R258">
        <v>9.6999999999999993</v>
      </c>
      <c r="S258">
        <v>96.173500000000004</v>
      </c>
      <c r="T258">
        <v>16.840900000000001</v>
      </c>
    </row>
    <row r="259" spans="1:20" x14ac:dyDescent="0.3">
      <c r="A259" t="s">
        <v>501</v>
      </c>
      <c r="B259" t="s">
        <v>21</v>
      </c>
      <c r="C259" t="s">
        <v>502</v>
      </c>
      <c r="D259" t="s">
        <v>23</v>
      </c>
      <c r="E259" t="s">
        <v>32</v>
      </c>
      <c r="F259" t="s">
        <v>36</v>
      </c>
      <c r="G259" t="s">
        <v>26</v>
      </c>
      <c r="H259">
        <v>25.91</v>
      </c>
      <c r="I259">
        <v>6</v>
      </c>
      <c r="J259">
        <v>7.7729999999999997</v>
      </c>
      <c r="K259">
        <v>155.46</v>
      </c>
      <c r="L259" s="1">
        <v>43548</v>
      </c>
      <c r="M259" s="2">
        <v>0.42777777777777776</v>
      </c>
      <c r="N259" t="s">
        <v>27</v>
      </c>
      <c r="O259">
        <v>155.46</v>
      </c>
      <c r="P259">
        <v>4.7619047620000003</v>
      </c>
      <c r="Q259">
        <v>0</v>
      </c>
      <c r="R259">
        <v>8.6999999999999993</v>
      </c>
      <c r="S259">
        <v>96.173500000000004</v>
      </c>
      <c r="T259">
        <v>16.840900000000001</v>
      </c>
    </row>
    <row r="260" spans="1:20" x14ac:dyDescent="0.3">
      <c r="A260" t="s">
        <v>503</v>
      </c>
      <c r="B260" t="s">
        <v>21</v>
      </c>
      <c r="C260" t="s">
        <v>504</v>
      </c>
      <c r="D260" t="s">
        <v>23</v>
      </c>
      <c r="E260" t="s">
        <v>32</v>
      </c>
      <c r="F260" t="s">
        <v>36</v>
      </c>
      <c r="G260" t="s">
        <v>26</v>
      </c>
      <c r="H260">
        <v>32.25</v>
      </c>
      <c r="I260">
        <v>4</v>
      </c>
      <c r="J260">
        <v>6.45</v>
      </c>
      <c r="K260">
        <v>129</v>
      </c>
      <c r="L260" s="1">
        <v>43744</v>
      </c>
      <c r="M260" s="2">
        <v>0.52638888888888891</v>
      </c>
      <c r="N260" t="s">
        <v>27</v>
      </c>
      <c r="O260">
        <v>129</v>
      </c>
      <c r="P260">
        <v>4.7619047620000003</v>
      </c>
      <c r="Q260">
        <v>0</v>
      </c>
      <c r="R260">
        <v>6.5</v>
      </c>
      <c r="S260">
        <v>96.173500000000004</v>
      </c>
      <c r="T260">
        <v>16.840900000000001</v>
      </c>
    </row>
    <row r="261" spans="1:20" x14ac:dyDescent="0.3">
      <c r="A261" t="s">
        <v>505</v>
      </c>
      <c r="B261" t="s">
        <v>29</v>
      </c>
      <c r="C261" t="s">
        <v>506</v>
      </c>
      <c r="D261" t="s">
        <v>31</v>
      </c>
      <c r="E261" t="s">
        <v>32</v>
      </c>
      <c r="F261" t="s">
        <v>36</v>
      </c>
      <c r="G261" t="s">
        <v>26</v>
      </c>
      <c r="H261">
        <v>65.94</v>
      </c>
      <c r="I261">
        <v>5</v>
      </c>
      <c r="J261">
        <f t="shared" ref="J261:J262" si="8">K261*5%</f>
        <v>16.484999999999999</v>
      </c>
      <c r="K261">
        <v>329.7</v>
      </c>
      <c r="L261" s="1">
        <v>43581</v>
      </c>
      <c r="M261" s="2">
        <v>0.54513888888888884</v>
      </c>
      <c r="N261" t="s">
        <v>37</v>
      </c>
      <c r="O261">
        <v>263.76</v>
      </c>
      <c r="P261">
        <v>4.7619047620000003</v>
      </c>
      <c r="Q261">
        <v>65.94</v>
      </c>
      <c r="R261">
        <v>7.2450000000000001</v>
      </c>
      <c r="S261">
        <v>96.078500000000005</v>
      </c>
      <c r="T261">
        <v>19.763300000000001</v>
      </c>
    </row>
    <row r="262" spans="1:20" x14ac:dyDescent="0.3">
      <c r="A262" t="s">
        <v>507</v>
      </c>
      <c r="B262" t="s">
        <v>21</v>
      </c>
      <c r="C262" t="s">
        <v>161</v>
      </c>
      <c r="D262" t="s">
        <v>23</v>
      </c>
      <c r="E262" t="s">
        <v>32</v>
      </c>
      <c r="F262" t="s">
        <v>25</v>
      </c>
      <c r="G262" t="s">
        <v>26</v>
      </c>
      <c r="H262">
        <v>75.06</v>
      </c>
      <c r="I262">
        <v>9</v>
      </c>
      <c r="J262">
        <f t="shared" si="8"/>
        <v>33.777000000000001</v>
      </c>
      <c r="K262">
        <v>675.54</v>
      </c>
      <c r="L262" s="1">
        <v>43622</v>
      </c>
      <c r="M262" s="2">
        <v>0.55902777777777779</v>
      </c>
      <c r="N262" t="s">
        <v>27</v>
      </c>
      <c r="O262">
        <v>675.54</v>
      </c>
      <c r="P262">
        <v>4.7619047620000003</v>
      </c>
      <c r="Q262">
        <v>0</v>
      </c>
      <c r="R262">
        <v>6.2</v>
      </c>
      <c r="S262">
        <v>96.173500000000004</v>
      </c>
      <c r="T262">
        <v>16.840900000000001</v>
      </c>
    </row>
    <row r="263" spans="1:20" x14ac:dyDescent="0.3">
      <c r="A263" t="s">
        <v>508</v>
      </c>
      <c r="B263" t="s">
        <v>29</v>
      </c>
      <c r="C263" t="s">
        <v>509</v>
      </c>
      <c r="D263" t="s">
        <v>31</v>
      </c>
      <c r="E263" t="s">
        <v>32</v>
      </c>
      <c r="F263" t="s">
        <v>25</v>
      </c>
      <c r="G263" t="s">
        <v>26</v>
      </c>
      <c r="H263">
        <v>16.45</v>
      </c>
      <c r="I263">
        <v>5</v>
      </c>
      <c r="J263">
        <v>4.1124999999999998</v>
      </c>
      <c r="K263">
        <v>82.25</v>
      </c>
      <c r="L263" s="1">
        <v>43496</v>
      </c>
      <c r="M263" s="2">
        <v>0.62013888888888891</v>
      </c>
      <c r="N263" t="s">
        <v>27</v>
      </c>
      <c r="O263">
        <v>65.8</v>
      </c>
      <c r="P263">
        <v>4.7619047620000003</v>
      </c>
      <c r="Q263">
        <v>16.45</v>
      </c>
      <c r="R263">
        <v>5.88</v>
      </c>
      <c r="S263">
        <v>96.078500000000005</v>
      </c>
      <c r="T263">
        <v>19.763300000000001</v>
      </c>
    </row>
    <row r="264" spans="1:20" x14ac:dyDescent="0.3">
      <c r="A264" t="s">
        <v>510</v>
      </c>
      <c r="B264" t="s">
        <v>51</v>
      </c>
      <c r="C264" t="s">
        <v>55</v>
      </c>
      <c r="D264" t="s">
        <v>53</v>
      </c>
      <c r="E264" t="s">
        <v>32</v>
      </c>
      <c r="F264" t="s">
        <v>25</v>
      </c>
      <c r="G264" t="s">
        <v>26</v>
      </c>
      <c r="H264">
        <v>38.299999999999997</v>
      </c>
      <c r="I264">
        <v>6</v>
      </c>
      <c r="J264">
        <v>11.49</v>
      </c>
      <c r="K264">
        <v>229.8</v>
      </c>
      <c r="L264" s="1">
        <v>43499</v>
      </c>
      <c r="M264" s="2">
        <v>0.80694444444444446</v>
      </c>
      <c r="N264" t="s">
        <v>33</v>
      </c>
      <c r="O264">
        <v>153.19999999999999</v>
      </c>
      <c r="P264">
        <v>4.7619047620000003</v>
      </c>
      <c r="Q264">
        <v>76.599999999999994</v>
      </c>
      <c r="R264">
        <v>6.84</v>
      </c>
      <c r="S264">
        <v>96.089100000000002</v>
      </c>
      <c r="T264">
        <v>21.9588</v>
      </c>
    </row>
    <row r="265" spans="1:20" x14ac:dyDescent="0.3">
      <c r="A265" t="s">
        <v>511</v>
      </c>
      <c r="B265" t="s">
        <v>21</v>
      </c>
      <c r="C265" t="s">
        <v>512</v>
      </c>
      <c r="D265" t="s">
        <v>23</v>
      </c>
      <c r="E265" t="s">
        <v>24</v>
      </c>
      <c r="F265" t="s">
        <v>25</v>
      </c>
      <c r="G265" t="s">
        <v>26</v>
      </c>
      <c r="H265">
        <v>22.24</v>
      </c>
      <c r="I265">
        <v>14</v>
      </c>
      <c r="J265">
        <v>15.568</v>
      </c>
      <c r="K265">
        <v>311.36</v>
      </c>
      <c r="L265" s="1">
        <v>43745</v>
      </c>
      <c r="M265" s="2">
        <v>0.45833333333333331</v>
      </c>
      <c r="N265" t="s">
        <v>33</v>
      </c>
      <c r="O265">
        <v>222.4</v>
      </c>
      <c r="P265">
        <v>4.7619047620000003</v>
      </c>
      <c r="Q265">
        <v>88.96</v>
      </c>
      <c r="R265">
        <v>4.2</v>
      </c>
      <c r="S265">
        <v>96.173500000000004</v>
      </c>
      <c r="T265">
        <v>16.840900000000001</v>
      </c>
    </row>
    <row r="266" spans="1:20" x14ac:dyDescent="0.3">
      <c r="A266" t="s">
        <v>513</v>
      </c>
      <c r="B266" t="s">
        <v>51</v>
      </c>
      <c r="C266" t="s">
        <v>514</v>
      </c>
      <c r="D266" t="s">
        <v>53</v>
      </c>
      <c r="E266" t="s">
        <v>32</v>
      </c>
      <c r="F266" t="s">
        <v>36</v>
      </c>
      <c r="G266" t="s">
        <v>26</v>
      </c>
      <c r="H266">
        <v>54.45</v>
      </c>
      <c r="I266">
        <v>1</v>
      </c>
      <c r="J266">
        <v>2.7225000000000001</v>
      </c>
      <c r="K266">
        <v>54.45</v>
      </c>
      <c r="L266" s="1">
        <v>43590</v>
      </c>
      <c r="M266" s="2">
        <v>0.80833333333333335</v>
      </c>
      <c r="N266" t="s">
        <v>27</v>
      </c>
      <c r="O266">
        <v>54.45</v>
      </c>
      <c r="P266">
        <v>4.7619047620000003</v>
      </c>
      <c r="Q266">
        <v>0</v>
      </c>
      <c r="R266">
        <v>9.48</v>
      </c>
      <c r="S266">
        <v>96.089100000000002</v>
      </c>
      <c r="T266">
        <v>21.9588</v>
      </c>
    </row>
    <row r="267" spans="1:20" x14ac:dyDescent="0.3">
      <c r="A267" t="s">
        <v>515</v>
      </c>
      <c r="B267" t="s">
        <v>21</v>
      </c>
      <c r="C267" t="s">
        <v>516</v>
      </c>
      <c r="D267" t="s">
        <v>23</v>
      </c>
      <c r="E267" t="s">
        <v>24</v>
      </c>
      <c r="F267" t="s">
        <v>25</v>
      </c>
      <c r="G267" t="s">
        <v>68</v>
      </c>
      <c r="H267">
        <v>98.4</v>
      </c>
      <c r="I267">
        <v>10</v>
      </c>
      <c r="J267">
        <v>49.2</v>
      </c>
      <c r="K267">
        <v>984</v>
      </c>
      <c r="L267" s="1">
        <v>43810</v>
      </c>
      <c r="M267" s="2">
        <v>0.52986111111111112</v>
      </c>
      <c r="N267" t="s">
        <v>37</v>
      </c>
      <c r="O267">
        <v>688.8</v>
      </c>
      <c r="P267">
        <v>4.7619047620000003</v>
      </c>
      <c r="Q267">
        <v>295.2</v>
      </c>
      <c r="R267">
        <v>8.6999999999999993</v>
      </c>
      <c r="S267">
        <v>96.173500000000004</v>
      </c>
      <c r="T267">
        <v>16.840900000000001</v>
      </c>
    </row>
    <row r="268" spans="1:20" x14ac:dyDescent="0.3">
      <c r="A268" t="s">
        <v>517</v>
      </c>
      <c r="B268" t="s">
        <v>29</v>
      </c>
      <c r="C268" t="s">
        <v>509</v>
      </c>
      <c r="D268" t="s">
        <v>31</v>
      </c>
      <c r="E268" t="s">
        <v>32</v>
      </c>
      <c r="F268" t="s">
        <v>36</v>
      </c>
      <c r="G268" t="s">
        <v>77</v>
      </c>
      <c r="H268">
        <v>35.47</v>
      </c>
      <c r="I268">
        <v>5</v>
      </c>
      <c r="J268">
        <v>8.8674999999999997</v>
      </c>
      <c r="K268">
        <v>177.35</v>
      </c>
      <c r="L268" s="1">
        <v>43529</v>
      </c>
      <c r="M268" s="2">
        <v>0.72361111111111109</v>
      </c>
      <c r="N268" t="s">
        <v>37</v>
      </c>
      <c r="O268">
        <v>141.88</v>
      </c>
      <c r="P268">
        <v>4.7619047620000003</v>
      </c>
      <c r="Q268">
        <v>35.47</v>
      </c>
      <c r="R268">
        <v>7.2450000000000001</v>
      </c>
      <c r="S268">
        <v>96.078500000000005</v>
      </c>
      <c r="T268">
        <v>19.763300000000001</v>
      </c>
    </row>
    <row r="269" spans="1:20" x14ac:dyDescent="0.3">
      <c r="A269" t="s">
        <v>518</v>
      </c>
      <c r="B269" t="s">
        <v>51</v>
      </c>
      <c r="C269" t="s">
        <v>328</v>
      </c>
      <c r="D269" t="s">
        <v>53</v>
      </c>
      <c r="E269" t="s">
        <v>24</v>
      </c>
      <c r="F269" t="s">
        <v>25</v>
      </c>
      <c r="G269" t="s">
        <v>63</v>
      </c>
      <c r="H269">
        <v>74.599999999999994</v>
      </c>
      <c r="I269">
        <v>20</v>
      </c>
      <c r="J269">
        <v>74.599999999999994</v>
      </c>
      <c r="K269">
        <v>1492</v>
      </c>
      <c r="L269" s="1">
        <v>43483</v>
      </c>
      <c r="M269" s="2">
        <v>0.87152777777777779</v>
      </c>
      <c r="N269" t="s">
        <v>33</v>
      </c>
      <c r="O269">
        <v>746</v>
      </c>
      <c r="P269">
        <v>4.7619047620000003</v>
      </c>
      <c r="Q269">
        <v>746</v>
      </c>
      <c r="R269">
        <v>10</v>
      </c>
      <c r="S269">
        <v>96.089100000000002</v>
      </c>
      <c r="T269">
        <v>21.9588</v>
      </c>
    </row>
    <row r="270" spans="1:20" x14ac:dyDescent="0.3">
      <c r="A270" t="s">
        <v>519</v>
      </c>
      <c r="B270" t="s">
        <v>21</v>
      </c>
      <c r="C270" t="s">
        <v>520</v>
      </c>
      <c r="D270" t="s">
        <v>23</v>
      </c>
      <c r="E270" t="s">
        <v>24</v>
      </c>
      <c r="F270" t="s">
        <v>36</v>
      </c>
      <c r="G270" t="s">
        <v>77</v>
      </c>
      <c r="H270">
        <v>70.739999999999995</v>
      </c>
      <c r="I270">
        <v>6</v>
      </c>
      <c r="J270">
        <v>21.222000000000001</v>
      </c>
      <c r="K270">
        <v>424.44</v>
      </c>
      <c r="L270" s="1">
        <v>43509</v>
      </c>
      <c r="M270" s="2">
        <v>0.67013888888888884</v>
      </c>
      <c r="N270" t="s">
        <v>37</v>
      </c>
      <c r="O270">
        <v>282.95999999999998</v>
      </c>
      <c r="P270">
        <v>4.7619047620000003</v>
      </c>
      <c r="Q270">
        <v>141.47999999999999</v>
      </c>
      <c r="R270">
        <v>4.4000000000000004</v>
      </c>
      <c r="S270">
        <v>96.173500000000004</v>
      </c>
      <c r="T270">
        <v>16.840900000000001</v>
      </c>
    </row>
    <row r="271" spans="1:20" x14ac:dyDescent="0.3">
      <c r="A271" t="s">
        <v>521</v>
      </c>
      <c r="B271" t="s">
        <v>21</v>
      </c>
      <c r="C271" t="s">
        <v>252</v>
      </c>
      <c r="D271" t="s">
        <v>23</v>
      </c>
      <c r="E271" t="s">
        <v>24</v>
      </c>
      <c r="F271" t="s">
        <v>25</v>
      </c>
      <c r="G271" t="s">
        <v>77</v>
      </c>
      <c r="H271">
        <v>35.54</v>
      </c>
      <c r="I271">
        <v>14</v>
      </c>
      <c r="J271">
        <v>24.878</v>
      </c>
      <c r="K271">
        <v>497.56</v>
      </c>
      <c r="L271" s="1">
        <v>43587</v>
      </c>
      <c r="M271" s="2">
        <v>0.56527777777777777</v>
      </c>
      <c r="N271" t="s">
        <v>27</v>
      </c>
      <c r="O271">
        <v>355.4</v>
      </c>
      <c r="P271">
        <v>4.7619047620000003</v>
      </c>
      <c r="Q271">
        <v>142.16</v>
      </c>
      <c r="R271">
        <v>7</v>
      </c>
      <c r="S271">
        <v>96.173500000000004</v>
      </c>
      <c r="T271">
        <v>16.840900000000001</v>
      </c>
    </row>
    <row r="272" spans="1:20" x14ac:dyDescent="0.3">
      <c r="A272" t="s">
        <v>522</v>
      </c>
      <c r="B272" t="s">
        <v>51</v>
      </c>
      <c r="C272" t="s">
        <v>134</v>
      </c>
      <c r="D272" t="s">
        <v>53</v>
      </c>
      <c r="E272" t="s">
        <v>32</v>
      </c>
      <c r="F272" t="s">
        <v>25</v>
      </c>
      <c r="G272" t="s">
        <v>68</v>
      </c>
      <c r="H272">
        <v>67.430000000000007</v>
      </c>
      <c r="I272">
        <v>7</v>
      </c>
      <c r="J272">
        <v>23.6005</v>
      </c>
      <c r="K272">
        <v>472.01</v>
      </c>
      <c r="L272" s="1">
        <v>43765</v>
      </c>
      <c r="M272" s="2">
        <v>0.75902777777777775</v>
      </c>
      <c r="N272" t="s">
        <v>27</v>
      </c>
      <c r="O272">
        <v>337.15</v>
      </c>
      <c r="P272">
        <v>4.7619047620000003</v>
      </c>
      <c r="Q272">
        <v>134.86000000000001</v>
      </c>
      <c r="R272">
        <v>7.56</v>
      </c>
      <c r="S272">
        <v>96.089100000000002</v>
      </c>
      <c r="T272">
        <v>21.9588</v>
      </c>
    </row>
    <row r="273" spans="1:20" x14ac:dyDescent="0.3">
      <c r="A273" t="s">
        <v>523</v>
      </c>
      <c r="B273" t="s">
        <v>29</v>
      </c>
      <c r="C273" t="s">
        <v>524</v>
      </c>
      <c r="D273" t="s">
        <v>31</v>
      </c>
      <c r="E273" t="s">
        <v>24</v>
      </c>
      <c r="F273" t="s">
        <v>25</v>
      </c>
      <c r="G273" t="s">
        <v>26</v>
      </c>
      <c r="H273">
        <v>21.12</v>
      </c>
      <c r="I273">
        <v>3</v>
      </c>
      <c r="J273">
        <v>3.1680000000000001</v>
      </c>
      <c r="K273">
        <v>63.36</v>
      </c>
      <c r="L273" s="1">
        <v>43537</v>
      </c>
      <c r="M273" s="2">
        <v>0.80347222222222225</v>
      </c>
      <c r="N273" t="s">
        <v>33</v>
      </c>
      <c r="O273">
        <v>42.24</v>
      </c>
      <c r="P273">
        <v>4.7619047620000003</v>
      </c>
      <c r="Q273">
        <v>21.12</v>
      </c>
      <c r="R273">
        <v>10</v>
      </c>
      <c r="S273">
        <v>96.078500000000005</v>
      </c>
      <c r="T273">
        <v>19.763300000000001</v>
      </c>
    </row>
    <row r="274" spans="1:20" x14ac:dyDescent="0.3">
      <c r="A274" t="s">
        <v>525</v>
      </c>
      <c r="B274" t="s">
        <v>21</v>
      </c>
      <c r="C274" t="s">
        <v>526</v>
      </c>
      <c r="D274" t="s">
        <v>23</v>
      </c>
      <c r="E274" t="s">
        <v>24</v>
      </c>
      <c r="F274" t="s">
        <v>25</v>
      </c>
      <c r="G274" t="s">
        <v>77</v>
      </c>
      <c r="H274">
        <v>21.54</v>
      </c>
      <c r="I274">
        <v>13</v>
      </c>
      <c r="J274">
        <v>14.000999999999999</v>
      </c>
      <c r="K274">
        <v>280.02</v>
      </c>
      <c r="L274" s="1">
        <v>43526</v>
      </c>
      <c r="M274" s="2">
        <v>0.48888888888888887</v>
      </c>
      <c r="N274" t="s">
        <v>37</v>
      </c>
      <c r="O274">
        <v>193.86</v>
      </c>
      <c r="P274">
        <v>4.7619047620000003</v>
      </c>
      <c r="Q274">
        <v>86.16</v>
      </c>
      <c r="R274">
        <v>8.8000000000000007</v>
      </c>
      <c r="S274">
        <v>96.173500000000004</v>
      </c>
      <c r="T274">
        <v>16.840900000000001</v>
      </c>
    </row>
    <row r="275" spans="1:20" x14ac:dyDescent="0.3">
      <c r="A275" t="s">
        <v>527</v>
      </c>
      <c r="B275" t="s">
        <v>21</v>
      </c>
      <c r="C275" t="s">
        <v>435</v>
      </c>
      <c r="D275" t="s">
        <v>23</v>
      </c>
      <c r="E275" t="s">
        <v>32</v>
      </c>
      <c r="F275" t="s">
        <v>25</v>
      </c>
      <c r="G275" t="s">
        <v>77</v>
      </c>
      <c r="H275">
        <v>12.03</v>
      </c>
      <c r="I275">
        <v>2</v>
      </c>
      <c r="J275">
        <v>1.2030000000000001</v>
      </c>
      <c r="K275">
        <v>24.06</v>
      </c>
      <c r="L275" s="1">
        <v>43671</v>
      </c>
      <c r="M275" s="2">
        <v>0.66041666666666665</v>
      </c>
      <c r="N275" t="s">
        <v>33</v>
      </c>
      <c r="O275">
        <v>24.06</v>
      </c>
      <c r="P275">
        <v>4.7619047620000003</v>
      </c>
      <c r="Q275">
        <v>0</v>
      </c>
      <c r="R275">
        <v>5.0999999999999996</v>
      </c>
      <c r="S275">
        <v>96.173500000000004</v>
      </c>
      <c r="T275">
        <v>16.840900000000001</v>
      </c>
    </row>
    <row r="276" spans="1:20" x14ac:dyDescent="0.3">
      <c r="A276" t="s">
        <v>528</v>
      </c>
      <c r="B276" t="s">
        <v>51</v>
      </c>
      <c r="C276" t="s">
        <v>529</v>
      </c>
      <c r="D276" t="s">
        <v>53</v>
      </c>
      <c r="E276" t="s">
        <v>32</v>
      </c>
      <c r="F276" t="s">
        <v>25</v>
      </c>
      <c r="G276" t="s">
        <v>26</v>
      </c>
      <c r="H276">
        <v>99.71</v>
      </c>
      <c r="I276">
        <v>8</v>
      </c>
      <c r="J276">
        <v>39.884</v>
      </c>
      <c r="K276">
        <v>797.68</v>
      </c>
      <c r="L276" s="1">
        <v>43557</v>
      </c>
      <c r="M276" s="2">
        <v>0.70277777777777772</v>
      </c>
      <c r="N276" t="s">
        <v>27</v>
      </c>
      <c r="O276">
        <v>598.26</v>
      </c>
      <c r="P276">
        <v>4.7619047620000003</v>
      </c>
      <c r="Q276">
        <v>199.42</v>
      </c>
      <c r="R276">
        <v>9.48</v>
      </c>
      <c r="S276">
        <v>96.089100000000002</v>
      </c>
      <c r="T276">
        <v>21.9588</v>
      </c>
    </row>
    <row r="277" spans="1:20" x14ac:dyDescent="0.3">
      <c r="A277" t="s">
        <v>530</v>
      </c>
      <c r="B277" t="s">
        <v>51</v>
      </c>
      <c r="C277" t="s">
        <v>531</v>
      </c>
      <c r="D277" t="s">
        <v>53</v>
      </c>
      <c r="E277" t="s">
        <v>32</v>
      </c>
      <c r="F277" t="s">
        <v>36</v>
      </c>
      <c r="G277" t="s">
        <v>100</v>
      </c>
      <c r="H277">
        <v>47.97</v>
      </c>
      <c r="I277">
        <v>10</v>
      </c>
      <c r="J277">
        <v>23.984999999999999</v>
      </c>
      <c r="K277">
        <v>479.7</v>
      </c>
      <c r="L277" s="1">
        <v>43706</v>
      </c>
      <c r="M277" s="2">
        <v>0.86944444444444446</v>
      </c>
      <c r="N277" t="s">
        <v>33</v>
      </c>
      <c r="O277">
        <v>335.79</v>
      </c>
      <c r="P277">
        <v>4.7619047620000003</v>
      </c>
      <c r="Q277">
        <v>143.91</v>
      </c>
      <c r="R277">
        <v>7.44</v>
      </c>
      <c r="S277">
        <v>96.089100000000002</v>
      </c>
      <c r="T277">
        <v>21.9588</v>
      </c>
    </row>
    <row r="278" spans="1:20" x14ac:dyDescent="0.3">
      <c r="A278" t="s">
        <v>532</v>
      </c>
      <c r="B278" t="s">
        <v>29</v>
      </c>
      <c r="C278" t="s">
        <v>190</v>
      </c>
      <c r="D278" t="s">
        <v>31</v>
      </c>
      <c r="E278" t="s">
        <v>24</v>
      </c>
      <c r="F278" t="s">
        <v>25</v>
      </c>
      <c r="G278" t="s">
        <v>77</v>
      </c>
      <c r="H278">
        <v>21.82</v>
      </c>
      <c r="I278">
        <v>17</v>
      </c>
      <c r="J278">
        <v>18.547000000000001</v>
      </c>
      <c r="K278">
        <v>370.94</v>
      </c>
      <c r="L278" s="1">
        <v>43722</v>
      </c>
      <c r="M278" s="2">
        <v>0.73333333333333328</v>
      </c>
      <c r="N278" t="s">
        <v>33</v>
      </c>
      <c r="O278">
        <v>218.2</v>
      </c>
      <c r="P278">
        <v>4.7619047620000003</v>
      </c>
      <c r="Q278">
        <v>152.74</v>
      </c>
      <c r="R278">
        <v>7.4550000000000001</v>
      </c>
      <c r="S278">
        <v>96.078500000000005</v>
      </c>
      <c r="T278">
        <v>19.763300000000001</v>
      </c>
    </row>
    <row r="279" spans="1:20" x14ac:dyDescent="0.3">
      <c r="A279" t="s">
        <v>533</v>
      </c>
      <c r="B279" t="s">
        <v>29</v>
      </c>
      <c r="C279" t="s">
        <v>534</v>
      </c>
      <c r="D279" t="s">
        <v>31</v>
      </c>
      <c r="E279" t="s">
        <v>32</v>
      </c>
      <c r="F279" t="s">
        <v>25</v>
      </c>
      <c r="G279" t="s">
        <v>100</v>
      </c>
      <c r="H279">
        <v>95.42</v>
      </c>
      <c r="I279">
        <v>5</v>
      </c>
      <c r="J279">
        <v>23.855</v>
      </c>
      <c r="K279">
        <v>477.1</v>
      </c>
      <c r="L279" s="1">
        <v>43708</v>
      </c>
      <c r="M279" s="2">
        <v>0.55763888888888891</v>
      </c>
      <c r="N279" t="s">
        <v>27</v>
      </c>
      <c r="O279">
        <v>381.68</v>
      </c>
      <c r="P279">
        <v>4.7619047620000003</v>
      </c>
      <c r="Q279">
        <v>95.42</v>
      </c>
      <c r="R279">
        <v>6.72</v>
      </c>
      <c r="S279">
        <v>96.078500000000005</v>
      </c>
      <c r="T279">
        <v>19.763300000000001</v>
      </c>
    </row>
    <row r="280" spans="1:20" x14ac:dyDescent="0.3">
      <c r="A280" t="s">
        <v>535</v>
      </c>
      <c r="B280" t="s">
        <v>29</v>
      </c>
      <c r="C280" t="s">
        <v>536</v>
      </c>
      <c r="D280" t="s">
        <v>31</v>
      </c>
      <c r="E280" t="s">
        <v>24</v>
      </c>
      <c r="F280" t="s">
        <v>36</v>
      </c>
      <c r="G280" t="s">
        <v>100</v>
      </c>
      <c r="H280">
        <v>70.989999999999995</v>
      </c>
      <c r="I280">
        <v>17</v>
      </c>
      <c r="J280">
        <f>K280*5%</f>
        <v>60.341499999999996</v>
      </c>
      <c r="K280">
        <v>1206.83</v>
      </c>
      <c r="L280" s="1">
        <v>43658</v>
      </c>
      <c r="M280" s="2">
        <v>0.68611111111111112</v>
      </c>
      <c r="N280" t="s">
        <v>33</v>
      </c>
      <c r="O280">
        <v>709.9</v>
      </c>
      <c r="P280">
        <v>4.7619047620000003</v>
      </c>
      <c r="Q280">
        <v>496.93</v>
      </c>
      <c r="R280">
        <v>5.9850000000000003</v>
      </c>
      <c r="S280">
        <v>96.078500000000005</v>
      </c>
      <c r="T280">
        <v>19.763300000000001</v>
      </c>
    </row>
    <row r="281" spans="1:20" x14ac:dyDescent="0.3">
      <c r="A281" t="s">
        <v>537</v>
      </c>
      <c r="B281" t="s">
        <v>21</v>
      </c>
      <c r="C281" t="s">
        <v>538</v>
      </c>
      <c r="D281" t="s">
        <v>23</v>
      </c>
      <c r="E281" t="s">
        <v>24</v>
      </c>
      <c r="F281" t="s">
        <v>36</v>
      </c>
      <c r="G281" t="s">
        <v>68</v>
      </c>
      <c r="H281">
        <v>44.02</v>
      </c>
      <c r="I281">
        <v>14</v>
      </c>
      <c r="J281">
        <v>30.814</v>
      </c>
      <c r="K281">
        <v>616.28</v>
      </c>
      <c r="L281" s="1">
        <v>43572</v>
      </c>
      <c r="M281" s="2">
        <v>0.83125000000000004</v>
      </c>
      <c r="N281" t="s">
        <v>37</v>
      </c>
      <c r="O281">
        <v>440.2</v>
      </c>
      <c r="P281">
        <v>4.7619047620000003</v>
      </c>
      <c r="Q281">
        <v>176.08</v>
      </c>
      <c r="R281">
        <v>9.6</v>
      </c>
      <c r="S281">
        <v>96.173500000000004</v>
      </c>
      <c r="T281">
        <v>16.840900000000001</v>
      </c>
    </row>
    <row r="282" spans="1:20" x14ac:dyDescent="0.3">
      <c r="A282" t="s">
        <v>539</v>
      </c>
      <c r="B282" t="s">
        <v>21</v>
      </c>
      <c r="C282" t="s">
        <v>540</v>
      </c>
      <c r="D282" t="s">
        <v>23</v>
      </c>
      <c r="E282" t="s">
        <v>32</v>
      </c>
      <c r="F282" t="s">
        <v>25</v>
      </c>
      <c r="G282" t="s">
        <v>77</v>
      </c>
      <c r="H282">
        <v>69.959999999999994</v>
      </c>
      <c r="I282">
        <v>8</v>
      </c>
      <c r="J282">
        <v>27.984000000000002</v>
      </c>
      <c r="K282">
        <v>559.67999999999995</v>
      </c>
      <c r="L282" s="1">
        <v>43482</v>
      </c>
      <c r="M282" s="2">
        <v>0.70902777777777781</v>
      </c>
      <c r="N282" t="s">
        <v>37</v>
      </c>
      <c r="O282">
        <v>559.67999999999995</v>
      </c>
      <c r="P282">
        <v>4.7619047620000003</v>
      </c>
      <c r="Q282">
        <v>0</v>
      </c>
      <c r="R282">
        <v>6.4</v>
      </c>
      <c r="S282">
        <v>96.173500000000004</v>
      </c>
      <c r="T282">
        <v>16.840900000000001</v>
      </c>
    </row>
    <row r="283" spans="1:20" x14ac:dyDescent="0.3">
      <c r="A283" t="s">
        <v>541</v>
      </c>
      <c r="B283" t="s">
        <v>29</v>
      </c>
      <c r="C283" t="s">
        <v>278</v>
      </c>
      <c r="D283" t="s">
        <v>31</v>
      </c>
      <c r="E283" t="s">
        <v>32</v>
      </c>
      <c r="F283" t="s">
        <v>36</v>
      </c>
      <c r="G283" t="s">
        <v>77</v>
      </c>
      <c r="H283">
        <v>37</v>
      </c>
      <c r="I283">
        <v>1</v>
      </c>
      <c r="J283">
        <v>1.85</v>
      </c>
      <c r="K283">
        <v>37</v>
      </c>
      <c r="L283" s="1">
        <v>43660</v>
      </c>
      <c r="M283" s="2">
        <v>0.56180555555555556</v>
      </c>
      <c r="N283" t="s">
        <v>37</v>
      </c>
      <c r="O283">
        <v>37</v>
      </c>
      <c r="P283">
        <v>4.7619047620000003</v>
      </c>
      <c r="Q283">
        <v>0</v>
      </c>
      <c r="R283">
        <v>8.2949999999999999</v>
      </c>
      <c r="S283">
        <v>96.078500000000005</v>
      </c>
      <c r="T283">
        <v>19.763300000000001</v>
      </c>
    </row>
    <row r="284" spans="1:20" x14ac:dyDescent="0.3">
      <c r="A284" t="s">
        <v>542</v>
      </c>
      <c r="B284" t="s">
        <v>21</v>
      </c>
      <c r="C284" t="s">
        <v>543</v>
      </c>
      <c r="D284" t="s">
        <v>23</v>
      </c>
      <c r="E284" t="s">
        <v>32</v>
      </c>
      <c r="F284" t="s">
        <v>25</v>
      </c>
      <c r="G284" t="s">
        <v>26</v>
      </c>
      <c r="H284">
        <v>15.34</v>
      </c>
      <c r="I284">
        <v>1</v>
      </c>
      <c r="J284">
        <v>0.76700000000000002</v>
      </c>
      <c r="K284">
        <v>15.34</v>
      </c>
      <c r="L284" s="1">
        <v>43809</v>
      </c>
      <c r="M284" s="2">
        <v>0.46458333333333335</v>
      </c>
      <c r="N284" t="s">
        <v>33</v>
      </c>
      <c r="O284">
        <v>15.34</v>
      </c>
      <c r="P284">
        <v>4.7619047620000003</v>
      </c>
      <c r="Q284">
        <v>0</v>
      </c>
      <c r="R284">
        <v>6.5</v>
      </c>
      <c r="S284">
        <v>96.173500000000004</v>
      </c>
      <c r="T284">
        <v>16.840900000000001</v>
      </c>
    </row>
    <row r="285" spans="1:20" x14ac:dyDescent="0.3">
      <c r="A285" t="s">
        <v>544</v>
      </c>
      <c r="B285" t="s">
        <v>21</v>
      </c>
      <c r="C285" t="s">
        <v>380</v>
      </c>
      <c r="D285" t="s">
        <v>23</v>
      </c>
      <c r="E285" t="s">
        <v>24</v>
      </c>
      <c r="F285" t="s">
        <v>36</v>
      </c>
      <c r="G285" t="s">
        <v>26</v>
      </c>
      <c r="H285">
        <v>99.83</v>
      </c>
      <c r="I285">
        <v>8</v>
      </c>
      <c r="J285">
        <v>39.932000000000002</v>
      </c>
      <c r="K285">
        <v>798.64</v>
      </c>
      <c r="L285" s="1">
        <v>43481</v>
      </c>
      <c r="M285" s="2">
        <v>0.62638888888888888</v>
      </c>
      <c r="N285" t="s">
        <v>27</v>
      </c>
      <c r="O285">
        <v>598.98</v>
      </c>
      <c r="P285">
        <v>4.7619047620000003</v>
      </c>
      <c r="Q285">
        <v>199.66</v>
      </c>
      <c r="R285">
        <v>8.5</v>
      </c>
      <c r="S285">
        <v>96.173500000000004</v>
      </c>
      <c r="T285">
        <v>16.840900000000001</v>
      </c>
    </row>
    <row r="286" spans="1:20" x14ac:dyDescent="0.3">
      <c r="A286" t="s">
        <v>545</v>
      </c>
      <c r="B286" t="s">
        <v>21</v>
      </c>
      <c r="C286" t="s">
        <v>546</v>
      </c>
      <c r="D286" t="s">
        <v>23</v>
      </c>
      <c r="E286" t="s">
        <v>24</v>
      </c>
      <c r="F286" t="s">
        <v>25</v>
      </c>
      <c r="G286" t="s">
        <v>26</v>
      </c>
      <c r="H286">
        <v>47.67</v>
      </c>
      <c r="I286">
        <v>6</v>
      </c>
      <c r="J286">
        <v>14.301</v>
      </c>
      <c r="K286">
        <v>286.02</v>
      </c>
      <c r="L286" s="1">
        <v>43686</v>
      </c>
      <c r="M286" s="2">
        <v>0.59791666666666665</v>
      </c>
      <c r="N286" t="s">
        <v>33</v>
      </c>
      <c r="O286">
        <v>190.68</v>
      </c>
      <c r="P286">
        <v>4.7619047620000003</v>
      </c>
      <c r="Q286">
        <v>95.34</v>
      </c>
      <c r="R286">
        <v>9.1</v>
      </c>
      <c r="S286">
        <v>96.173500000000004</v>
      </c>
      <c r="T286">
        <v>16.840900000000001</v>
      </c>
    </row>
    <row r="287" spans="1:20" x14ac:dyDescent="0.3">
      <c r="A287" t="s">
        <v>547</v>
      </c>
      <c r="B287" t="s">
        <v>51</v>
      </c>
      <c r="C287" t="s">
        <v>145</v>
      </c>
      <c r="D287" t="s">
        <v>53</v>
      </c>
      <c r="E287" t="s">
        <v>32</v>
      </c>
      <c r="F287" t="s">
        <v>36</v>
      </c>
      <c r="G287" t="s">
        <v>26</v>
      </c>
      <c r="H287">
        <v>66.680000000000007</v>
      </c>
      <c r="I287">
        <v>7</v>
      </c>
      <c r="J287">
        <v>23.338000000000001</v>
      </c>
      <c r="K287">
        <v>466.76</v>
      </c>
      <c r="L287" s="1">
        <v>43670</v>
      </c>
      <c r="M287" s="2">
        <v>0.75069444444444444</v>
      </c>
      <c r="N287" t="s">
        <v>33</v>
      </c>
      <c r="O287">
        <v>333.4</v>
      </c>
      <c r="P287">
        <v>4.7619047620000003</v>
      </c>
      <c r="Q287">
        <v>133.36000000000001</v>
      </c>
      <c r="R287">
        <v>9.1199999999999992</v>
      </c>
      <c r="S287">
        <v>96.089100000000002</v>
      </c>
      <c r="T287">
        <v>21.9588</v>
      </c>
    </row>
    <row r="288" spans="1:20" x14ac:dyDescent="0.3">
      <c r="A288" t="s">
        <v>548</v>
      </c>
      <c r="B288" t="s">
        <v>29</v>
      </c>
      <c r="C288" t="s">
        <v>549</v>
      </c>
      <c r="D288" t="s">
        <v>31</v>
      </c>
      <c r="E288" t="s">
        <v>24</v>
      </c>
      <c r="F288" t="s">
        <v>36</v>
      </c>
      <c r="G288" t="s">
        <v>26</v>
      </c>
      <c r="H288">
        <v>74.86</v>
      </c>
      <c r="I288">
        <v>1</v>
      </c>
      <c r="J288">
        <v>3.7429999999999999</v>
      </c>
      <c r="K288">
        <v>74.86</v>
      </c>
      <c r="L288" s="1">
        <v>43770</v>
      </c>
      <c r="M288" s="2">
        <v>0.61736111111111114</v>
      </c>
      <c r="N288" t="s">
        <v>33</v>
      </c>
      <c r="O288">
        <v>74.86</v>
      </c>
      <c r="P288">
        <v>4.7619047620000003</v>
      </c>
      <c r="Q288">
        <v>0</v>
      </c>
      <c r="R288">
        <v>7.2450000000000001</v>
      </c>
      <c r="S288">
        <v>96.078500000000005</v>
      </c>
      <c r="T288">
        <v>19.763300000000001</v>
      </c>
    </row>
    <row r="289" spans="1:20" x14ac:dyDescent="0.3">
      <c r="A289" t="s">
        <v>550</v>
      </c>
      <c r="B289" t="s">
        <v>29</v>
      </c>
      <c r="C289" t="s">
        <v>199</v>
      </c>
      <c r="D289" t="s">
        <v>31</v>
      </c>
      <c r="E289" t="s">
        <v>32</v>
      </c>
      <c r="F289" t="s">
        <v>25</v>
      </c>
      <c r="G289" t="s">
        <v>26</v>
      </c>
      <c r="H289">
        <v>23.75</v>
      </c>
      <c r="I289">
        <v>11</v>
      </c>
      <c r="J289">
        <v>13.0625</v>
      </c>
      <c r="K289">
        <v>261.25</v>
      </c>
      <c r="L289" s="1">
        <v>43652</v>
      </c>
      <c r="M289" s="2">
        <v>0.50138888888888888</v>
      </c>
      <c r="N289" t="s">
        <v>33</v>
      </c>
      <c r="O289">
        <v>213.75</v>
      </c>
      <c r="P289">
        <v>4.7619047620000003</v>
      </c>
      <c r="Q289">
        <v>47.5</v>
      </c>
      <c r="R289">
        <v>9.9749999999999996</v>
      </c>
      <c r="S289">
        <v>96.078500000000005</v>
      </c>
      <c r="T289">
        <v>19.763300000000001</v>
      </c>
    </row>
    <row r="290" spans="1:20" x14ac:dyDescent="0.3">
      <c r="A290" t="s">
        <v>551</v>
      </c>
      <c r="B290" t="s">
        <v>51</v>
      </c>
      <c r="C290" t="s">
        <v>175</v>
      </c>
      <c r="D290" t="s">
        <v>53</v>
      </c>
      <c r="E290" t="s">
        <v>32</v>
      </c>
      <c r="F290" t="s">
        <v>25</v>
      </c>
      <c r="G290" t="s">
        <v>26</v>
      </c>
      <c r="H290">
        <v>48.51</v>
      </c>
      <c r="I290">
        <v>10</v>
      </c>
      <c r="J290">
        <v>24.254999999999999</v>
      </c>
      <c r="K290">
        <v>485.1</v>
      </c>
      <c r="L290" s="1">
        <v>43770</v>
      </c>
      <c r="M290" s="2">
        <v>0.5625</v>
      </c>
      <c r="N290" t="s">
        <v>37</v>
      </c>
      <c r="O290">
        <v>339.57</v>
      </c>
      <c r="P290">
        <v>4.7619047620000003</v>
      </c>
      <c r="Q290">
        <v>145.53</v>
      </c>
      <c r="R290">
        <v>6.24</v>
      </c>
      <c r="S290">
        <v>96.089100000000002</v>
      </c>
      <c r="T290">
        <v>21.9588</v>
      </c>
    </row>
    <row r="291" spans="1:20" x14ac:dyDescent="0.3">
      <c r="A291" t="s">
        <v>552</v>
      </c>
      <c r="B291" t="s">
        <v>21</v>
      </c>
      <c r="C291" t="s">
        <v>35</v>
      </c>
      <c r="D291" t="s">
        <v>23</v>
      </c>
      <c r="E291" t="s">
        <v>24</v>
      </c>
      <c r="F291" t="s">
        <v>25</v>
      </c>
      <c r="G291" t="s">
        <v>26</v>
      </c>
      <c r="H291">
        <v>94.88</v>
      </c>
      <c r="I291">
        <v>10</v>
      </c>
      <c r="J291">
        <v>47.44</v>
      </c>
      <c r="K291">
        <v>948.8</v>
      </c>
      <c r="L291" s="1">
        <v>43794</v>
      </c>
      <c r="M291" s="2">
        <v>0.60972222222222228</v>
      </c>
      <c r="N291" t="s">
        <v>33</v>
      </c>
      <c r="O291">
        <v>664.16</v>
      </c>
      <c r="P291">
        <v>4.7619047620000003</v>
      </c>
      <c r="Q291">
        <v>284.64</v>
      </c>
      <c r="R291">
        <v>4.2</v>
      </c>
      <c r="S291">
        <v>96.173500000000004</v>
      </c>
      <c r="T291">
        <v>16.840900000000001</v>
      </c>
    </row>
    <row r="292" spans="1:20" x14ac:dyDescent="0.3">
      <c r="A292" t="s">
        <v>553</v>
      </c>
      <c r="B292" t="s">
        <v>51</v>
      </c>
      <c r="C292" t="s">
        <v>141</v>
      </c>
      <c r="D292" t="s">
        <v>53</v>
      </c>
      <c r="E292" t="s">
        <v>24</v>
      </c>
      <c r="F292" t="s">
        <v>36</v>
      </c>
      <c r="G292" t="s">
        <v>26</v>
      </c>
      <c r="H292">
        <v>40.299999999999997</v>
      </c>
      <c r="I292">
        <v>20</v>
      </c>
      <c r="J292">
        <v>40.299999999999997</v>
      </c>
      <c r="K292">
        <v>806</v>
      </c>
      <c r="L292" s="1">
        <v>43504</v>
      </c>
      <c r="M292" s="2">
        <v>0.73402777777777772</v>
      </c>
      <c r="N292" t="s">
        <v>37</v>
      </c>
      <c r="O292">
        <v>403</v>
      </c>
      <c r="P292">
        <v>4.7619047620000003</v>
      </c>
      <c r="Q292">
        <v>403</v>
      </c>
      <c r="R292">
        <v>8.4</v>
      </c>
      <c r="S292">
        <v>96.089100000000002</v>
      </c>
      <c r="T292">
        <v>21.9588</v>
      </c>
    </row>
    <row r="293" spans="1:20" x14ac:dyDescent="0.3">
      <c r="A293" t="s">
        <v>554</v>
      </c>
      <c r="B293" t="s">
        <v>29</v>
      </c>
      <c r="C293" t="s">
        <v>555</v>
      </c>
      <c r="D293" t="s">
        <v>31</v>
      </c>
      <c r="E293" t="s">
        <v>32</v>
      </c>
      <c r="F293" t="s">
        <v>36</v>
      </c>
      <c r="G293" t="s">
        <v>26</v>
      </c>
      <c r="H293">
        <v>27.85</v>
      </c>
      <c r="I293">
        <v>8</v>
      </c>
      <c r="J293">
        <v>11.14</v>
      </c>
      <c r="K293">
        <v>222.8</v>
      </c>
      <c r="L293" s="1">
        <v>43542</v>
      </c>
      <c r="M293" s="2">
        <v>0.72222222222222221</v>
      </c>
      <c r="N293" t="s">
        <v>27</v>
      </c>
      <c r="O293">
        <v>194.95</v>
      </c>
      <c r="P293">
        <v>4.7619047620000003</v>
      </c>
      <c r="Q293">
        <v>27.85</v>
      </c>
      <c r="R293">
        <v>6.3</v>
      </c>
      <c r="S293">
        <v>96.078500000000005</v>
      </c>
      <c r="T293">
        <v>19.763300000000001</v>
      </c>
    </row>
    <row r="294" spans="1:20" x14ac:dyDescent="0.3">
      <c r="A294" t="s">
        <v>556</v>
      </c>
      <c r="B294" t="s">
        <v>21</v>
      </c>
      <c r="C294" t="s">
        <v>557</v>
      </c>
      <c r="D294" t="s">
        <v>23</v>
      </c>
      <c r="E294" t="s">
        <v>24</v>
      </c>
      <c r="F294" t="s">
        <v>25</v>
      </c>
      <c r="G294" t="s">
        <v>26</v>
      </c>
      <c r="H294">
        <v>62.48</v>
      </c>
      <c r="I294">
        <v>1</v>
      </c>
      <c r="J294">
        <v>3.1240000000000001</v>
      </c>
      <c r="K294">
        <v>62.48</v>
      </c>
      <c r="L294" s="1">
        <v>43495</v>
      </c>
      <c r="M294" s="2">
        <v>0.85347222222222219</v>
      </c>
      <c r="N294" t="s">
        <v>33</v>
      </c>
      <c r="O294">
        <v>62.48</v>
      </c>
      <c r="P294">
        <v>4.7619047620000003</v>
      </c>
      <c r="Q294">
        <v>0</v>
      </c>
      <c r="R294">
        <v>4.7</v>
      </c>
      <c r="S294">
        <v>96.173500000000004</v>
      </c>
      <c r="T294">
        <v>16.840900000000001</v>
      </c>
    </row>
    <row r="295" spans="1:20" x14ac:dyDescent="0.3">
      <c r="A295" t="s">
        <v>558</v>
      </c>
      <c r="B295" t="s">
        <v>21</v>
      </c>
      <c r="C295" t="s">
        <v>559</v>
      </c>
      <c r="D295" t="s">
        <v>23</v>
      </c>
      <c r="E295" t="s">
        <v>24</v>
      </c>
      <c r="F295" t="s">
        <v>25</v>
      </c>
      <c r="G295" t="s">
        <v>26</v>
      </c>
      <c r="H295">
        <v>36.36</v>
      </c>
      <c r="I295">
        <v>3</v>
      </c>
      <c r="J295">
        <v>5.4539999999999997</v>
      </c>
      <c r="K295">
        <v>109.08</v>
      </c>
      <c r="L295" s="1">
        <v>43648</v>
      </c>
      <c r="M295" s="2">
        <v>0.41666666666666669</v>
      </c>
      <c r="N295" t="s">
        <v>33</v>
      </c>
      <c r="O295">
        <v>72.72</v>
      </c>
      <c r="P295">
        <v>4.7619047620000003</v>
      </c>
      <c r="Q295">
        <v>36.36</v>
      </c>
      <c r="R295">
        <v>7.1</v>
      </c>
      <c r="S295">
        <v>96.173500000000004</v>
      </c>
      <c r="T295">
        <v>16.840900000000001</v>
      </c>
    </row>
    <row r="296" spans="1:20" x14ac:dyDescent="0.3">
      <c r="A296" t="s">
        <v>560</v>
      </c>
      <c r="B296" t="s">
        <v>51</v>
      </c>
      <c r="C296" t="s">
        <v>328</v>
      </c>
      <c r="D296" t="s">
        <v>53</v>
      </c>
      <c r="E296" t="s">
        <v>32</v>
      </c>
      <c r="F296" t="s">
        <v>36</v>
      </c>
      <c r="G296" t="s">
        <v>26</v>
      </c>
      <c r="H296">
        <v>18.11</v>
      </c>
      <c r="I296">
        <v>14</v>
      </c>
      <c r="J296">
        <v>12.677</v>
      </c>
      <c r="K296">
        <v>253.54</v>
      </c>
      <c r="L296" s="1">
        <v>43644</v>
      </c>
      <c r="M296" s="2">
        <v>0.49027777777777776</v>
      </c>
      <c r="N296" t="s">
        <v>27</v>
      </c>
      <c r="O296">
        <v>181.1</v>
      </c>
      <c r="P296">
        <v>4.7619047620000003</v>
      </c>
      <c r="Q296">
        <v>72.44</v>
      </c>
      <c r="R296">
        <v>7.08</v>
      </c>
      <c r="S296">
        <v>96.089100000000002</v>
      </c>
      <c r="T296">
        <v>21.9588</v>
      </c>
    </row>
    <row r="297" spans="1:20" x14ac:dyDescent="0.3">
      <c r="A297" t="s">
        <v>561</v>
      </c>
      <c r="B297" t="s">
        <v>29</v>
      </c>
      <c r="C297" t="s">
        <v>303</v>
      </c>
      <c r="D297" t="s">
        <v>31</v>
      </c>
      <c r="E297" t="s">
        <v>24</v>
      </c>
      <c r="F297" t="s">
        <v>25</v>
      </c>
      <c r="G297" t="s">
        <v>60</v>
      </c>
      <c r="H297">
        <v>51.92</v>
      </c>
      <c r="I297">
        <v>8</v>
      </c>
      <c r="J297">
        <v>20.768000000000001</v>
      </c>
      <c r="K297">
        <v>415.36</v>
      </c>
      <c r="L297" s="1">
        <v>43571</v>
      </c>
      <c r="M297" s="2">
        <v>0.5708333333333333</v>
      </c>
      <c r="N297" t="s">
        <v>33</v>
      </c>
      <c r="O297">
        <v>259.60000000000002</v>
      </c>
      <c r="P297">
        <v>4.7619047620000003</v>
      </c>
      <c r="Q297">
        <v>155.76</v>
      </c>
      <c r="R297">
        <v>7.875</v>
      </c>
      <c r="S297">
        <v>96.078500000000005</v>
      </c>
      <c r="T297">
        <v>19.763300000000001</v>
      </c>
    </row>
    <row r="298" spans="1:20" x14ac:dyDescent="0.3">
      <c r="A298" t="s">
        <v>562</v>
      </c>
      <c r="B298" t="s">
        <v>29</v>
      </c>
      <c r="C298" t="s">
        <v>563</v>
      </c>
      <c r="D298" t="s">
        <v>31</v>
      </c>
      <c r="E298" t="s">
        <v>32</v>
      </c>
      <c r="F298" t="s">
        <v>36</v>
      </c>
      <c r="G298" t="s">
        <v>60</v>
      </c>
      <c r="H298">
        <v>28.84</v>
      </c>
      <c r="I298">
        <v>5</v>
      </c>
      <c r="J298">
        <v>7.21</v>
      </c>
      <c r="K298">
        <v>144.19999999999999</v>
      </c>
      <c r="L298" s="1">
        <v>43495</v>
      </c>
      <c r="M298" s="2">
        <v>0.61388888888888893</v>
      </c>
      <c r="N298" t="s">
        <v>33</v>
      </c>
      <c r="O298">
        <v>115.36</v>
      </c>
      <c r="P298">
        <v>4.7619047620000003</v>
      </c>
      <c r="Q298">
        <v>28.84</v>
      </c>
      <c r="R298">
        <v>6.72</v>
      </c>
      <c r="S298">
        <v>96.078500000000005</v>
      </c>
      <c r="T298">
        <v>19.763300000000001</v>
      </c>
    </row>
    <row r="299" spans="1:20" x14ac:dyDescent="0.3">
      <c r="A299" t="s">
        <v>564</v>
      </c>
      <c r="B299" t="s">
        <v>21</v>
      </c>
      <c r="C299" t="s">
        <v>354</v>
      </c>
      <c r="D299" t="s">
        <v>23</v>
      </c>
      <c r="E299" t="s">
        <v>24</v>
      </c>
      <c r="F299" t="s">
        <v>36</v>
      </c>
      <c r="G299" t="s">
        <v>77</v>
      </c>
      <c r="H299">
        <v>78.38</v>
      </c>
      <c r="I299">
        <v>8</v>
      </c>
      <c r="J299">
        <v>31.352</v>
      </c>
      <c r="K299">
        <v>627.04</v>
      </c>
      <c r="L299" s="1">
        <v>43611</v>
      </c>
      <c r="M299" s="2">
        <v>0.59444444444444444</v>
      </c>
      <c r="N299" t="s">
        <v>27</v>
      </c>
      <c r="O299">
        <v>470.28</v>
      </c>
      <c r="P299">
        <v>4.7619047620000003</v>
      </c>
      <c r="Q299">
        <v>156.76</v>
      </c>
      <c r="R299">
        <v>5.8</v>
      </c>
      <c r="S299">
        <v>96.173500000000004</v>
      </c>
      <c r="T299">
        <v>16.840900000000001</v>
      </c>
    </row>
    <row r="300" spans="1:20" x14ac:dyDescent="0.3">
      <c r="A300" t="s">
        <v>565</v>
      </c>
      <c r="B300" t="s">
        <v>21</v>
      </c>
      <c r="C300" t="s">
        <v>566</v>
      </c>
      <c r="D300" t="s">
        <v>23</v>
      </c>
      <c r="E300" t="s">
        <v>24</v>
      </c>
      <c r="F300" t="s">
        <v>36</v>
      </c>
      <c r="G300" t="s">
        <v>77</v>
      </c>
      <c r="H300">
        <v>60.01</v>
      </c>
      <c r="I300">
        <v>6</v>
      </c>
      <c r="J300">
        <v>18.003</v>
      </c>
      <c r="K300">
        <v>360.06</v>
      </c>
      <c r="L300" s="1">
        <v>43599</v>
      </c>
      <c r="M300" s="2">
        <v>0.66249999999999998</v>
      </c>
      <c r="N300" t="s">
        <v>33</v>
      </c>
      <c r="O300">
        <v>240.04</v>
      </c>
      <c r="P300">
        <v>4.7619047620000003</v>
      </c>
      <c r="Q300">
        <v>120.02</v>
      </c>
      <c r="R300">
        <v>4.5</v>
      </c>
      <c r="S300">
        <v>96.173500000000004</v>
      </c>
      <c r="T300">
        <v>16.840900000000001</v>
      </c>
    </row>
    <row r="301" spans="1:20" x14ac:dyDescent="0.3">
      <c r="A301" t="s">
        <v>567</v>
      </c>
      <c r="B301" t="s">
        <v>21</v>
      </c>
      <c r="C301" t="s">
        <v>154</v>
      </c>
      <c r="D301" t="s">
        <v>31</v>
      </c>
      <c r="E301" t="s">
        <v>24</v>
      </c>
      <c r="F301" t="s">
        <v>25</v>
      </c>
      <c r="G301" t="s">
        <v>77</v>
      </c>
      <c r="H301">
        <v>88.61</v>
      </c>
      <c r="I301">
        <v>1</v>
      </c>
      <c r="J301">
        <v>4.4305000000000003</v>
      </c>
      <c r="K301">
        <v>88.61</v>
      </c>
      <c r="L301" s="1">
        <v>43551</v>
      </c>
      <c r="M301" s="2">
        <v>0.43125000000000002</v>
      </c>
      <c r="N301" t="s">
        <v>33</v>
      </c>
      <c r="O301">
        <v>88.61</v>
      </c>
      <c r="P301">
        <v>4.7619047620000003</v>
      </c>
      <c r="Q301">
        <v>0</v>
      </c>
      <c r="R301">
        <v>8.0850000000000009</v>
      </c>
      <c r="S301">
        <v>96.078500000000005</v>
      </c>
      <c r="T301">
        <v>19.763300000000001</v>
      </c>
    </row>
    <row r="302" spans="1:20" x14ac:dyDescent="0.3">
      <c r="A302" t="s">
        <v>568</v>
      </c>
      <c r="B302" t="s">
        <v>21</v>
      </c>
      <c r="C302" t="s">
        <v>569</v>
      </c>
      <c r="D302" t="s">
        <v>31</v>
      </c>
      <c r="E302" t="s">
        <v>32</v>
      </c>
      <c r="F302" t="s">
        <v>36</v>
      </c>
      <c r="G302" t="s">
        <v>100</v>
      </c>
      <c r="H302">
        <v>99.82</v>
      </c>
      <c r="I302">
        <v>2</v>
      </c>
      <c r="J302">
        <v>9.9819999999999993</v>
      </c>
      <c r="K302">
        <v>199.64</v>
      </c>
      <c r="L302" s="1">
        <v>43640</v>
      </c>
      <c r="M302" s="2">
        <v>0.75624999999999998</v>
      </c>
      <c r="N302" t="s">
        <v>37</v>
      </c>
      <c r="O302">
        <v>199.64</v>
      </c>
      <c r="P302">
        <v>4.7619047620000003</v>
      </c>
      <c r="Q302">
        <v>0</v>
      </c>
      <c r="R302">
        <v>7.0350000000000001</v>
      </c>
      <c r="S302">
        <v>96.078500000000005</v>
      </c>
      <c r="T302">
        <v>19.763300000000001</v>
      </c>
    </row>
    <row r="303" spans="1:20" x14ac:dyDescent="0.3">
      <c r="A303" t="s">
        <v>570</v>
      </c>
      <c r="B303" t="s">
        <v>21</v>
      </c>
      <c r="C303" t="s">
        <v>440</v>
      </c>
      <c r="D303" t="s">
        <v>53</v>
      </c>
      <c r="E303" t="s">
        <v>24</v>
      </c>
      <c r="F303" t="s">
        <v>36</v>
      </c>
      <c r="G303" t="s">
        <v>26</v>
      </c>
      <c r="H303">
        <v>39.01</v>
      </c>
      <c r="I303">
        <v>1</v>
      </c>
      <c r="J303">
        <f t="shared" ref="J303:J310" si="9">K303*5%</f>
        <v>1.9504999999999999</v>
      </c>
      <c r="K303">
        <v>39.01</v>
      </c>
      <c r="L303" s="1">
        <v>43647</v>
      </c>
      <c r="M303" s="2">
        <v>0.69861111111111107</v>
      </c>
      <c r="N303" t="s">
        <v>37</v>
      </c>
      <c r="O303">
        <v>39.01</v>
      </c>
      <c r="P303">
        <v>4.7619047620000003</v>
      </c>
      <c r="Q303">
        <v>0</v>
      </c>
      <c r="R303">
        <v>5.64</v>
      </c>
      <c r="S303">
        <v>96.089100000000002</v>
      </c>
      <c r="T303">
        <v>21.9588</v>
      </c>
    </row>
    <row r="304" spans="1:20" x14ac:dyDescent="0.3">
      <c r="A304" t="s">
        <v>571</v>
      </c>
      <c r="B304" t="s">
        <v>21</v>
      </c>
      <c r="C304" t="s">
        <v>374</v>
      </c>
      <c r="D304" t="s">
        <v>31</v>
      </c>
      <c r="E304" t="s">
        <v>32</v>
      </c>
      <c r="F304" t="s">
        <v>36</v>
      </c>
      <c r="G304" t="s">
        <v>63</v>
      </c>
      <c r="H304">
        <v>48.61</v>
      </c>
      <c r="I304">
        <v>1</v>
      </c>
      <c r="J304">
        <f t="shared" si="9"/>
        <v>2.4305000000000003</v>
      </c>
      <c r="K304">
        <v>48.61</v>
      </c>
      <c r="L304" s="1">
        <v>43583</v>
      </c>
      <c r="M304" s="2">
        <v>0.64652777777777781</v>
      </c>
      <c r="N304" t="s">
        <v>33</v>
      </c>
      <c r="O304">
        <v>48.61</v>
      </c>
      <c r="P304">
        <v>4.7619047620000003</v>
      </c>
      <c r="Q304">
        <v>0</v>
      </c>
      <c r="R304">
        <v>4.62</v>
      </c>
      <c r="S304">
        <v>96.078500000000005</v>
      </c>
      <c r="T304">
        <v>19.763300000000001</v>
      </c>
    </row>
    <row r="305" spans="1:20" x14ac:dyDescent="0.3">
      <c r="A305" t="s">
        <v>572</v>
      </c>
      <c r="B305" t="s">
        <v>21</v>
      </c>
      <c r="C305" t="s">
        <v>573</v>
      </c>
      <c r="D305" t="s">
        <v>23</v>
      </c>
      <c r="E305" t="s">
        <v>32</v>
      </c>
      <c r="F305" t="s">
        <v>25</v>
      </c>
      <c r="G305" t="s">
        <v>60</v>
      </c>
      <c r="H305">
        <v>51.19</v>
      </c>
      <c r="I305">
        <v>4</v>
      </c>
      <c r="J305">
        <f t="shared" si="9"/>
        <v>10.238</v>
      </c>
      <c r="K305">
        <v>204.76</v>
      </c>
      <c r="L305" s="1">
        <v>43632</v>
      </c>
      <c r="M305" s="2">
        <v>0.71875</v>
      </c>
      <c r="N305" t="s">
        <v>37</v>
      </c>
      <c r="O305">
        <v>204.76</v>
      </c>
      <c r="P305">
        <v>4.7619047620000003</v>
      </c>
      <c r="Q305">
        <v>0</v>
      </c>
      <c r="R305">
        <v>7.46</v>
      </c>
      <c r="S305">
        <v>96.173500000000004</v>
      </c>
      <c r="T305">
        <v>16.840900000000001</v>
      </c>
    </row>
    <row r="306" spans="1:20" x14ac:dyDescent="0.3">
      <c r="A306" t="s">
        <v>574</v>
      </c>
      <c r="B306" t="s">
        <v>51</v>
      </c>
      <c r="C306" t="s">
        <v>575</v>
      </c>
      <c r="D306" t="s">
        <v>53</v>
      </c>
      <c r="E306" t="s">
        <v>32</v>
      </c>
      <c r="F306" t="s">
        <v>25</v>
      </c>
      <c r="G306" t="s">
        <v>60</v>
      </c>
      <c r="H306">
        <v>14.96</v>
      </c>
      <c r="I306">
        <v>11</v>
      </c>
      <c r="J306">
        <f t="shared" si="9"/>
        <v>8.2279999999999998</v>
      </c>
      <c r="K306">
        <v>164.56</v>
      </c>
      <c r="L306" s="1">
        <v>43492</v>
      </c>
      <c r="M306" s="2">
        <v>0.52013888888888893</v>
      </c>
      <c r="N306" t="s">
        <v>33</v>
      </c>
      <c r="O306">
        <v>119.68</v>
      </c>
      <c r="P306">
        <v>4.7619047620000003</v>
      </c>
      <c r="Q306">
        <v>44.88</v>
      </c>
      <c r="R306">
        <v>7.46</v>
      </c>
      <c r="S306">
        <v>96.089100000000002</v>
      </c>
      <c r="T306">
        <v>21.9588</v>
      </c>
    </row>
    <row r="307" spans="1:20" x14ac:dyDescent="0.3">
      <c r="A307" t="s">
        <v>576</v>
      </c>
      <c r="B307" t="s">
        <v>21</v>
      </c>
      <c r="C307" t="s">
        <v>577</v>
      </c>
      <c r="D307" t="s">
        <v>23</v>
      </c>
      <c r="E307" t="s">
        <v>32</v>
      </c>
      <c r="F307" t="s">
        <v>36</v>
      </c>
      <c r="G307" t="s">
        <v>60</v>
      </c>
      <c r="H307">
        <v>72.2</v>
      </c>
      <c r="I307">
        <v>7</v>
      </c>
      <c r="J307">
        <f t="shared" si="9"/>
        <v>25.27</v>
      </c>
      <c r="K307">
        <v>505.4</v>
      </c>
      <c r="L307" s="1">
        <v>43557</v>
      </c>
      <c r="M307" s="2">
        <v>0.84305555555555556</v>
      </c>
      <c r="N307" t="s">
        <v>27</v>
      </c>
      <c r="O307">
        <v>505.4</v>
      </c>
      <c r="P307">
        <v>4.7619047620000003</v>
      </c>
      <c r="Q307">
        <v>0</v>
      </c>
      <c r="R307">
        <v>7.46</v>
      </c>
      <c r="S307">
        <v>96.173500000000004</v>
      </c>
      <c r="T307">
        <v>16.840900000000001</v>
      </c>
    </row>
    <row r="308" spans="1:20" x14ac:dyDescent="0.3">
      <c r="A308" t="s">
        <v>578</v>
      </c>
      <c r="B308" t="s">
        <v>21</v>
      </c>
      <c r="C308" t="s">
        <v>213</v>
      </c>
      <c r="D308" t="s">
        <v>23</v>
      </c>
      <c r="E308" t="s">
        <v>32</v>
      </c>
      <c r="F308" t="s">
        <v>25</v>
      </c>
      <c r="G308" t="s">
        <v>68</v>
      </c>
      <c r="H308">
        <v>40.229999999999997</v>
      </c>
      <c r="I308">
        <v>7</v>
      </c>
      <c r="J308">
        <f t="shared" si="9"/>
        <v>14.080500000000001</v>
      </c>
      <c r="K308">
        <v>281.61</v>
      </c>
      <c r="L308" s="1">
        <v>43631</v>
      </c>
      <c r="M308" s="2">
        <v>0.55694444444444446</v>
      </c>
      <c r="N308" t="s">
        <v>33</v>
      </c>
      <c r="O308">
        <v>281.61</v>
      </c>
      <c r="P308">
        <v>4.7619047620000003</v>
      </c>
      <c r="Q308">
        <v>0</v>
      </c>
      <c r="R308">
        <v>7.46</v>
      </c>
      <c r="S308">
        <v>96.173500000000004</v>
      </c>
      <c r="T308">
        <v>16.840900000000001</v>
      </c>
    </row>
    <row r="309" spans="1:20" x14ac:dyDescent="0.3">
      <c r="A309" t="s">
        <v>579</v>
      </c>
      <c r="B309" t="s">
        <v>21</v>
      </c>
      <c r="C309" t="s">
        <v>580</v>
      </c>
      <c r="D309" t="s">
        <v>23</v>
      </c>
      <c r="E309" t="s">
        <v>24</v>
      </c>
      <c r="F309" t="s">
        <v>25</v>
      </c>
      <c r="G309" t="s">
        <v>77</v>
      </c>
      <c r="H309">
        <v>88.79</v>
      </c>
      <c r="I309">
        <v>11</v>
      </c>
      <c r="J309">
        <f t="shared" si="9"/>
        <v>48.834500000000006</v>
      </c>
      <c r="K309">
        <v>976.69</v>
      </c>
      <c r="L309" s="1">
        <v>43688</v>
      </c>
      <c r="M309" s="2">
        <v>0.71458333333333335</v>
      </c>
      <c r="N309" t="s">
        <v>33</v>
      </c>
      <c r="O309">
        <v>710.32</v>
      </c>
      <c r="P309">
        <v>4.7619047620000003</v>
      </c>
      <c r="Q309">
        <v>266.37</v>
      </c>
      <c r="R309">
        <v>7.46</v>
      </c>
      <c r="S309">
        <v>96.173500000000004</v>
      </c>
      <c r="T309">
        <v>16.840900000000001</v>
      </c>
    </row>
    <row r="310" spans="1:20" x14ac:dyDescent="0.3">
      <c r="A310" t="s">
        <v>581</v>
      </c>
      <c r="B310" t="s">
        <v>21</v>
      </c>
      <c r="C310" t="s">
        <v>294</v>
      </c>
      <c r="D310" t="s">
        <v>23</v>
      </c>
      <c r="E310" t="s">
        <v>24</v>
      </c>
      <c r="F310" t="s">
        <v>25</v>
      </c>
      <c r="G310" t="s">
        <v>60</v>
      </c>
      <c r="H310">
        <v>26.48</v>
      </c>
      <c r="I310">
        <v>4</v>
      </c>
      <c r="J310">
        <f t="shared" si="9"/>
        <v>5.2960000000000003</v>
      </c>
      <c r="K310">
        <v>105.92</v>
      </c>
      <c r="L310" s="1">
        <v>43645</v>
      </c>
      <c r="M310" s="2">
        <v>0.44444444444444442</v>
      </c>
      <c r="N310" t="s">
        <v>27</v>
      </c>
      <c r="O310">
        <v>79.44</v>
      </c>
      <c r="P310">
        <v>4.7619047620000003</v>
      </c>
      <c r="Q310">
        <v>26.48</v>
      </c>
      <c r="R310">
        <v>7.46</v>
      </c>
      <c r="S310">
        <v>96.173500000000004</v>
      </c>
      <c r="T310">
        <v>16.840900000000001</v>
      </c>
    </row>
    <row r="311" spans="1:20" x14ac:dyDescent="0.3">
      <c r="A311" t="s">
        <v>582</v>
      </c>
      <c r="B311" t="s">
        <v>21</v>
      </c>
      <c r="C311" t="s">
        <v>583</v>
      </c>
      <c r="D311" t="s">
        <v>23</v>
      </c>
      <c r="E311" t="s">
        <v>32</v>
      </c>
      <c r="F311" t="s">
        <v>25</v>
      </c>
      <c r="G311" t="s">
        <v>100</v>
      </c>
      <c r="H311">
        <v>81.91</v>
      </c>
      <c r="I311">
        <v>2</v>
      </c>
      <c r="J311">
        <v>8.1910000000000007</v>
      </c>
      <c r="K311">
        <v>163.82</v>
      </c>
      <c r="L311" s="1">
        <v>43717</v>
      </c>
      <c r="M311" s="2">
        <v>0.73819444444444449</v>
      </c>
      <c r="N311" t="s">
        <v>33</v>
      </c>
      <c r="O311">
        <v>163.82</v>
      </c>
      <c r="P311">
        <v>4.7619047620000003</v>
      </c>
      <c r="Q311">
        <v>0</v>
      </c>
      <c r="R311">
        <v>7.46</v>
      </c>
      <c r="S311">
        <v>96.173500000000004</v>
      </c>
      <c r="T311">
        <v>16.840900000000001</v>
      </c>
    </row>
    <row r="312" spans="1:20" x14ac:dyDescent="0.3">
      <c r="A312" t="s">
        <v>584</v>
      </c>
      <c r="B312" t="s">
        <v>51</v>
      </c>
      <c r="C312" t="s">
        <v>260</v>
      </c>
      <c r="D312" t="s">
        <v>53</v>
      </c>
      <c r="E312" t="s">
        <v>24</v>
      </c>
      <c r="F312" t="s">
        <v>36</v>
      </c>
      <c r="G312" t="s">
        <v>68</v>
      </c>
      <c r="H312">
        <v>79.930000000000007</v>
      </c>
      <c r="I312">
        <v>11</v>
      </c>
      <c r="J312">
        <v>43.961500000000001</v>
      </c>
      <c r="K312">
        <v>879.23</v>
      </c>
      <c r="L312" s="1">
        <v>43802</v>
      </c>
      <c r="M312" s="2">
        <v>0.58611111111111114</v>
      </c>
      <c r="N312" t="s">
        <v>33</v>
      </c>
      <c r="O312">
        <v>479.58</v>
      </c>
      <c r="P312">
        <v>4.7619047620000003</v>
      </c>
      <c r="Q312">
        <v>399.65</v>
      </c>
      <c r="R312">
        <v>7.46</v>
      </c>
      <c r="S312">
        <v>96.089100000000002</v>
      </c>
      <c r="T312">
        <v>21.9588</v>
      </c>
    </row>
    <row r="313" spans="1:20" x14ac:dyDescent="0.3">
      <c r="A313" t="s">
        <v>585</v>
      </c>
      <c r="B313" t="s">
        <v>29</v>
      </c>
      <c r="C313" t="s">
        <v>127</v>
      </c>
      <c r="D313" t="s">
        <v>31</v>
      </c>
      <c r="E313" t="s">
        <v>24</v>
      </c>
      <c r="F313" t="s">
        <v>36</v>
      </c>
      <c r="G313" t="s">
        <v>100</v>
      </c>
      <c r="H313">
        <v>69.33</v>
      </c>
      <c r="I313">
        <v>3</v>
      </c>
      <c r="J313">
        <v>10.3995</v>
      </c>
      <c r="K313">
        <v>207.99</v>
      </c>
      <c r="L313" s="1">
        <v>43521</v>
      </c>
      <c r="M313" s="2">
        <v>0.79513888888888884</v>
      </c>
      <c r="N313" t="s">
        <v>27</v>
      </c>
      <c r="O313">
        <v>138.66</v>
      </c>
      <c r="P313">
        <v>4.7619047620000003</v>
      </c>
      <c r="Q313">
        <v>69.33</v>
      </c>
      <c r="R313">
        <v>10</v>
      </c>
      <c r="S313">
        <v>96.078500000000005</v>
      </c>
      <c r="T313">
        <v>19.763300000000001</v>
      </c>
    </row>
    <row r="314" spans="1:20" x14ac:dyDescent="0.3">
      <c r="A314" t="s">
        <v>586</v>
      </c>
      <c r="B314" t="s">
        <v>21</v>
      </c>
      <c r="C314" t="s">
        <v>587</v>
      </c>
      <c r="D314" t="s">
        <v>23</v>
      </c>
      <c r="E314" t="s">
        <v>24</v>
      </c>
      <c r="F314" t="s">
        <v>25</v>
      </c>
      <c r="G314" t="s">
        <v>63</v>
      </c>
      <c r="H314">
        <v>14.23</v>
      </c>
      <c r="I314">
        <v>7</v>
      </c>
      <c r="J314">
        <v>4.9805000000000001</v>
      </c>
      <c r="K314">
        <v>99.61</v>
      </c>
      <c r="L314" s="1">
        <v>43756</v>
      </c>
      <c r="M314" s="2">
        <v>0.42222222222222222</v>
      </c>
      <c r="N314" t="s">
        <v>37</v>
      </c>
      <c r="O314">
        <v>71.150000000000006</v>
      </c>
      <c r="P314">
        <v>4.7619047620000003</v>
      </c>
      <c r="Q314">
        <v>28.46</v>
      </c>
      <c r="R314">
        <v>4.4000000000000004</v>
      </c>
      <c r="S314">
        <v>96.173500000000004</v>
      </c>
      <c r="T314">
        <v>16.840900000000001</v>
      </c>
    </row>
    <row r="315" spans="1:20" x14ac:dyDescent="0.3">
      <c r="A315" t="s">
        <v>588</v>
      </c>
      <c r="B315" t="s">
        <v>21</v>
      </c>
      <c r="C315" t="s">
        <v>589</v>
      </c>
      <c r="D315" t="s">
        <v>23</v>
      </c>
      <c r="E315" t="s">
        <v>24</v>
      </c>
      <c r="F315" t="s">
        <v>25</v>
      </c>
      <c r="G315" t="s">
        <v>26</v>
      </c>
      <c r="H315">
        <v>15.55</v>
      </c>
      <c r="I315">
        <v>13</v>
      </c>
      <c r="J315">
        <v>10.1075</v>
      </c>
      <c r="K315">
        <v>202.15</v>
      </c>
      <c r="L315" s="1">
        <v>43718</v>
      </c>
      <c r="M315" s="2">
        <v>0.55000000000000004</v>
      </c>
      <c r="N315" t="s">
        <v>33</v>
      </c>
      <c r="O315">
        <v>139.94999999999999</v>
      </c>
      <c r="P315">
        <v>4.7619047620000003</v>
      </c>
      <c r="Q315">
        <v>62.2</v>
      </c>
      <c r="R315">
        <v>5</v>
      </c>
      <c r="S315">
        <v>96.173500000000004</v>
      </c>
      <c r="T315">
        <v>16.840900000000001</v>
      </c>
    </row>
    <row r="316" spans="1:20" x14ac:dyDescent="0.3">
      <c r="A316" t="s">
        <v>590</v>
      </c>
      <c r="B316" t="s">
        <v>29</v>
      </c>
      <c r="C316" t="s">
        <v>256</v>
      </c>
      <c r="D316" t="s">
        <v>31</v>
      </c>
      <c r="E316" t="s">
        <v>24</v>
      </c>
      <c r="F316" t="s">
        <v>25</v>
      </c>
      <c r="G316" t="s">
        <v>26</v>
      </c>
      <c r="H316">
        <v>78.13</v>
      </c>
      <c r="I316">
        <v>17</v>
      </c>
      <c r="J316">
        <v>66.410499999999999</v>
      </c>
      <c r="K316">
        <v>1328.21</v>
      </c>
      <c r="L316" s="1">
        <v>43518</v>
      </c>
      <c r="M316" s="2">
        <v>0.86875000000000002</v>
      </c>
      <c r="N316" t="s">
        <v>33</v>
      </c>
      <c r="O316">
        <v>781.3</v>
      </c>
      <c r="P316">
        <v>4.7619047620000003</v>
      </c>
      <c r="Q316">
        <v>546.91</v>
      </c>
      <c r="R316">
        <v>4.62</v>
      </c>
      <c r="S316">
        <v>96.078500000000005</v>
      </c>
      <c r="T316">
        <v>19.763300000000001</v>
      </c>
    </row>
    <row r="317" spans="1:20" x14ac:dyDescent="0.3">
      <c r="A317" t="s">
        <v>591</v>
      </c>
      <c r="B317" t="s">
        <v>29</v>
      </c>
      <c r="C317" t="s">
        <v>592</v>
      </c>
      <c r="D317" t="s">
        <v>31</v>
      </c>
      <c r="E317" t="s">
        <v>24</v>
      </c>
      <c r="F317" t="s">
        <v>36</v>
      </c>
      <c r="G317" t="s">
        <v>26</v>
      </c>
      <c r="H317">
        <v>99.37</v>
      </c>
      <c r="I317">
        <v>3</v>
      </c>
      <c r="J317">
        <v>14.9055</v>
      </c>
      <c r="K317">
        <v>298.11</v>
      </c>
      <c r="L317" s="1">
        <v>43649</v>
      </c>
      <c r="M317" s="2">
        <v>0.72847222222222219</v>
      </c>
      <c r="N317" t="s">
        <v>33</v>
      </c>
      <c r="O317">
        <v>198.74</v>
      </c>
      <c r="P317">
        <v>4.7619047620000003</v>
      </c>
      <c r="Q317">
        <v>99.37</v>
      </c>
      <c r="R317">
        <v>5.46</v>
      </c>
      <c r="S317">
        <v>96.078500000000005</v>
      </c>
      <c r="T317">
        <v>19.763300000000001</v>
      </c>
    </row>
    <row r="318" spans="1:20" x14ac:dyDescent="0.3">
      <c r="A318" t="s">
        <v>593</v>
      </c>
      <c r="B318" t="s">
        <v>29</v>
      </c>
      <c r="C318" t="s">
        <v>594</v>
      </c>
      <c r="D318" t="s">
        <v>31</v>
      </c>
      <c r="E318" t="s">
        <v>24</v>
      </c>
      <c r="F318" t="s">
        <v>25</v>
      </c>
      <c r="G318" t="s">
        <v>26</v>
      </c>
      <c r="H318">
        <v>21.08</v>
      </c>
      <c r="I318">
        <v>6</v>
      </c>
      <c r="J318">
        <v>6.3239999999999998</v>
      </c>
      <c r="K318">
        <v>126.48</v>
      </c>
      <c r="L318" s="1">
        <v>43468</v>
      </c>
      <c r="M318" s="2">
        <v>0.43402777777777779</v>
      </c>
      <c r="N318" t="s">
        <v>33</v>
      </c>
      <c r="O318">
        <v>63.24</v>
      </c>
      <c r="P318">
        <v>4.7619047620000003</v>
      </c>
      <c r="Q318">
        <v>63.24</v>
      </c>
      <c r="R318">
        <v>7.665</v>
      </c>
      <c r="S318">
        <v>96.078500000000005</v>
      </c>
      <c r="T318">
        <v>19.763300000000001</v>
      </c>
    </row>
    <row r="319" spans="1:20" x14ac:dyDescent="0.3">
      <c r="A319" t="s">
        <v>595</v>
      </c>
      <c r="B319" t="s">
        <v>29</v>
      </c>
      <c r="C319" t="s">
        <v>596</v>
      </c>
      <c r="D319" t="s">
        <v>31</v>
      </c>
      <c r="E319" t="s">
        <v>24</v>
      </c>
      <c r="F319" t="s">
        <v>36</v>
      </c>
      <c r="G319" t="s">
        <v>26</v>
      </c>
      <c r="H319">
        <v>74.790000000000006</v>
      </c>
      <c r="I319">
        <v>8</v>
      </c>
      <c r="J319">
        <v>29.916</v>
      </c>
      <c r="K319">
        <v>598.32000000000005</v>
      </c>
      <c r="L319" s="1">
        <v>43602</v>
      </c>
      <c r="M319" s="2">
        <v>0.48194444444444445</v>
      </c>
      <c r="N319" t="s">
        <v>33</v>
      </c>
      <c r="O319">
        <v>373.95</v>
      </c>
      <c r="P319">
        <v>4.7619047620000003</v>
      </c>
      <c r="Q319">
        <v>224.37</v>
      </c>
      <c r="R319">
        <v>5.1449999999999996</v>
      </c>
      <c r="S319">
        <v>96.078500000000005</v>
      </c>
      <c r="T319">
        <v>19.763300000000001</v>
      </c>
    </row>
    <row r="320" spans="1:20" x14ac:dyDescent="0.3">
      <c r="A320" t="s">
        <v>597</v>
      </c>
      <c r="B320" t="s">
        <v>29</v>
      </c>
      <c r="C320" t="s">
        <v>598</v>
      </c>
      <c r="D320" t="s">
        <v>31</v>
      </c>
      <c r="E320" t="s">
        <v>32</v>
      </c>
      <c r="F320" t="s">
        <v>25</v>
      </c>
      <c r="G320" t="s">
        <v>26</v>
      </c>
      <c r="H320">
        <v>29.67</v>
      </c>
      <c r="I320">
        <v>8</v>
      </c>
      <c r="J320">
        <v>11.868</v>
      </c>
      <c r="K320">
        <v>237.36</v>
      </c>
      <c r="L320" s="1">
        <v>43808</v>
      </c>
      <c r="M320" s="2">
        <v>0.79027777777777775</v>
      </c>
      <c r="N320" t="s">
        <v>37</v>
      </c>
      <c r="O320">
        <v>207.69</v>
      </c>
      <c r="P320">
        <v>4.7619047620000003</v>
      </c>
      <c r="Q320">
        <v>29.67</v>
      </c>
      <c r="R320">
        <v>8.5050000000000008</v>
      </c>
      <c r="S320">
        <v>96.078500000000005</v>
      </c>
      <c r="T320">
        <v>19.763300000000001</v>
      </c>
    </row>
    <row r="321" spans="1:20" x14ac:dyDescent="0.3">
      <c r="A321" t="s">
        <v>599</v>
      </c>
      <c r="B321" t="s">
        <v>29</v>
      </c>
      <c r="C321" t="s">
        <v>600</v>
      </c>
      <c r="D321" t="s">
        <v>31</v>
      </c>
      <c r="E321" t="s">
        <v>32</v>
      </c>
      <c r="F321" t="s">
        <v>36</v>
      </c>
      <c r="G321" t="s">
        <v>26</v>
      </c>
      <c r="H321">
        <v>44.07</v>
      </c>
      <c r="I321">
        <v>5</v>
      </c>
      <c r="J321">
        <v>11.0175</v>
      </c>
      <c r="K321">
        <v>220.35</v>
      </c>
      <c r="L321" s="1">
        <v>43757</v>
      </c>
      <c r="M321" s="2">
        <v>0.68611111111111112</v>
      </c>
      <c r="N321" t="s">
        <v>27</v>
      </c>
      <c r="O321">
        <v>176.28</v>
      </c>
      <c r="P321">
        <v>4.7619047620000003</v>
      </c>
      <c r="Q321">
        <v>44.07</v>
      </c>
      <c r="R321">
        <v>8.82</v>
      </c>
      <c r="S321">
        <v>96.078500000000005</v>
      </c>
      <c r="T321">
        <v>19.763300000000001</v>
      </c>
    </row>
    <row r="322" spans="1:20" x14ac:dyDescent="0.3">
      <c r="A322" t="s">
        <v>601</v>
      </c>
      <c r="B322" t="s">
        <v>29</v>
      </c>
      <c r="C322" t="s">
        <v>138</v>
      </c>
      <c r="D322" t="s">
        <v>31</v>
      </c>
      <c r="E322" t="s">
        <v>32</v>
      </c>
      <c r="F322" t="s">
        <v>25</v>
      </c>
      <c r="G322" t="s">
        <v>26</v>
      </c>
      <c r="H322">
        <v>22.93</v>
      </c>
      <c r="I322">
        <v>11</v>
      </c>
      <c r="J322">
        <v>12.611499999999999</v>
      </c>
      <c r="K322">
        <v>252.23</v>
      </c>
      <c r="L322" s="1">
        <v>43779</v>
      </c>
      <c r="M322" s="2">
        <v>0.85138888888888886</v>
      </c>
      <c r="N322" t="s">
        <v>33</v>
      </c>
      <c r="O322">
        <v>206.37</v>
      </c>
      <c r="P322">
        <v>4.7619047620000003</v>
      </c>
      <c r="Q322">
        <v>45.86</v>
      </c>
      <c r="R322">
        <v>5.7750000000000004</v>
      </c>
      <c r="S322">
        <v>96.078500000000005</v>
      </c>
      <c r="T322">
        <v>19.763300000000001</v>
      </c>
    </row>
    <row r="323" spans="1:20" x14ac:dyDescent="0.3">
      <c r="A323" t="s">
        <v>602</v>
      </c>
      <c r="B323" t="s">
        <v>29</v>
      </c>
      <c r="C323" t="s">
        <v>197</v>
      </c>
      <c r="D323" t="s">
        <v>31</v>
      </c>
      <c r="E323" t="s">
        <v>32</v>
      </c>
      <c r="F323" t="s">
        <v>25</v>
      </c>
      <c r="G323" t="s">
        <v>26</v>
      </c>
      <c r="H323">
        <v>39.42</v>
      </c>
      <c r="I323">
        <v>1</v>
      </c>
      <c r="J323">
        <v>1.9710000000000001</v>
      </c>
      <c r="K323">
        <v>39.42</v>
      </c>
      <c r="L323" s="1">
        <v>43492</v>
      </c>
      <c r="M323" s="2">
        <v>0.63055555555555554</v>
      </c>
      <c r="N323" t="s">
        <v>33</v>
      </c>
      <c r="O323">
        <v>39.42</v>
      </c>
      <c r="P323">
        <v>4.7619047620000003</v>
      </c>
      <c r="Q323">
        <v>0</v>
      </c>
      <c r="R323">
        <v>8.82</v>
      </c>
      <c r="S323">
        <v>96.078500000000005</v>
      </c>
      <c r="T323">
        <v>19.763300000000001</v>
      </c>
    </row>
    <row r="324" spans="1:20" x14ac:dyDescent="0.3">
      <c r="A324" t="s">
        <v>603</v>
      </c>
      <c r="B324" t="s">
        <v>21</v>
      </c>
      <c r="C324" t="s">
        <v>604</v>
      </c>
      <c r="D324" t="s">
        <v>23</v>
      </c>
      <c r="E324" t="s">
        <v>32</v>
      </c>
      <c r="F324" t="s">
        <v>36</v>
      </c>
      <c r="G324" t="s">
        <v>26</v>
      </c>
      <c r="H324">
        <v>15.26</v>
      </c>
      <c r="I324">
        <v>6</v>
      </c>
      <c r="J324">
        <v>4.5780000000000003</v>
      </c>
      <c r="K324">
        <v>91.56</v>
      </c>
      <c r="L324" s="1">
        <v>43552</v>
      </c>
      <c r="M324" s="2">
        <v>0.75208333333333333</v>
      </c>
      <c r="N324" t="s">
        <v>27</v>
      </c>
      <c r="O324">
        <v>91.56</v>
      </c>
      <c r="P324">
        <v>4.7619047620000003</v>
      </c>
      <c r="Q324">
        <v>0</v>
      </c>
      <c r="R324">
        <v>9.8000000000000007</v>
      </c>
      <c r="S324">
        <v>96.173500000000004</v>
      </c>
      <c r="T324">
        <v>16.840900000000001</v>
      </c>
    </row>
    <row r="325" spans="1:20" x14ac:dyDescent="0.3">
      <c r="A325" t="s">
        <v>605</v>
      </c>
      <c r="B325" t="s">
        <v>21</v>
      </c>
      <c r="C325" t="s">
        <v>606</v>
      </c>
      <c r="D325" t="s">
        <v>23</v>
      </c>
      <c r="E325" t="s">
        <v>32</v>
      </c>
      <c r="F325" t="s">
        <v>25</v>
      </c>
      <c r="G325" t="s">
        <v>100</v>
      </c>
      <c r="H325">
        <v>61.77</v>
      </c>
      <c r="I325">
        <v>5</v>
      </c>
      <c r="J325">
        <v>15.442500000000001</v>
      </c>
      <c r="K325">
        <v>308.85000000000002</v>
      </c>
      <c r="L325" s="1">
        <v>43543</v>
      </c>
      <c r="M325" s="2">
        <v>0.55625000000000002</v>
      </c>
      <c r="N325" t="s">
        <v>33</v>
      </c>
      <c r="O325">
        <v>308.85000000000002</v>
      </c>
      <c r="P325">
        <v>4.7619047620000003</v>
      </c>
      <c r="Q325">
        <v>0</v>
      </c>
      <c r="R325">
        <v>6.7</v>
      </c>
      <c r="S325">
        <v>96.173500000000004</v>
      </c>
      <c r="T325">
        <v>16.840900000000001</v>
      </c>
    </row>
    <row r="326" spans="1:20" x14ac:dyDescent="0.3">
      <c r="A326" t="s">
        <v>607</v>
      </c>
      <c r="B326" t="s">
        <v>21</v>
      </c>
      <c r="C326" t="s">
        <v>608</v>
      </c>
      <c r="D326" t="s">
        <v>23</v>
      </c>
      <c r="E326" t="s">
        <v>32</v>
      </c>
      <c r="F326" t="s">
        <v>36</v>
      </c>
      <c r="G326" t="s">
        <v>77</v>
      </c>
      <c r="H326">
        <v>21.52</v>
      </c>
      <c r="I326">
        <v>6</v>
      </c>
      <c r="J326">
        <v>6.4560000000000004</v>
      </c>
      <c r="K326">
        <v>129.12</v>
      </c>
      <c r="L326" s="1">
        <v>43742</v>
      </c>
      <c r="M326" s="2">
        <v>0.53333333333333333</v>
      </c>
      <c r="N326" t="s">
        <v>37</v>
      </c>
      <c r="O326">
        <v>129.12</v>
      </c>
      <c r="P326">
        <v>4.7619047620000003</v>
      </c>
      <c r="Q326">
        <v>0</v>
      </c>
      <c r="R326">
        <v>9.4</v>
      </c>
      <c r="S326">
        <v>96.173500000000004</v>
      </c>
      <c r="T326">
        <v>16.840900000000001</v>
      </c>
    </row>
    <row r="327" spans="1:20" x14ac:dyDescent="0.3">
      <c r="A327" t="s">
        <v>609</v>
      </c>
      <c r="B327" t="s">
        <v>51</v>
      </c>
      <c r="C327" t="s">
        <v>129</v>
      </c>
      <c r="D327" t="s">
        <v>53</v>
      </c>
      <c r="E327" t="s">
        <v>32</v>
      </c>
      <c r="F327" t="s">
        <v>36</v>
      </c>
      <c r="G327" t="s">
        <v>68</v>
      </c>
      <c r="H327">
        <v>97.74</v>
      </c>
      <c r="I327">
        <v>6</v>
      </c>
      <c r="J327">
        <v>29.321999999999999</v>
      </c>
      <c r="K327">
        <v>586.44000000000005</v>
      </c>
      <c r="L327" s="1">
        <v>43533</v>
      </c>
      <c r="M327" s="2">
        <v>0.82847222222222228</v>
      </c>
      <c r="N327" t="s">
        <v>27</v>
      </c>
      <c r="O327">
        <v>390.96</v>
      </c>
      <c r="P327">
        <v>4.7619047620000003</v>
      </c>
      <c r="Q327">
        <v>195.48</v>
      </c>
      <c r="R327">
        <v>7.68</v>
      </c>
      <c r="S327">
        <v>96.089100000000002</v>
      </c>
      <c r="T327">
        <v>21.9588</v>
      </c>
    </row>
    <row r="328" spans="1:20" x14ac:dyDescent="0.3">
      <c r="A328" t="s">
        <v>610</v>
      </c>
      <c r="B328" t="s">
        <v>21</v>
      </c>
      <c r="C328" t="s">
        <v>611</v>
      </c>
      <c r="D328" t="s">
        <v>23</v>
      </c>
      <c r="E328" t="s">
        <v>32</v>
      </c>
      <c r="F328" t="s">
        <v>36</v>
      </c>
      <c r="G328" t="s">
        <v>63</v>
      </c>
      <c r="H328">
        <v>99.78</v>
      </c>
      <c r="I328">
        <v>5</v>
      </c>
      <c r="J328">
        <v>24.945</v>
      </c>
      <c r="K328">
        <v>498.9</v>
      </c>
      <c r="L328" s="1">
        <v>43512</v>
      </c>
      <c r="M328" s="2">
        <v>0.79791666666666672</v>
      </c>
      <c r="N328" t="s">
        <v>33</v>
      </c>
      <c r="O328">
        <v>498.9</v>
      </c>
      <c r="P328">
        <v>4.7619047620000003</v>
      </c>
      <c r="Q328">
        <v>0</v>
      </c>
      <c r="R328">
        <v>5.4</v>
      </c>
      <c r="S328">
        <v>96.173500000000004</v>
      </c>
      <c r="T328">
        <v>16.840900000000001</v>
      </c>
    </row>
    <row r="329" spans="1:20" x14ac:dyDescent="0.3">
      <c r="A329" t="s">
        <v>612</v>
      </c>
      <c r="B329" t="s">
        <v>29</v>
      </c>
      <c r="C329" t="s">
        <v>613</v>
      </c>
      <c r="D329" t="s">
        <v>31</v>
      </c>
      <c r="E329" t="s">
        <v>32</v>
      </c>
      <c r="F329" t="s">
        <v>36</v>
      </c>
      <c r="G329" t="s">
        <v>63</v>
      </c>
      <c r="H329">
        <v>94.26</v>
      </c>
      <c r="I329">
        <v>5</v>
      </c>
      <c r="J329">
        <v>23.565000000000001</v>
      </c>
      <c r="K329">
        <v>471.3</v>
      </c>
      <c r="L329" s="1">
        <v>43637</v>
      </c>
      <c r="M329" s="2">
        <v>0.6875</v>
      </c>
      <c r="N329" t="s">
        <v>33</v>
      </c>
      <c r="O329">
        <v>377.04</v>
      </c>
      <c r="P329">
        <v>4.7619047620000003</v>
      </c>
      <c r="Q329">
        <v>94.26</v>
      </c>
      <c r="R329">
        <v>9.0299999999999994</v>
      </c>
      <c r="S329">
        <v>96.078500000000005</v>
      </c>
      <c r="T329">
        <v>19.763300000000001</v>
      </c>
    </row>
    <row r="330" spans="1:20" x14ac:dyDescent="0.3">
      <c r="A330" t="s">
        <v>614</v>
      </c>
      <c r="B330" t="s">
        <v>51</v>
      </c>
      <c r="C330" t="s">
        <v>99</v>
      </c>
      <c r="D330" t="s">
        <v>53</v>
      </c>
      <c r="E330" t="s">
        <v>32</v>
      </c>
      <c r="F330" t="s">
        <v>36</v>
      </c>
      <c r="G330" t="s">
        <v>26</v>
      </c>
      <c r="H330">
        <v>51.13</v>
      </c>
      <c r="I330">
        <v>6</v>
      </c>
      <c r="J330">
        <v>15.339</v>
      </c>
      <c r="K330">
        <v>306.77999999999997</v>
      </c>
      <c r="L330" s="1">
        <v>43558</v>
      </c>
      <c r="M330" s="2">
        <v>0.42430555555555555</v>
      </c>
      <c r="N330" t="s">
        <v>37</v>
      </c>
      <c r="O330">
        <v>204.52</v>
      </c>
      <c r="P330">
        <v>4.7619047620000003</v>
      </c>
      <c r="Q330">
        <v>102.26</v>
      </c>
      <c r="R330">
        <v>4.8</v>
      </c>
      <c r="S330">
        <v>96.089100000000002</v>
      </c>
      <c r="T330">
        <v>21.9588</v>
      </c>
    </row>
    <row r="331" spans="1:20" x14ac:dyDescent="0.3">
      <c r="A331" t="s">
        <v>615</v>
      </c>
      <c r="B331" t="s">
        <v>21</v>
      </c>
      <c r="C331" t="s">
        <v>616</v>
      </c>
      <c r="D331" t="s">
        <v>23</v>
      </c>
      <c r="E331" t="s">
        <v>32</v>
      </c>
      <c r="F331" t="s">
        <v>36</v>
      </c>
      <c r="G331" t="s">
        <v>60</v>
      </c>
      <c r="H331">
        <v>36.36</v>
      </c>
      <c r="I331">
        <v>4</v>
      </c>
      <c r="J331">
        <v>7.2720000000000002</v>
      </c>
      <c r="K331">
        <v>145.44</v>
      </c>
      <c r="L331" s="1">
        <v>43577</v>
      </c>
      <c r="M331" s="2">
        <v>0.54652777777777772</v>
      </c>
      <c r="N331" t="s">
        <v>33</v>
      </c>
      <c r="O331">
        <v>145.44</v>
      </c>
      <c r="P331">
        <v>4.7619047620000003</v>
      </c>
      <c r="Q331">
        <v>0</v>
      </c>
      <c r="R331">
        <v>7.6</v>
      </c>
      <c r="S331">
        <v>96.173500000000004</v>
      </c>
      <c r="T331">
        <v>16.840900000000001</v>
      </c>
    </row>
    <row r="332" spans="1:20" x14ac:dyDescent="0.3">
      <c r="A332" t="s">
        <v>617</v>
      </c>
      <c r="B332" t="s">
        <v>51</v>
      </c>
      <c r="C332" t="s">
        <v>318</v>
      </c>
      <c r="D332" t="s">
        <v>53</v>
      </c>
      <c r="E332" t="s">
        <v>32</v>
      </c>
      <c r="F332" t="s">
        <v>36</v>
      </c>
      <c r="G332" t="s">
        <v>77</v>
      </c>
      <c r="H332">
        <v>22.02</v>
      </c>
      <c r="I332">
        <v>13</v>
      </c>
      <c r="J332">
        <v>14.313000000000001</v>
      </c>
      <c r="K332">
        <v>286.26</v>
      </c>
      <c r="L332" s="1">
        <v>43517</v>
      </c>
      <c r="M332" s="2">
        <v>0.78333333333333333</v>
      </c>
      <c r="N332" t="s">
        <v>33</v>
      </c>
      <c r="O332">
        <v>198.18</v>
      </c>
      <c r="P332">
        <v>4.7619047620000003</v>
      </c>
      <c r="Q332">
        <v>88.08</v>
      </c>
      <c r="R332">
        <v>8.16</v>
      </c>
      <c r="S332">
        <v>96.089100000000002</v>
      </c>
      <c r="T332">
        <v>21.9588</v>
      </c>
    </row>
    <row r="333" spans="1:20" x14ac:dyDescent="0.3">
      <c r="A333" t="s">
        <v>618</v>
      </c>
      <c r="B333" t="s">
        <v>21</v>
      </c>
      <c r="C333" t="s">
        <v>376</v>
      </c>
      <c r="D333" t="s">
        <v>23</v>
      </c>
      <c r="E333" t="s">
        <v>32</v>
      </c>
      <c r="F333" t="s">
        <v>36</v>
      </c>
      <c r="G333" t="s">
        <v>26</v>
      </c>
      <c r="H333">
        <v>32.9</v>
      </c>
      <c r="I333">
        <v>3</v>
      </c>
      <c r="J333">
        <v>4.9349999999999996</v>
      </c>
      <c r="K333">
        <v>98.7</v>
      </c>
      <c r="L333" s="1">
        <v>43481</v>
      </c>
      <c r="M333" s="2">
        <v>0.7270833333333333</v>
      </c>
      <c r="N333" t="s">
        <v>37</v>
      </c>
      <c r="O333">
        <v>98.7</v>
      </c>
      <c r="P333">
        <v>4.7619047620000003</v>
      </c>
      <c r="Q333">
        <v>0</v>
      </c>
      <c r="R333">
        <v>9.1</v>
      </c>
      <c r="S333">
        <v>96.173500000000004</v>
      </c>
      <c r="T333">
        <v>16.840900000000001</v>
      </c>
    </row>
    <row r="334" spans="1:20" x14ac:dyDescent="0.3">
      <c r="A334" t="s">
        <v>619</v>
      </c>
      <c r="B334" t="s">
        <v>21</v>
      </c>
      <c r="C334" t="s">
        <v>620</v>
      </c>
      <c r="D334" t="s">
        <v>23</v>
      </c>
      <c r="E334" t="s">
        <v>32</v>
      </c>
      <c r="F334" t="s">
        <v>36</v>
      </c>
      <c r="G334" t="s">
        <v>26</v>
      </c>
      <c r="H334">
        <v>77.02</v>
      </c>
      <c r="I334">
        <v>5</v>
      </c>
      <c r="J334">
        <v>19.254999999999999</v>
      </c>
      <c r="K334">
        <v>385.1</v>
      </c>
      <c r="L334" s="1">
        <v>43713</v>
      </c>
      <c r="M334" s="2">
        <v>0.66597222222222219</v>
      </c>
      <c r="N334" t="s">
        <v>33</v>
      </c>
      <c r="O334">
        <v>385.1</v>
      </c>
      <c r="P334">
        <v>4.7619047620000003</v>
      </c>
      <c r="Q334">
        <v>0</v>
      </c>
      <c r="R334">
        <v>5.5</v>
      </c>
      <c r="S334">
        <v>96.173500000000004</v>
      </c>
      <c r="T334">
        <v>16.840900000000001</v>
      </c>
    </row>
    <row r="335" spans="1:20" x14ac:dyDescent="0.3">
      <c r="A335" t="s">
        <v>621</v>
      </c>
      <c r="B335" t="s">
        <v>21</v>
      </c>
      <c r="C335" t="s">
        <v>622</v>
      </c>
      <c r="D335" t="s">
        <v>23</v>
      </c>
      <c r="E335" t="s">
        <v>32</v>
      </c>
      <c r="F335" t="s">
        <v>36</v>
      </c>
      <c r="G335" t="s">
        <v>26</v>
      </c>
      <c r="H335">
        <v>23.48</v>
      </c>
      <c r="I335">
        <v>2</v>
      </c>
      <c r="J335">
        <f t="shared" ref="J335:J340" si="10">K335*5%</f>
        <v>2.3480000000000003</v>
      </c>
      <c r="K335">
        <v>46.96</v>
      </c>
      <c r="L335" s="1">
        <v>43574</v>
      </c>
      <c r="M335" s="2">
        <v>0.47291666666666665</v>
      </c>
      <c r="N335" t="s">
        <v>37</v>
      </c>
      <c r="O335">
        <v>46.96</v>
      </c>
      <c r="P335">
        <v>4.7619047620000003</v>
      </c>
      <c r="Q335">
        <v>0</v>
      </c>
      <c r="R335">
        <v>7.9</v>
      </c>
      <c r="S335">
        <v>96.173500000000004</v>
      </c>
      <c r="T335">
        <v>16.840900000000001</v>
      </c>
    </row>
    <row r="336" spans="1:20" x14ac:dyDescent="0.3">
      <c r="A336" t="s">
        <v>623</v>
      </c>
      <c r="B336" t="s">
        <v>29</v>
      </c>
      <c r="C336" t="s">
        <v>243</v>
      </c>
      <c r="D336" t="s">
        <v>31</v>
      </c>
      <c r="E336" t="s">
        <v>24</v>
      </c>
      <c r="F336" t="s">
        <v>36</v>
      </c>
      <c r="G336" t="s">
        <v>26</v>
      </c>
      <c r="H336">
        <v>14.7</v>
      </c>
      <c r="I336">
        <v>8</v>
      </c>
      <c r="J336">
        <f t="shared" si="10"/>
        <v>5.88</v>
      </c>
      <c r="K336">
        <v>117.6</v>
      </c>
      <c r="L336" s="1">
        <v>43665</v>
      </c>
      <c r="M336" s="2">
        <v>0.57499999999999996</v>
      </c>
      <c r="N336" t="s">
        <v>27</v>
      </c>
      <c r="O336">
        <v>73.5</v>
      </c>
      <c r="P336">
        <v>4.7619047620000003</v>
      </c>
      <c r="Q336">
        <v>44.1</v>
      </c>
      <c r="R336">
        <v>8.9250000000000007</v>
      </c>
      <c r="S336">
        <v>96.078500000000005</v>
      </c>
      <c r="T336">
        <v>19.763300000000001</v>
      </c>
    </row>
    <row r="337" spans="1:20" x14ac:dyDescent="0.3">
      <c r="A337" t="s">
        <v>624</v>
      </c>
      <c r="B337" t="s">
        <v>21</v>
      </c>
      <c r="C337" t="s">
        <v>625</v>
      </c>
      <c r="D337" t="s">
        <v>23</v>
      </c>
      <c r="E337" t="s">
        <v>24</v>
      </c>
      <c r="F337" t="s">
        <v>25</v>
      </c>
      <c r="G337" t="s">
        <v>26</v>
      </c>
      <c r="H337">
        <v>28.45</v>
      </c>
      <c r="I337">
        <v>7</v>
      </c>
      <c r="J337">
        <f t="shared" si="10"/>
        <v>9.9575000000000014</v>
      </c>
      <c r="K337">
        <v>199.15</v>
      </c>
      <c r="L337" s="1">
        <v>43563</v>
      </c>
      <c r="M337" s="2">
        <v>0.4284722222222222</v>
      </c>
      <c r="N337" t="s">
        <v>37</v>
      </c>
      <c r="O337">
        <v>142.25</v>
      </c>
      <c r="P337">
        <v>4.7619047620000003</v>
      </c>
      <c r="Q337">
        <v>56.9</v>
      </c>
      <c r="R337">
        <v>9.1</v>
      </c>
      <c r="S337">
        <v>96.173500000000004</v>
      </c>
      <c r="T337">
        <v>16.840900000000001</v>
      </c>
    </row>
    <row r="338" spans="1:20" x14ac:dyDescent="0.3">
      <c r="A338" t="s">
        <v>626</v>
      </c>
      <c r="B338" t="s">
        <v>21</v>
      </c>
      <c r="C338" t="s">
        <v>627</v>
      </c>
      <c r="D338" t="s">
        <v>23</v>
      </c>
      <c r="E338" t="s">
        <v>32</v>
      </c>
      <c r="F338" t="s">
        <v>36</v>
      </c>
      <c r="G338" t="s">
        <v>26</v>
      </c>
      <c r="H338">
        <v>76.400000000000006</v>
      </c>
      <c r="I338">
        <v>9</v>
      </c>
      <c r="J338">
        <f t="shared" si="10"/>
        <v>34.380000000000003</v>
      </c>
      <c r="K338">
        <v>687.6</v>
      </c>
      <c r="L338" s="1">
        <v>43759</v>
      </c>
      <c r="M338" s="2">
        <v>0.65902777777777777</v>
      </c>
      <c r="N338" t="s">
        <v>27</v>
      </c>
      <c r="O338">
        <v>687.6</v>
      </c>
      <c r="P338">
        <v>4.7619047620000003</v>
      </c>
      <c r="Q338">
        <v>0</v>
      </c>
      <c r="R338">
        <v>7.5</v>
      </c>
      <c r="S338">
        <v>96.173500000000004</v>
      </c>
      <c r="T338">
        <v>16.840900000000001</v>
      </c>
    </row>
    <row r="339" spans="1:20" x14ac:dyDescent="0.3">
      <c r="A339" t="s">
        <v>628</v>
      </c>
      <c r="B339" t="s">
        <v>51</v>
      </c>
      <c r="C339" t="s">
        <v>629</v>
      </c>
      <c r="D339" t="s">
        <v>53</v>
      </c>
      <c r="E339" t="s">
        <v>32</v>
      </c>
      <c r="F339" t="s">
        <v>25</v>
      </c>
      <c r="G339" t="s">
        <v>26</v>
      </c>
      <c r="H339">
        <v>57.95</v>
      </c>
      <c r="I339">
        <v>8</v>
      </c>
      <c r="J339">
        <f t="shared" si="10"/>
        <v>23.180000000000003</v>
      </c>
      <c r="K339">
        <v>463.6</v>
      </c>
      <c r="L339" s="1">
        <v>43666</v>
      </c>
      <c r="M339" s="2">
        <v>0.54305555555555551</v>
      </c>
      <c r="N339" t="s">
        <v>33</v>
      </c>
      <c r="O339">
        <v>347.7</v>
      </c>
      <c r="P339">
        <v>4.7619047620000003</v>
      </c>
      <c r="Q339">
        <v>115.9</v>
      </c>
      <c r="R339">
        <v>6.24</v>
      </c>
      <c r="S339">
        <v>96.089100000000002</v>
      </c>
      <c r="T339">
        <v>21.9588</v>
      </c>
    </row>
    <row r="340" spans="1:20" x14ac:dyDescent="0.3">
      <c r="A340" t="s">
        <v>630</v>
      </c>
      <c r="B340" t="s">
        <v>29</v>
      </c>
      <c r="C340" t="s">
        <v>631</v>
      </c>
      <c r="D340" t="s">
        <v>31</v>
      </c>
      <c r="E340" t="s">
        <v>32</v>
      </c>
      <c r="F340" t="s">
        <v>25</v>
      </c>
      <c r="G340" t="s">
        <v>26</v>
      </c>
      <c r="H340">
        <v>47.65</v>
      </c>
      <c r="I340">
        <v>4</v>
      </c>
      <c r="J340">
        <f t="shared" si="10"/>
        <v>9.5299999999999994</v>
      </c>
      <c r="K340">
        <v>190.6</v>
      </c>
      <c r="L340" s="1">
        <v>43574</v>
      </c>
      <c r="M340" s="2">
        <v>0.54027777777777775</v>
      </c>
      <c r="N340" t="s">
        <v>37</v>
      </c>
      <c r="O340">
        <v>142.94999999999999</v>
      </c>
      <c r="P340">
        <v>4.7619047620000003</v>
      </c>
      <c r="Q340">
        <v>47.65</v>
      </c>
      <c r="R340">
        <v>9.9749999999999996</v>
      </c>
      <c r="S340">
        <v>96.078500000000005</v>
      </c>
      <c r="T340">
        <v>19.763300000000001</v>
      </c>
    </row>
    <row r="341" spans="1:20" x14ac:dyDescent="0.3">
      <c r="A341" t="s">
        <v>632</v>
      </c>
      <c r="B341" t="s">
        <v>51</v>
      </c>
      <c r="C341" t="s">
        <v>633</v>
      </c>
      <c r="D341" t="s">
        <v>53</v>
      </c>
      <c r="E341" t="s">
        <v>24</v>
      </c>
      <c r="F341" t="s">
        <v>25</v>
      </c>
      <c r="G341" t="s">
        <v>26</v>
      </c>
      <c r="H341">
        <v>42.82</v>
      </c>
      <c r="I341">
        <v>18</v>
      </c>
      <c r="J341">
        <v>38.537999999999997</v>
      </c>
      <c r="K341">
        <v>770.76</v>
      </c>
      <c r="L341" s="1">
        <v>43509</v>
      </c>
      <c r="M341" s="2">
        <v>0.6430555555555556</v>
      </c>
      <c r="N341" t="s">
        <v>37</v>
      </c>
      <c r="O341">
        <v>385.38</v>
      </c>
      <c r="P341">
        <v>4.7619047620000003</v>
      </c>
      <c r="Q341">
        <v>385.38</v>
      </c>
      <c r="R341">
        <v>10</v>
      </c>
      <c r="S341">
        <v>96.089100000000002</v>
      </c>
      <c r="T341">
        <v>21.9588</v>
      </c>
    </row>
    <row r="342" spans="1:20" x14ac:dyDescent="0.3">
      <c r="A342" t="s">
        <v>634</v>
      </c>
      <c r="B342" t="s">
        <v>51</v>
      </c>
      <c r="C342" t="s">
        <v>437</v>
      </c>
      <c r="D342" t="s">
        <v>53</v>
      </c>
      <c r="E342" t="s">
        <v>24</v>
      </c>
      <c r="F342" t="s">
        <v>36</v>
      </c>
      <c r="G342" t="s">
        <v>26</v>
      </c>
      <c r="H342">
        <v>48.09</v>
      </c>
      <c r="I342">
        <v>6</v>
      </c>
      <c r="J342">
        <v>14.427</v>
      </c>
      <c r="K342">
        <v>288.54000000000002</v>
      </c>
      <c r="L342" s="1">
        <v>43748</v>
      </c>
      <c r="M342" s="2">
        <v>0.76597222222222228</v>
      </c>
      <c r="N342" t="s">
        <v>37</v>
      </c>
      <c r="O342">
        <v>144.27000000000001</v>
      </c>
      <c r="P342">
        <v>4.7619047620000003</v>
      </c>
      <c r="Q342">
        <v>144.27000000000001</v>
      </c>
      <c r="R342">
        <v>9.36</v>
      </c>
      <c r="S342">
        <v>96.089100000000002</v>
      </c>
      <c r="T342">
        <v>21.9588</v>
      </c>
    </row>
    <row r="343" spans="1:20" x14ac:dyDescent="0.3">
      <c r="A343" t="s">
        <v>635</v>
      </c>
      <c r="B343" t="s">
        <v>51</v>
      </c>
      <c r="C343" t="s">
        <v>636</v>
      </c>
      <c r="D343" t="s">
        <v>53</v>
      </c>
      <c r="E343" t="s">
        <v>24</v>
      </c>
      <c r="F343" t="s">
        <v>25</v>
      </c>
      <c r="G343" t="s">
        <v>26</v>
      </c>
      <c r="H343">
        <v>55.97</v>
      </c>
      <c r="I343">
        <v>14</v>
      </c>
      <c r="J343">
        <v>39.179000000000002</v>
      </c>
      <c r="K343">
        <v>783.58</v>
      </c>
      <c r="L343" s="1">
        <v>43651</v>
      </c>
      <c r="M343" s="2">
        <v>0.79583333333333328</v>
      </c>
      <c r="N343" t="s">
        <v>27</v>
      </c>
      <c r="O343">
        <v>391.79</v>
      </c>
      <c r="P343">
        <v>4.7619047620000003</v>
      </c>
      <c r="Q343">
        <v>391.79</v>
      </c>
      <c r="R343">
        <v>10</v>
      </c>
      <c r="S343">
        <v>96.089100000000002</v>
      </c>
      <c r="T343">
        <v>21.9588</v>
      </c>
    </row>
    <row r="344" spans="1:20" x14ac:dyDescent="0.3">
      <c r="A344" t="s">
        <v>637</v>
      </c>
      <c r="B344" t="s">
        <v>51</v>
      </c>
      <c r="C344" t="s">
        <v>356</v>
      </c>
      <c r="D344" t="s">
        <v>53</v>
      </c>
      <c r="E344" t="s">
        <v>24</v>
      </c>
      <c r="F344" t="s">
        <v>25</v>
      </c>
      <c r="G344" t="s">
        <v>26</v>
      </c>
      <c r="H344">
        <v>76.900000000000006</v>
      </c>
      <c r="I344">
        <v>14</v>
      </c>
      <c r="J344">
        <v>53.83</v>
      </c>
      <c r="K344">
        <v>1076.5999999999999</v>
      </c>
      <c r="L344" s="1">
        <v>43821</v>
      </c>
      <c r="M344" s="2">
        <v>0.84791666666666665</v>
      </c>
      <c r="N344" t="s">
        <v>33</v>
      </c>
      <c r="O344">
        <v>538.29999999999995</v>
      </c>
      <c r="P344">
        <v>4.7619047620000003</v>
      </c>
      <c r="Q344">
        <v>538.29999999999995</v>
      </c>
      <c r="R344">
        <v>9.24</v>
      </c>
      <c r="S344">
        <v>96.089100000000002</v>
      </c>
      <c r="T344">
        <v>21.9588</v>
      </c>
    </row>
    <row r="345" spans="1:20" x14ac:dyDescent="0.3">
      <c r="A345" t="s">
        <v>638</v>
      </c>
      <c r="B345" t="s">
        <v>29</v>
      </c>
      <c r="C345" t="s">
        <v>639</v>
      </c>
      <c r="D345" t="s">
        <v>31</v>
      </c>
      <c r="E345" t="s">
        <v>32</v>
      </c>
      <c r="F345" t="s">
        <v>25</v>
      </c>
      <c r="G345" t="s">
        <v>63</v>
      </c>
      <c r="H345">
        <v>97.03</v>
      </c>
      <c r="I345">
        <v>6</v>
      </c>
      <c r="J345">
        <v>29.109000000000002</v>
      </c>
      <c r="K345">
        <v>582.17999999999995</v>
      </c>
      <c r="L345" s="1">
        <v>43718</v>
      </c>
      <c r="M345" s="2">
        <v>0.68333333333333335</v>
      </c>
      <c r="N345" t="s">
        <v>27</v>
      </c>
      <c r="O345">
        <v>485.15</v>
      </c>
      <c r="P345">
        <v>4.7619047620000003</v>
      </c>
      <c r="Q345">
        <v>97.03</v>
      </c>
      <c r="R345">
        <v>9.7650000000000006</v>
      </c>
      <c r="S345">
        <v>96.078500000000005</v>
      </c>
      <c r="T345">
        <v>19.763300000000001</v>
      </c>
    </row>
    <row r="346" spans="1:20" x14ac:dyDescent="0.3">
      <c r="A346" t="s">
        <v>640</v>
      </c>
      <c r="B346" t="s">
        <v>21</v>
      </c>
      <c r="C346" t="s">
        <v>641</v>
      </c>
      <c r="D346" t="s">
        <v>23</v>
      </c>
      <c r="E346" t="s">
        <v>32</v>
      </c>
      <c r="F346" t="s">
        <v>36</v>
      </c>
      <c r="G346" t="s">
        <v>68</v>
      </c>
      <c r="H346">
        <v>44.65</v>
      </c>
      <c r="I346">
        <v>3</v>
      </c>
      <c r="J346">
        <v>6.6974999999999998</v>
      </c>
      <c r="K346">
        <v>133.94999999999999</v>
      </c>
      <c r="L346" s="1">
        <v>43663</v>
      </c>
      <c r="M346" s="2">
        <v>0.62777777777777777</v>
      </c>
      <c r="N346" t="s">
        <v>33</v>
      </c>
      <c r="O346">
        <v>133.94999999999999</v>
      </c>
      <c r="P346">
        <v>4.7619047620000003</v>
      </c>
      <c r="Q346">
        <v>0</v>
      </c>
      <c r="R346">
        <v>6.2</v>
      </c>
      <c r="S346">
        <v>96.173500000000004</v>
      </c>
      <c r="T346">
        <v>16.840900000000001</v>
      </c>
    </row>
    <row r="347" spans="1:20" x14ac:dyDescent="0.3">
      <c r="A347" t="s">
        <v>642</v>
      </c>
      <c r="B347" t="s">
        <v>21</v>
      </c>
      <c r="C347" t="s">
        <v>643</v>
      </c>
      <c r="D347" t="s">
        <v>23</v>
      </c>
      <c r="E347" t="s">
        <v>32</v>
      </c>
      <c r="F347" t="s">
        <v>25</v>
      </c>
      <c r="G347" t="s">
        <v>100</v>
      </c>
      <c r="H347">
        <v>77.930000000000007</v>
      </c>
      <c r="I347">
        <v>9</v>
      </c>
      <c r="J347">
        <v>35.0685</v>
      </c>
      <c r="K347">
        <v>701.37</v>
      </c>
      <c r="L347" s="1">
        <v>43647</v>
      </c>
      <c r="M347" s="2">
        <v>0.67361111111111116</v>
      </c>
      <c r="N347" t="s">
        <v>27</v>
      </c>
      <c r="O347">
        <v>701.37</v>
      </c>
      <c r="P347">
        <v>4.7619047620000003</v>
      </c>
      <c r="Q347">
        <v>0</v>
      </c>
      <c r="R347">
        <v>7.6</v>
      </c>
      <c r="S347">
        <v>96.173500000000004</v>
      </c>
      <c r="T347">
        <v>16.840900000000001</v>
      </c>
    </row>
    <row r="348" spans="1:20" x14ac:dyDescent="0.3">
      <c r="A348" t="s">
        <v>644</v>
      </c>
      <c r="B348" t="s">
        <v>21</v>
      </c>
      <c r="C348" t="s">
        <v>645</v>
      </c>
      <c r="D348" t="s">
        <v>23</v>
      </c>
      <c r="E348" t="s">
        <v>24</v>
      </c>
      <c r="F348" t="s">
        <v>36</v>
      </c>
      <c r="G348" t="s">
        <v>60</v>
      </c>
      <c r="H348">
        <v>71.95</v>
      </c>
      <c r="I348">
        <v>1</v>
      </c>
      <c r="J348">
        <v>3.5975000000000001</v>
      </c>
      <c r="K348">
        <v>71.95</v>
      </c>
      <c r="L348" s="1">
        <v>43720</v>
      </c>
      <c r="M348" s="2">
        <v>0.50972222222222219</v>
      </c>
      <c r="N348" t="s">
        <v>33</v>
      </c>
      <c r="O348">
        <v>71.95</v>
      </c>
      <c r="P348">
        <v>4.7619047620000003</v>
      </c>
      <c r="Q348">
        <v>0</v>
      </c>
      <c r="R348">
        <v>7.3</v>
      </c>
      <c r="S348">
        <v>96.173500000000004</v>
      </c>
      <c r="T348">
        <v>16.840900000000001</v>
      </c>
    </row>
    <row r="349" spans="1:20" x14ac:dyDescent="0.3">
      <c r="A349" t="s">
        <v>646</v>
      </c>
      <c r="B349" t="s">
        <v>29</v>
      </c>
      <c r="C349" t="s">
        <v>173</v>
      </c>
      <c r="D349" t="s">
        <v>31</v>
      </c>
      <c r="E349" t="s">
        <v>24</v>
      </c>
      <c r="F349" t="s">
        <v>25</v>
      </c>
      <c r="G349" t="s">
        <v>77</v>
      </c>
      <c r="H349">
        <v>89.25</v>
      </c>
      <c r="I349">
        <v>14</v>
      </c>
      <c r="J349">
        <v>62.475000000000001</v>
      </c>
      <c r="K349">
        <v>1249.5</v>
      </c>
      <c r="L349" s="1">
        <v>43624</v>
      </c>
      <c r="M349" s="2">
        <v>0.42569444444444443</v>
      </c>
      <c r="N349" t="s">
        <v>33</v>
      </c>
      <c r="O349">
        <v>714</v>
      </c>
      <c r="P349">
        <v>4.7619047620000003</v>
      </c>
      <c r="Q349">
        <v>535.5</v>
      </c>
      <c r="R349">
        <v>4.9349999999999996</v>
      </c>
      <c r="S349">
        <v>96.078500000000005</v>
      </c>
      <c r="T349">
        <v>19.763300000000001</v>
      </c>
    </row>
    <row r="350" spans="1:20" x14ac:dyDescent="0.3">
      <c r="A350" t="s">
        <v>647</v>
      </c>
      <c r="B350" t="s">
        <v>21</v>
      </c>
      <c r="C350" t="s">
        <v>74</v>
      </c>
      <c r="D350" t="s">
        <v>23</v>
      </c>
      <c r="E350" t="s">
        <v>32</v>
      </c>
      <c r="F350" t="s">
        <v>36</v>
      </c>
      <c r="G350" t="s">
        <v>60</v>
      </c>
      <c r="H350">
        <v>26.02</v>
      </c>
      <c r="I350">
        <v>7</v>
      </c>
      <c r="J350">
        <v>9.1069999999999993</v>
      </c>
      <c r="K350">
        <v>182.14</v>
      </c>
      <c r="L350" s="1">
        <v>43682</v>
      </c>
      <c r="M350" s="2">
        <v>0.73472222222222228</v>
      </c>
      <c r="N350" t="s">
        <v>33</v>
      </c>
      <c r="O350">
        <v>182.14</v>
      </c>
      <c r="P350">
        <v>4.7619047620000003</v>
      </c>
      <c r="Q350">
        <v>0</v>
      </c>
      <c r="R350">
        <v>5.0999999999999996</v>
      </c>
      <c r="S350">
        <v>96.173500000000004</v>
      </c>
      <c r="T350">
        <v>16.840900000000001</v>
      </c>
    </row>
    <row r="351" spans="1:20" x14ac:dyDescent="0.3">
      <c r="A351" t="s">
        <v>648</v>
      </c>
      <c r="B351" t="s">
        <v>51</v>
      </c>
      <c r="C351" t="s">
        <v>649</v>
      </c>
      <c r="D351" t="s">
        <v>53</v>
      </c>
      <c r="E351" t="s">
        <v>32</v>
      </c>
      <c r="F351" t="s">
        <v>25</v>
      </c>
      <c r="G351" t="s">
        <v>26</v>
      </c>
      <c r="H351">
        <v>13.5</v>
      </c>
      <c r="I351">
        <v>14</v>
      </c>
      <c r="J351">
        <v>9.4499999999999993</v>
      </c>
      <c r="K351">
        <v>189</v>
      </c>
      <c r="L351" s="1">
        <v>43726</v>
      </c>
      <c r="M351" s="2">
        <v>0.46250000000000002</v>
      </c>
      <c r="N351" t="s">
        <v>37</v>
      </c>
      <c r="O351">
        <v>135</v>
      </c>
      <c r="P351">
        <v>4.7619047620000003</v>
      </c>
      <c r="Q351">
        <v>54</v>
      </c>
      <c r="R351">
        <v>5.76</v>
      </c>
      <c r="S351">
        <v>96.089100000000002</v>
      </c>
      <c r="T351">
        <v>21.9588</v>
      </c>
    </row>
    <row r="352" spans="1:20" x14ac:dyDescent="0.3">
      <c r="A352" t="s">
        <v>650</v>
      </c>
      <c r="B352" t="s">
        <v>29</v>
      </c>
      <c r="C352" t="s">
        <v>651</v>
      </c>
      <c r="D352" t="s">
        <v>31</v>
      </c>
      <c r="E352" t="s">
        <v>24</v>
      </c>
      <c r="F352" t="s">
        <v>25</v>
      </c>
      <c r="G352" t="s">
        <v>100</v>
      </c>
      <c r="H352">
        <v>99.3</v>
      </c>
      <c r="I352">
        <v>17</v>
      </c>
      <c r="J352">
        <v>84.405000000000001</v>
      </c>
      <c r="K352">
        <v>1688.1</v>
      </c>
      <c r="L352" s="1">
        <v>43709</v>
      </c>
      <c r="M352" s="2">
        <v>0.62013888888888891</v>
      </c>
      <c r="N352" t="s">
        <v>37</v>
      </c>
      <c r="O352">
        <v>993</v>
      </c>
      <c r="P352">
        <v>4.7619047620000003</v>
      </c>
      <c r="Q352">
        <v>695.1</v>
      </c>
      <c r="R352">
        <v>6.93</v>
      </c>
      <c r="S352">
        <v>96.078500000000005</v>
      </c>
      <c r="T352">
        <v>19.763300000000001</v>
      </c>
    </row>
    <row r="353" spans="1:20" x14ac:dyDescent="0.3">
      <c r="A353" t="s">
        <v>652</v>
      </c>
      <c r="B353" t="s">
        <v>21</v>
      </c>
      <c r="C353" t="s">
        <v>653</v>
      </c>
      <c r="D353" t="s">
        <v>23</v>
      </c>
      <c r="E353" t="s">
        <v>32</v>
      </c>
      <c r="F353" t="s">
        <v>36</v>
      </c>
      <c r="G353" t="s">
        <v>60</v>
      </c>
      <c r="H353">
        <v>51.69</v>
      </c>
      <c r="I353">
        <v>7</v>
      </c>
      <c r="J353">
        <v>18.0915</v>
      </c>
      <c r="K353">
        <v>361.83</v>
      </c>
      <c r="L353" s="1">
        <v>43528</v>
      </c>
      <c r="M353" s="2">
        <v>0.76527777777777772</v>
      </c>
      <c r="N353" t="s">
        <v>33</v>
      </c>
      <c r="O353">
        <v>361.83</v>
      </c>
      <c r="P353">
        <v>4.7619047620000003</v>
      </c>
      <c r="Q353">
        <v>0</v>
      </c>
      <c r="R353">
        <v>5.5</v>
      </c>
      <c r="S353">
        <v>96.173500000000004</v>
      </c>
      <c r="T353">
        <v>16.840900000000001</v>
      </c>
    </row>
    <row r="354" spans="1:20" x14ac:dyDescent="0.3">
      <c r="A354" t="s">
        <v>654</v>
      </c>
      <c r="B354" t="s">
        <v>51</v>
      </c>
      <c r="C354" t="s">
        <v>134</v>
      </c>
      <c r="D354" t="s">
        <v>53</v>
      </c>
      <c r="E354" t="s">
        <v>24</v>
      </c>
      <c r="F354" t="s">
        <v>25</v>
      </c>
      <c r="G354" t="s">
        <v>100</v>
      </c>
      <c r="H354">
        <v>54.73</v>
      </c>
      <c r="I354">
        <v>14</v>
      </c>
      <c r="J354">
        <v>38.311</v>
      </c>
      <c r="K354">
        <v>766.22</v>
      </c>
      <c r="L354" s="1">
        <v>43551</v>
      </c>
      <c r="M354" s="2">
        <v>0.79305555555555551</v>
      </c>
      <c r="N354" t="s">
        <v>37</v>
      </c>
      <c r="O354">
        <v>383.11</v>
      </c>
      <c r="P354">
        <v>4.7619047620000003</v>
      </c>
      <c r="Q354">
        <v>383.11</v>
      </c>
      <c r="R354">
        <v>10</v>
      </c>
      <c r="S354">
        <v>96.089100000000002</v>
      </c>
      <c r="T354">
        <v>21.9588</v>
      </c>
    </row>
    <row r="355" spans="1:20" x14ac:dyDescent="0.3">
      <c r="A355" t="s">
        <v>655</v>
      </c>
      <c r="B355" t="s">
        <v>21</v>
      </c>
      <c r="C355" t="s">
        <v>656</v>
      </c>
      <c r="D355" t="s">
        <v>53</v>
      </c>
      <c r="E355" t="s">
        <v>24</v>
      </c>
      <c r="F355" t="s">
        <v>36</v>
      </c>
      <c r="G355" t="s">
        <v>77</v>
      </c>
      <c r="H355">
        <v>27</v>
      </c>
      <c r="I355">
        <v>18</v>
      </c>
      <c r="J355">
        <v>24.3</v>
      </c>
      <c r="K355">
        <v>486</v>
      </c>
      <c r="L355" s="1">
        <v>43613</v>
      </c>
      <c r="M355" s="2">
        <v>0.59444444444444444</v>
      </c>
      <c r="N355" t="s">
        <v>33</v>
      </c>
      <c r="O355">
        <v>243</v>
      </c>
      <c r="P355">
        <v>4.7619047620000003</v>
      </c>
      <c r="Q355">
        <v>243</v>
      </c>
      <c r="R355">
        <v>5.76</v>
      </c>
      <c r="S355">
        <v>96.089100000000002</v>
      </c>
      <c r="T355">
        <v>21.9588</v>
      </c>
    </row>
    <row r="356" spans="1:20" x14ac:dyDescent="0.3">
      <c r="A356" t="s">
        <v>657</v>
      </c>
      <c r="B356" t="s">
        <v>21</v>
      </c>
      <c r="C356" t="s">
        <v>658</v>
      </c>
      <c r="D356" t="s">
        <v>31</v>
      </c>
      <c r="E356" t="s">
        <v>32</v>
      </c>
      <c r="F356" t="s">
        <v>25</v>
      </c>
      <c r="G356" t="s">
        <v>60</v>
      </c>
      <c r="H356">
        <v>30.24</v>
      </c>
      <c r="I356">
        <v>1</v>
      </c>
      <c r="J356">
        <v>1.512</v>
      </c>
      <c r="K356">
        <v>30.24</v>
      </c>
      <c r="L356" s="1">
        <v>43819</v>
      </c>
      <c r="M356" s="2">
        <v>0.65555555555555556</v>
      </c>
      <c r="N356" t="s">
        <v>33</v>
      </c>
      <c r="O356">
        <v>30.24</v>
      </c>
      <c r="P356">
        <v>4.7619047620000003</v>
      </c>
      <c r="Q356">
        <v>0</v>
      </c>
      <c r="R356">
        <v>8.82</v>
      </c>
      <c r="S356">
        <v>96.078500000000005</v>
      </c>
      <c r="T356">
        <v>19.763300000000001</v>
      </c>
    </row>
    <row r="357" spans="1:20" x14ac:dyDescent="0.3">
      <c r="A357" t="s">
        <v>659</v>
      </c>
      <c r="B357" t="s">
        <v>21</v>
      </c>
      <c r="C357" t="s">
        <v>123</v>
      </c>
      <c r="D357" t="s">
        <v>53</v>
      </c>
      <c r="E357" t="s">
        <v>24</v>
      </c>
      <c r="F357" t="s">
        <v>25</v>
      </c>
      <c r="G357" t="s">
        <v>63</v>
      </c>
      <c r="H357">
        <v>89.14</v>
      </c>
      <c r="I357">
        <v>8</v>
      </c>
      <c r="J357">
        <v>35.655999999999999</v>
      </c>
      <c r="K357">
        <v>713.12</v>
      </c>
      <c r="L357" s="1">
        <v>43590</v>
      </c>
      <c r="M357" s="2">
        <v>0.51388888888888884</v>
      </c>
      <c r="N357" t="s">
        <v>37</v>
      </c>
      <c r="O357">
        <v>356.56</v>
      </c>
      <c r="P357">
        <v>4.7619047620000003</v>
      </c>
      <c r="Q357">
        <v>356.56</v>
      </c>
      <c r="R357">
        <v>9.36</v>
      </c>
      <c r="S357">
        <v>96.089100000000002</v>
      </c>
      <c r="T357">
        <v>21.9588</v>
      </c>
    </row>
    <row r="358" spans="1:20" x14ac:dyDescent="0.3">
      <c r="A358" t="s">
        <v>660</v>
      </c>
      <c r="B358" t="s">
        <v>21</v>
      </c>
      <c r="C358" t="s">
        <v>109</v>
      </c>
      <c r="D358" t="s">
        <v>31</v>
      </c>
      <c r="E358" t="s">
        <v>32</v>
      </c>
      <c r="F358" t="s">
        <v>25</v>
      </c>
      <c r="G358" t="s">
        <v>100</v>
      </c>
      <c r="H358">
        <v>37.549999999999997</v>
      </c>
      <c r="I358">
        <v>12</v>
      </c>
      <c r="J358">
        <v>22.53</v>
      </c>
      <c r="K358">
        <v>450.6</v>
      </c>
      <c r="L358" s="1">
        <v>43640</v>
      </c>
      <c r="M358" s="2">
        <v>0.83402777777777781</v>
      </c>
      <c r="N358" t="s">
        <v>37</v>
      </c>
      <c r="O358">
        <v>375.5</v>
      </c>
      <c r="P358">
        <v>4.7619047620000003</v>
      </c>
      <c r="Q358">
        <v>75.099999999999994</v>
      </c>
      <c r="R358">
        <v>9.7650000000000006</v>
      </c>
      <c r="S358">
        <v>96.078500000000005</v>
      </c>
      <c r="T358">
        <v>19.763300000000001</v>
      </c>
    </row>
    <row r="359" spans="1:20" x14ac:dyDescent="0.3">
      <c r="A359" t="s">
        <v>661</v>
      </c>
      <c r="B359" t="s">
        <v>21</v>
      </c>
      <c r="C359" t="s">
        <v>662</v>
      </c>
      <c r="D359" t="s">
        <v>31</v>
      </c>
      <c r="E359" t="s">
        <v>32</v>
      </c>
      <c r="F359" t="s">
        <v>25</v>
      </c>
      <c r="G359" t="s">
        <v>68</v>
      </c>
      <c r="H359">
        <v>95.44</v>
      </c>
      <c r="I359">
        <v>12</v>
      </c>
      <c r="J359">
        <v>57.264000000000003</v>
      </c>
      <c r="K359">
        <v>1145.28</v>
      </c>
      <c r="L359" s="1">
        <v>43539</v>
      </c>
      <c r="M359" s="2">
        <v>0.57291666666666663</v>
      </c>
      <c r="N359" t="s">
        <v>33</v>
      </c>
      <c r="O359">
        <v>954.4</v>
      </c>
      <c r="P359">
        <v>4.7619047620000003</v>
      </c>
      <c r="Q359">
        <v>190.88</v>
      </c>
      <c r="R359">
        <v>5.46</v>
      </c>
      <c r="S359">
        <v>96.078500000000005</v>
      </c>
      <c r="T359">
        <v>19.763300000000001</v>
      </c>
    </row>
    <row r="360" spans="1:20" x14ac:dyDescent="0.3">
      <c r="A360" t="s">
        <v>663</v>
      </c>
      <c r="B360" t="s">
        <v>21</v>
      </c>
      <c r="C360" t="s">
        <v>268</v>
      </c>
      <c r="D360" t="s">
        <v>53</v>
      </c>
      <c r="E360" t="s">
        <v>32</v>
      </c>
      <c r="F360" t="s">
        <v>36</v>
      </c>
      <c r="G360" t="s">
        <v>60</v>
      </c>
      <c r="H360">
        <v>27.5</v>
      </c>
      <c r="I360">
        <v>4</v>
      </c>
      <c r="J360">
        <v>5.5</v>
      </c>
      <c r="K360">
        <v>110</v>
      </c>
      <c r="L360" s="1">
        <v>43540</v>
      </c>
      <c r="M360" s="2">
        <v>0.65277777777777779</v>
      </c>
      <c r="N360" t="s">
        <v>27</v>
      </c>
      <c r="O360">
        <v>82.5</v>
      </c>
      <c r="P360">
        <v>4.7619047620000003</v>
      </c>
      <c r="Q360">
        <v>27.5</v>
      </c>
      <c r="R360">
        <v>7.8</v>
      </c>
      <c r="S360">
        <v>96.089100000000002</v>
      </c>
      <c r="T360">
        <v>21.9588</v>
      </c>
    </row>
    <row r="361" spans="1:20" x14ac:dyDescent="0.3">
      <c r="A361" t="s">
        <v>664</v>
      </c>
      <c r="B361" t="s">
        <v>21</v>
      </c>
      <c r="C361" t="s">
        <v>665</v>
      </c>
      <c r="D361" t="s">
        <v>53</v>
      </c>
      <c r="E361" t="s">
        <v>32</v>
      </c>
      <c r="F361" t="s">
        <v>36</v>
      </c>
      <c r="G361" t="s">
        <v>68</v>
      </c>
      <c r="H361">
        <v>74.97</v>
      </c>
      <c r="I361">
        <v>1</v>
      </c>
      <c r="J361">
        <v>3.7484999999999999</v>
      </c>
      <c r="K361">
        <v>74.97</v>
      </c>
      <c r="L361" s="1">
        <v>43600</v>
      </c>
      <c r="M361" s="2">
        <v>0.70694444444444449</v>
      </c>
      <c r="N361" t="s">
        <v>33</v>
      </c>
      <c r="O361">
        <v>74.97</v>
      </c>
      <c r="P361">
        <v>4.7619047620000003</v>
      </c>
      <c r="Q361">
        <v>0</v>
      </c>
      <c r="R361">
        <v>6.72</v>
      </c>
      <c r="S361">
        <v>96.089100000000002</v>
      </c>
      <c r="T361">
        <v>21.9588</v>
      </c>
    </row>
    <row r="362" spans="1:20" x14ac:dyDescent="0.3">
      <c r="A362" t="s">
        <v>666</v>
      </c>
      <c r="B362" t="s">
        <v>21</v>
      </c>
      <c r="C362" t="s">
        <v>262</v>
      </c>
      <c r="D362" t="s">
        <v>23</v>
      </c>
      <c r="E362" t="s">
        <v>24</v>
      </c>
      <c r="F362" t="s">
        <v>36</v>
      </c>
      <c r="G362" t="s">
        <v>63</v>
      </c>
      <c r="H362">
        <v>80.959999999999994</v>
      </c>
      <c r="I362">
        <v>11</v>
      </c>
      <c r="J362">
        <v>44.527999999999999</v>
      </c>
      <c r="K362">
        <v>890.56</v>
      </c>
      <c r="L362" s="1">
        <v>43563</v>
      </c>
      <c r="M362" s="2">
        <v>0.46666666666666667</v>
      </c>
      <c r="N362" t="s">
        <v>37</v>
      </c>
      <c r="O362">
        <v>647.67999999999995</v>
      </c>
      <c r="P362">
        <v>4.7619047620000003</v>
      </c>
      <c r="Q362">
        <v>242.88</v>
      </c>
      <c r="R362">
        <v>7.4</v>
      </c>
      <c r="S362">
        <v>96.173500000000004</v>
      </c>
      <c r="T362">
        <v>16.840900000000001</v>
      </c>
    </row>
    <row r="363" spans="1:20" x14ac:dyDescent="0.3">
      <c r="A363" t="s">
        <v>667</v>
      </c>
      <c r="B363" t="s">
        <v>21</v>
      </c>
      <c r="C363" t="s">
        <v>668</v>
      </c>
      <c r="D363" t="s">
        <v>31</v>
      </c>
      <c r="E363" t="s">
        <v>32</v>
      </c>
      <c r="F363" t="s">
        <v>25</v>
      </c>
      <c r="G363" t="s">
        <v>63</v>
      </c>
      <c r="H363">
        <v>94.47</v>
      </c>
      <c r="I363">
        <v>10</v>
      </c>
      <c r="J363">
        <v>47.234999999999999</v>
      </c>
      <c r="K363">
        <v>944.7</v>
      </c>
      <c r="L363" s="1">
        <v>43652</v>
      </c>
      <c r="M363" s="2">
        <v>0.6333333333333333</v>
      </c>
      <c r="N363" t="s">
        <v>33</v>
      </c>
      <c r="O363">
        <v>755.76</v>
      </c>
      <c r="P363">
        <v>4.7619047620000003</v>
      </c>
      <c r="Q363">
        <v>188.94</v>
      </c>
      <c r="R363">
        <v>9.5549999999999997</v>
      </c>
      <c r="S363">
        <v>96.078500000000005</v>
      </c>
      <c r="T363">
        <v>19.763300000000001</v>
      </c>
    </row>
    <row r="364" spans="1:20" x14ac:dyDescent="0.3">
      <c r="A364" t="s">
        <v>669</v>
      </c>
      <c r="B364" t="s">
        <v>21</v>
      </c>
      <c r="C364" t="s">
        <v>670</v>
      </c>
      <c r="D364" t="s">
        <v>31</v>
      </c>
      <c r="E364" t="s">
        <v>32</v>
      </c>
      <c r="F364" t="s">
        <v>36</v>
      </c>
      <c r="G364" t="s">
        <v>63</v>
      </c>
      <c r="H364">
        <v>99.79</v>
      </c>
      <c r="I364">
        <v>2</v>
      </c>
      <c r="J364">
        <v>9.9789999999999992</v>
      </c>
      <c r="K364">
        <v>199.58</v>
      </c>
      <c r="L364" s="1">
        <v>43540</v>
      </c>
      <c r="M364" s="2">
        <v>0.85902777777777772</v>
      </c>
      <c r="N364" t="s">
        <v>27</v>
      </c>
      <c r="O364">
        <v>199.58</v>
      </c>
      <c r="P364">
        <v>4.7619047620000003</v>
      </c>
      <c r="Q364">
        <v>0</v>
      </c>
      <c r="R364">
        <v>8.4</v>
      </c>
      <c r="S364">
        <v>96.078500000000005</v>
      </c>
      <c r="T364">
        <v>19.763300000000001</v>
      </c>
    </row>
    <row r="365" spans="1:20" x14ac:dyDescent="0.3">
      <c r="A365" t="s">
        <v>671</v>
      </c>
      <c r="B365" t="s">
        <v>21</v>
      </c>
      <c r="C365" t="s">
        <v>672</v>
      </c>
      <c r="D365" t="s">
        <v>23</v>
      </c>
      <c r="E365" t="s">
        <v>32</v>
      </c>
      <c r="F365" t="s">
        <v>36</v>
      </c>
      <c r="G365" t="s">
        <v>77</v>
      </c>
      <c r="H365">
        <v>73.22</v>
      </c>
      <c r="I365">
        <v>6</v>
      </c>
      <c r="J365">
        <v>21.966000000000001</v>
      </c>
      <c r="K365">
        <v>439.32</v>
      </c>
      <c r="L365" s="1">
        <v>43527</v>
      </c>
      <c r="M365" s="2">
        <v>0.73888888888888893</v>
      </c>
      <c r="N365" t="s">
        <v>33</v>
      </c>
      <c r="O365">
        <v>439.32</v>
      </c>
      <c r="P365">
        <v>4.7619047620000003</v>
      </c>
      <c r="Q365">
        <v>0</v>
      </c>
      <c r="R365">
        <v>7.2</v>
      </c>
      <c r="S365">
        <v>96.173500000000004</v>
      </c>
      <c r="T365">
        <v>16.840900000000001</v>
      </c>
    </row>
    <row r="366" spans="1:20" x14ac:dyDescent="0.3">
      <c r="A366" t="s">
        <v>673</v>
      </c>
      <c r="B366" t="s">
        <v>21</v>
      </c>
      <c r="C366" t="s">
        <v>466</v>
      </c>
      <c r="D366" t="s">
        <v>31</v>
      </c>
      <c r="E366" t="s">
        <v>32</v>
      </c>
      <c r="F366" t="s">
        <v>25</v>
      </c>
      <c r="G366" t="s">
        <v>63</v>
      </c>
      <c r="H366">
        <v>41.24</v>
      </c>
      <c r="I366">
        <v>5</v>
      </c>
      <c r="J366">
        <v>10.31</v>
      </c>
      <c r="K366">
        <v>206.2</v>
      </c>
      <c r="L366" s="1">
        <v>43736</v>
      </c>
      <c r="M366" s="2">
        <v>0.68263888888888891</v>
      </c>
      <c r="N366" t="s">
        <v>33</v>
      </c>
      <c r="O366">
        <v>164.96</v>
      </c>
      <c r="P366">
        <v>4.7619047620000003</v>
      </c>
      <c r="Q366">
        <v>41.24</v>
      </c>
      <c r="R366">
        <v>7.4550000000000001</v>
      </c>
      <c r="S366">
        <v>96.078500000000005</v>
      </c>
      <c r="T366">
        <v>19.763300000000001</v>
      </c>
    </row>
    <row r="367" spans="1:20" x14ac:dyDescent="0.3">
      <c r="A367" t="s">
        <v>674</v>
      </c>
      <c r="B367" t="s">
        <v>21</v>
      </c>
      <c r="C367" t="s">
        <v>675</v>
      </c>
      <c r="D367" t="s">
        <v>31</v>
      </c>
      <c r="E367" t="s">
        <v>32</v>
      </c>
      <c r="F367" t="s">
        <v>25</v>
      </c>
      <c r="G367" t="s">
        <v>100</v>
      </c>
      <c r="H367">
        <v>81.680000000000007</v>
      </c>
      <c r="I367">
        <v>5</v>
      </c>
      <c r="J367">
        <v>20.420000000000002</v>
      </c>
      <c r="K367">
        <v>408.4</v>
      </c>
      <c r="L367" s="1">
        <v>43494</v>
      </c>
      <c r="M367" s="2">
        <v>0.5083333333333333</v>
      </c>
      <c r="N367" t="s">
        <v>33</v>
      </c>
      <c r="O367">
        <v>326.72000000000003</v>
      </c>
      <c r="P367">
        <v>4.7619047620000003</v>
      </c>
      <c r="Q367">
        <v>81.680000000000007</v>
      </c>
      <c r="R367">
        <v>9.5549999999999997</v>
      </c>
      <c r="S367">
        <v>96.078500000000005</v>
      </c>
      <c r="T367">
        <v>19.763300000000001</v>
      </c>
    </row>
    <row r="368" spans="1:20" x14ac:dyDescent="0.3">
      <c r="A368" t="s">
        <v>676</v>
      </c>
      <c r="B368" t="s">
        <v>21</v>
      </c>
      <c r="C368" t="s">
        <v>367</v>
      </c>
      <c r="D368" t="s">
        <v>31</v>
      </c>
      <c r="E368" t="s">
        <v>32</v>
      </c>
      <c r="F368" t="s">
        <v>25</v>
      </c>
      <c r="G368" t="s">
        <v>60</v>
      </c>
      <c r="H368">
        <v>51.32</v>
      </c>
      <c r="I368">
        <v>11</v>
      </c>
      <c r="J368">
        <v>28.225999999999999</v>
      </c>
      <c r="K368">
        <v>564.52</v>
      </c>
      <c r="L368" s="1">
        <v>43517</v>
      </c>
      <c r="M368" s="2">
        <v>0.81458333333333333</v>
      </c>
      <c r="N368" t="s">
        <v>33</v>
      </c>
      <c r="O368">
        <v>461.88</v>
      </c>
      <c r="P368">
        <v>4.7619047620000003</v>
      </c>
      <c r="Q368">
        <v>102.64</v>
      </c>
      <c r="R368">
        <v>5.88</v>
      </c>
      <c r="S368">
        <v>96.078500000000005</v>
      </c>
      <c r="T368">
        <v>19.763300000000001</v>
      </c>
    </row>
    <row r="369" spans="1:20" x14ac:dyDescent="0.3">
      <c r="A369" t="s">
        <v>677</v>
      </c>
      <c r="B369" t="s">
        <v>21</v>
      </c>
      <c r="C369" t="s">
        <v>583</v>
      </c>
      <c r="D369" t="s">
        <v>23</v>
      </c>
      <c r="E369" t="s">
        <v>24</v>
      </c>
      <c r="F369" t="s">
        <v>36</v>
      </c>
      <c r="G369" t="s">
        <v>77</v>
      </c>
      <c r="H369">
        <v>65.94</v>
      </c>
      <c r="I369">
        <v>6</v>
      </c>
      <c r="J369">
        <v>19.782</v>
      </c>
      <c r="K369">
        <v>395.64</v>
      </c>
      <c r="L369" s="1">
        <v>43556</v>
      </c>
      <c r="M369" s="2">
        <v>0.43680555555555556</v>
      </c>
      <c r="N369" t="s">
        <v>33</v>
      </c>
      <c r="O369">
        <v>263.76</v>
      </c>
      <c r="P369">
        <v>4.7619047620000003</v>
      </c>
      <c r="Q369">
        <v>131.88</v>
      </c>
      <c r="R369">
        <v>6</v>
      </c>
      <c r="S369">
        <v>96.173500000000004</v>
      </c>
      <c r="T369">
        <v>16.840900000000001</v>
      </c>
    </row>
    <row r="370" spans="1:20" x14ac:dyDescent="0.3">
      <c r="A370" t="s">
        <v>678</v>
      </c>
      <c r="B370" t="s">
        <v>21</v>
      </c>
      <c r="C370" t="s">
        <v>223</v>
      </c>
      <c r="D370" t="s">
        <v>31</v>
      </c>
      <c r="E370" t="s">
        <v>32</v>
      </c>
      <c r="F370" t="s">
        <v>25</v>
      </c>
      <c r="G370" t="s">
        <v>68</v>
      </c>
      <c r="H370">
        <v>14.36</v>
      </c>
      <c r="I370">
        <v>12</v>
      </c>
      <c r="J370">
        <v>8.6159999999999997</v>
      </c>
      <c r="K370">
        <v>172.32</v>
      </c>
      <c r="L370" s="1">
        <v>43660</v>
      </c>
      <c r="M370" s="2">
        <v>0.60277777777777775</v>
      </c>
      <c r="N370" t="s">
        <v>33</v>
      </c>
      <c r="O370">
        <v>143.6</v>
      </c>
      <c r="P370">
        <v>4.7619047620000003</v>
      </c>
      <c r="Q370">
        <v>28.72</v>
      </c>
      <c r="R370">
        <v>5.67</v>
      </c>
      <c r="S370">
        <v>96.078500000000005</v>
      </c>
      <c r="T370">
        <v>19.763300000000001</v>
      </c>
    </row>
    <row r="371" spans="1:20" x14ac:dyDescent="0.3">
      <c r="A371" t="s">
        <v>679</v>
      </c>
      <c r="B371" t="s">
        <v>21</v>
      </c>
      <c r="C371" t="s">
        <v>680</v>
      </c>
      <c r="D371" t="s">
        <v>23</v>
      </c>
      <c r="E371" t="s">
        <v>24</v>
      </c>
      <c r="F371" t="s">
        <v>36</v>
      </c>
      <c r="G371" t="s">
        <v>60</v>
      </c>
      <c r="H371">
        <v>21.5</v>
      </c>
      <c r="I371">
        <v>13</v>
      </c>
      <c r="J371">
        <v>13.975</v>
      </c>
      <c r="K371">
        <v>279.5</v>
      </c>
      <c r="L371" s="1">
        <v>43497</v>
      </c>
      <c r="M371" s="2">
        <v>0.53194444444444444</v>
      </c>
      <c r="N371" t="s">
        <v>37</v>
      </c>
      <c r="O371">
        <v>193.5</v>
      </c>
      <c r="P371">
        <v>4.7619047620000003</v>
      </c>
      <c r="Q371">
        <v>86</v>
      </c>
      <c r="R371">
        <v>7.8</v>
      </c>
      <c r="S371">
        <v>96.173500000000004</v>
      </c>
      <c r="T371">
        <v>16.840900000000001</v>
      </c>
    </row>
    <row r="372" spans="1:20" x14ac:dyDescent="0.3">
      <c r="A372" t="s">
        <v>681</v>
      </c>
      <c r="B372" t="s">
        <v>21</v>
      </c>
      <c r="C372" t="s">
        <v>102</v>
      </c>
      <c r="D372" t="s">
        <v>53</v>
      </c>
      <c r="E372" t="s">
        <v>24</v>
      </c>
      <c r="F372" t="s">
        <v>25</v>
      </c>
      <c r="G372" t="s">
        <v>60</v>
      </c>
      <c r="H372">
        <v>26.26</v>
      </c>
      <c r="I372">
        <v>14</v>
      </c>
      <c r="J372">
        <v>18.382000000000001</v>
      </c>
      <c r="K372">
        <v>367.64</v>
      </c>
      <c r="L372" s="1">
        <v>43586</v>
      </c>
      <c r="M372" s="2">
        <v>0.81944444444444442</v>
      </c>
      <c r="N372" t="s">
        <v>33</v>
      </c>
      <c r="O372">
        <v>183.82</v>
      </c>
      <c r="P372">
        <v>4.7619047620000003</v>
      </c>
      <c r="Q372">
        <v>183.82</v>
      </c>
      <c r="R372">
        <v>10</v>
      </c>
      <c r="S372">
        <v>96.089100000000002</v>
      </c>
      <c r="T372">
        <v>21.9588</v>
      </c>
    </row>
    <row r="373" spans="1:20" x14ac:dyDescent="0.3">
      <c r="A373" t="s">
        <v>682</v>
      </c>
      <c r="B373" t="s">
        <v>21</v>
      </c>
      <c r="C373" t="s">
        <v>83</v>
      </c>
      <c r="D373" t="s">
        <v>53</v>
      </c>
      <c r="E373" t="s">
        <v>32</v>
      </c>
      <c r="F373" t="s">
        <v>25</v>
      </c>
      <c r="G373" t="s">
        <v>100</v>
      </c>
      <c r="H373">
        <v>60.96</v>
      </c>
      <c r="I373">
        <v>3</v>
      </c>
      <c r="J373">
        <v>9.1440000000000001</v>
      </c>
      <c r="K373">
        <v>182.88</v>
      </c>
      <c r="L373" s="1">
        <v>43690</v>
      </c>
      <c r="M373" s="2">
        <v>0.81874999999999998</v>
      </c>
      <c r="N373" t="s">
        <v>37</v>
      </c>
      <c r="O373">
        <v>121.92</v>
      </c>
      <c r="P373">
        <v>4.7619047620000003</v>
      </c>
      <c r="Q373">
        <v>60.96</v>
      </c>
      <c r="R373">
        <v>5.88</v>
      </c>
      <c r="S373">
        <v>96.089100000000002</v>
      </c>
      <c r="T373">
        <v>21.9588</v>
      </c>
    </row>
    <row r="374" spans="1:20" x14ac:dyDescent="0.3">
      <c r="A374" t="s">
        <v>683</v>
      </c>
      <c r="B374" t="s">
        <v>21</v>
      </c>
      <c r="C374" t="s">
        <v>47</v>
      </c>
      <c r="D374" t="s">
        <v>31</v>
      </c>
      <c r="E374" t="s">
        <v>32</v>
      </c>
      <c r="F374" t="s">
        <v>25</v>
      </c>
      <c r="G374" t="s">
        <v>77</v>
      </c>
      <c r="H374">
        <v>70.11</v>
      </c>
      <c r="I374">
        <v>7</v>
      </c>
      <c r="J374">
        <v>24.538499999999999</v>
      </c>
      <c r="K374">
        <v>490.77</v>
      </c>
      <c r="L374" s="1">
        <v>43722</v>
      </c>
      <c r="M374" s="2">
        <v>0.74583333333333335</v>
      </c>
      <c r="N374" t="s">
        <v>27</v>
      </c>
      <c r="O374">
        <v>420.66</v>
      </c>
      <c r="P374">
        <v>4.7619047620000003</v>
      </c>
      <c r="Q374">
        <v>70.11</v>
      </c>
      <c r="R374">
        <v>5.46</v>
      </c>
      <c r="S374">
        <v>96.078500000000005</v>
      </c>
      <c r="T374">
        <v>19.763300000000001</v>
      </c>
    </row>
    <row r="375" spans="1:20" x14ac:dyDescent="0.3">
      <c r="A375" t="s">
        <v>684</v>
      </c>
      <c r="B375" t="s">
        <v>21</v>
      </c>
      <c r="C375" t="s">
        <v>685</v>
      </c>
      <c r="D375" t="s">
        <v>31</v>
      </c>
      <c r="E375" t="s">
        <v>32</v>
      </c>
      <c r="F375" t="s">
        <v>36</v>
      </c>
      <c r="G375" t="s">
        <v>100</v>
      </c>
      <c r="H375">
        <v>42.08</v>
      </c>
      <c r="I375">
        <v>7</v>
      </c>
      <c r="J375">
        <v>14.728</v>
      </c>
      <c r="K375">
        <v>294.56</v>
      </c>
      <c r="L375" s="1">
        <v>43747</v>
      </c>
      <c r="M375" s="2">
        <v>0.51736111111111116</v>
      </c>
      <c r="N375" t="s">
        <v>33</v>
      </c>
      <c r="O375">
        <v>252.48</v>
      </c>
      <c r="P375">
        <v>4.7619047620000003</v>
      </c>
      <c r="Q375">
        <v>42.08</v>
      </c>
      <c r="R375">
        <v>9.3450000000000006</v>
      </c>
      <c r="S375">
        <v>96.078500000000005</v>
      </c>
      <c r="T375">
        <v>19.763300000000001</v>
      </c>
    </row>
    <row r="376" spans="1:20" x14ac:dyDescent="0.3">
      <c r="A376" t="s">
        <v>686</v>
      </c>
      <c r="B376" t="s">
        <v>21</v>
      </c>
      <c r="C376" t="s">
        <v>687</v>
      </c>
      <c r="D376" t="s">
        <v>23</v>
      </c>
      <c r="E376" t="s">
        <v>32</v>
      </c>
      <c r="F376" t="s">
        <v>25</v>
      </c>
      <c r="G376" t="s">
        <v>77</v>
      </c>
      <c r="H376">
        <v>67.09</v>
      </c>
      <c r="I376">
        <v>5</v>
      </c>
      <c r="J376">
        <v>16.772500000000001</v>
      </c>
      <c r="K376">
        <v>335.45</v>
      </c>
      <c r="L376" s="1">
        <v>43755</v>
      </c>
      <c r="M376" s="2">
        <v>0.69930555555555551</v>
      </c>
      <c r="N376" t="s">
        <v>37</v>
      </c>
      <c r="O376">
        <v>335.45</v>
      </c>
      <c r="P376">
        <v>4.7619047620000003</v>
      </c>
      <c r="Q376">
        <v>0</v>
      </c>
      <c r="R376">
        <v>9.1</v>
      </c>
      <c r="S376">
        <v>96.173500000000004</v>
      </c>
      <c r="T376">
        <v>16.840900000000001</v>
      </c>
    </row>
    <row r="377" spans="1:20" x14ac:dyDescent="0.3">
      <c r="A377" t="s">
        <v>688</v>
      </c>
      <c r="B377" t="s">
        <v>21</v>
      </c>
      <c r="C377" t="s">
        <v>689</v>
      </c>
      <c r="D377" t="s">
        <v>23</v>
      </c>
      <c r="E377" t="s">
        <v>24</v>
      </c>
      <c r="F377" t="s">
        <v>25</v>
      </c>
      <c r="G377" t="s">
        <v>100</v>
      </c>
      <c r="H377">
        <v>96.7</v>
      </c>
      <c r="I377">
        <v>7</v>
      </c>
      <c r="J377">
        <v>33.844999999999999</v>
      </c>
      <c r="K377">
        <v>676.9</v>
      </c>
      <c r="L377" s="1">
        <v>43681</v>
      </c>
      <c r="M377" s="2">
        <v>0.53611111111111109</v>
      </c>
      <c r="N377" t="s">
        <v>27</v>
      </c>
      <c r="O377">
        <v>483.5</v>
      </c>
      <c r="P377">
        <v>4.7619047620000003</v>
      </c>
      <c r="Q377">
        <v>193.4</v>
      </c>
      <c r="R377">
        <v>7.46</v>
      </c>
      <c r="S377">
        <v>96.173500000000004</v>
      </c>
      <c r="T377">
        <v>16.840900000000001</v>
      </c>
    </row>
    <row r="378" spans="1:20" x14ac:dyDescent="0.3">
      <c r="A378" t="s">
        <v>690</v>
      </c>
      <c r="B378" t="s">
        <v>21</v>
      </c>
      <c r="C378" t="s">
        <v>286</v>
      </c>
      <c r="D378" t="s">
        <v>53</v>
      </c>
      <c r="E378" t="s">
        <v>24</v>
      </c>
      <c r="F378" t="s">
        <v>25</v>
      </c>
      <c r="G378" t="s">
        <v>26</v>
      </c>
      <c r="H378">
        <v>35.380000000000003</v>
      </c>
      <c r="I378">
        <v>18</v>
      </c>
      <c r="J378">
        <v>31.841999999999999</v>
      </c>
      <c r="K378">
        <v>636.84</v>
      </c>
      <c r="L378" s="1">
        <v>43819</v>
      </c>
      <c r="M378" s="2">
        <v>0.82638888888888884</v>
      </c>
      <c r="N378" t="s">
        <v>37</v>
      </c>
      <c r="O378">
        <v>318.42</v>
      </c>
      <c r="P378">
        <v>4.7619047620000003</v>
      </c>
      <c r="Q378">
        <v>318.42</v>
      </c>
      <c r="R378">
        <v>7.46</v>
      </c>
      <c r="S378">
        <v>96.089100000000002</v>
      </c>
      <c r="T378">
        <v>21.9588</v>
      </c>
    </row>
    <row r="379" spans="1:20" x14ac:dyDescent="0.3">
      <c r="A379" t="s">
        <v>691</v>
      </c>
      <c r="B379" t="s">
        <v>21</v>
      </c>
      <c r="C379" t="s">
        <v>195</v>
      </c>
      <c r="D379" t="s">
        <v>31</v>
      </c>
      <c r="E379" t="s">
        <v>32</v>
      </c>
      <c r="F379" t="s">
        <v>36</v>
      </c>
      <c r="G379" t="s">
        <v>26</v>
      </c>
      <c r="H379">
        <v>95.49</v>
      </c>
      <c r="I379">
        <v>8</v>
      </c>
      <c r="J379">
        <v>38.195999999999998</v>
      </c>
      <c r="K379">
        <v>763.92</v>
      </c>
      <c r="L379" s="1">
        <v>43689</v>
      </c>
      <c r="M379" s="2">
        <v>0.76180555555555551</v>
      </c>
      <c r="N379" t="s">
        <v>27</v>
      </c>
      <c r="O379">
        <v>668.43</v>
      </c>
      <c r="P379">
        <v>4.7619047620000003</v>
      </c>
      <c r="Q379">
        <v>95.49</v>
      </c>
      <c r="R379">
        <v>7.46</v>
      </c>
      <c r="S379">
        <v>96.078500000000005</v>
      </c>
      <c r="T379">
        <v>19.763300000000001</v>
      </c>
    </row>
    <row r="380" spans="1:20" x14ac:dyDescent="0.3">
      <c r="A380" t="s">
        <v>692</v>
      </c>
      <c r="B380" t="s">
        <v>21</v>
      </c>
      <c r="C380" t="s">
        <v>323</v>
      </c>
      <c r="D380" t="s">
        <v>31</v>
      </c>
      <c r="E380" t="s">
        <v>24</v>
      </c>
      <c r="F380" t="s">
        <v>36</v>
      </c>
      <c r="G380" t="s">
        <v>26</v>
      </c>
      <c r="H380">
        <v>96.98</v>
      </c>
      <c r="I380">
        <v>7</v>
      </c>
      <c r="J380">
        <v>33.942999999999998</v>
      </c>
      <c r="K380">
        <v>678.86</v>
      </c>
      <c r="L380" s="1">
        <v>43614</v>
      </c>
      <c r="M380" s="2">
        <v>0.72222222222222221</v>
      </c>
      <c r="N380" t="s">
        <v>27</v>
      </c>
      <c r="O380">
        <v>387.92</v>
      </c>
      <c r="P380">
        <v>4.7619047620000003</v>
      </c>
      <c r="Q380">
        <v>290.94</v>
      </c>
      <c r="R380">
        <v>7.46</v>
      </c>
      <c r="S380">
        <v>96.078500000000005</v>
      </c>
      <c r="T380">
        <v>19.763300000000001</v>
      </c>
    </row>
    <row r="381" spans="1:20" x14ac:dyDescent="0.3">
      <c r="A381" t="s">
        <v>693</v>
      </c>
      <c r="B381" t="s">
        <v>21</v>
      </c>
      <c r="C381" t="s">
        <v>57</v>
      </c>
      <c r="D381" t="s">
        <v>53</v>
      </c>
      <c r="E381" t="s">
        <v>32</v>
      </c>
      <c r="F381" t="s">
        <v>25</v>
      </c>
      <c r="G381" t="s">
        <v>26</v>
      </c>
      <c r="H381">
        <v>23.65</v>
      </c>
      <c r="I381">
        <v>6</v>
      </c>
      <c r="J381">
        <v>7.0949999999999998</v>
      </c>
      <c r="K381">
        <v>141.9</v>
      </c>
      <c r="L381" s="1">
        <v>43680</v>
      </c>
      <c r="M381" s="2">
        <v>0.56388888888888888</v>
      </c>
      <c r="N381" t="s">
        <v>37</v>
      </c>
      <c r="O381">
        <v>94.6</v>
      </c>
      <c r="P381">
        <v>4.7619047620000003</v>
      </c>
      <c r="Q381">
        <v>47.3</v>
      </c>
      <c r="R381">
        <v>7.46</v>
      </c>
      <c r="S381">
        <v>96.089100000000002</v>
      </c>
      <c r="T381">
        <v>21.9588</v>
      </c>
    </row>
    <row r="382" spans="1:20" x14ac:dyDescent="0.3">
      <c r="A382" t="s">
        <v>694</v>
      </c>
      <c r="B382" t="s">
        <v>21</v>
      </c>
      <c r="C382" t="s">
        <v>432</v>
      </c>
      <c r="D382" t="s">
        <v>23</v>
      </c>
      <c r="E382" t="s">
        <v>24</v>
      </c>
      <c r="F382" t="s">
        <v>36</v>
      </c>
      <c r="G382" t="s">
        <v>26</v>
      </c>
      <c r="H382">
        <v>82.33</v>
      </c>
      <c r="I382">
        <v>6</v>
      </c>
      <c r="J382">
        <v>24.699000000000002</v>
      </c>
      <c r="K382">
        <v>493.98</v>
      </c>
      <c r="L382" s="1">
        <v>43673</v>
      </c>
      <c r="M382" s="2">
        <v>0.44236111111111109</v>
      </c>
      <c r="N382" t="s">
        <v>37</v>
      </c>
      <c r="O382">
        <v>329.32</v>
      </c>
      <c r="P382">
        <v>4.7619047620000003</v>
      </c>
      <c r="Q382">
        <v>164.66</v>
      </c>
      <c r="R382">
        <v>7.46</v>
      </c>
      <c r="S382">
        <v>96.173500000000004</v>
      </c>
      <c r="T382">
        <v>16.840900000000001</v>
      </c>
    </row>
    <row r="383" spans="1:20" x14ac:dyDescent="0.3">
      <c r="A383" t="s">
        <v>695</v>
      </c>
      <c r="B383" t="s">
        <v>21</v>
      </c>
      <c r="C383" t="s">
        <v>696</v>
      </c>
      <c r="D383" t="s">
        <v>31</v>
      </c>
      <c r="E383" t="s">
        <v>32</v>
      </c>
      <c r="F383" t="s">
        <v>25</v>
      </c>
      <c r="G383" t="s">
        <v>26</v>
      </c>
      <c r="H383">
        <v>26.61</v>
      </c>
      <c r="I383">
        <v>2</v>
      </c>
      <c r="J383">
        <v>2.661</v>
      </c>
      <c r="K383">
        <v>53.22</v>
      </c>
      <c r="L383" s="1">
        <v>43758</v>
      </c>
      <c r="M383" s="2">
        <v>0.60763888888888884</v>
      </c>
      <c r="N383" t="s">
        <v>33</v>
      </c>
      <c r="O383">
        <v>53.22</v>
      </c>
      <c r="P383">
        <v>4.7619047620000003</v>
      </c>
      <c r="Q383">
        <v>0</v>
      </c>
      <c r="R383">
        <v>7.46</v>
      </c>
      <c r="S383">
        <v>96.078500000000005</v>
      </c>
      <c r="T383">
        <v>19.763300000000001</v>
      </c>
    </row>
    <row r="384" spans="1:20" x14ac:dyDescent="0.3">
      <c r="A384" t="s">
        <v>697</v>
      </c>
      <c r="B384" t="s">
        <v>21</v>
      </c>
      <c r="C384" t="s">
        <v>83</v>
      </c>
      <c r="D384" t="s">
        <v>53</v>
      </c>
      <c r="E384" t="s">
        <v>32</v>
      </c>
      <c r="F384" t="s">
        <v>25</v>
      </c>
      <c r="G384" t="s">
        <v>26</v>
      </c>
      <c r="H384">
        <v>99.69</v>
      </c>
      <c r="I384">
        <v>7</v>
      </c>
      <c r="J384">
        <v>34.891500000000001</v>
      </c>
      <c r="K384">
        <v>697.83</v>
      </c>
      <c r="L384" s="1">
        <v>43830</v>
      </c>
      <c r="M384" s="2">
        <v>0.50624999999999998</v>
      </c>
      <c r="N384" t="s">
        <v>33</v>
      </c>
      <c r="O384">
        <v>498.45</v>
      </c>
      <c r="P384">
        <v>4.7619047620000003</v>
      </c>
      <c r="Q384">
        <v>199.38</v>
      </c>
      <c r="R384">
        <v>7.46</v>
      </c>
      <c r="S384">
        <v>96.089100000000002</v>
      </c>
      <c r="T384">
        <v>21.9588</v>
      </c>
    </row>
    <row r="385" spans="1:20" x14ac:dyDescent="0.3">
      <c r="A385" t="s">
        <v>698</v>
      </c>
      <c r="B385" t="s">
        <v>21</v>
      </c>
      <c r="C385" t="s">
        <v>696</v>
      </c>
      <c r="D385" t="s">
        <v>31</v>
      </c>
      <c r="E385" t="s">
        <v>24</v>
      </c>
      <c r="F385" t="s">
        <v>25</v>
      </c>
      <c r="G385" t="s">
        <v>26</v>
      </c>
      <c r="H385">
        <v>74.89</v>
      </c>
      <c r="I385">
        <v>7</v>
      </c>
      <c r="J385">
        <v>26.211500000000001</v>
      </c>
      <c r="K385">
        <v>524.23</v>
      </c>
      <c r="L385" s="1">
        <v>43750</v>
      </c>
      <c r="M385" s="2">
        <v>0.64722222222222225</v>
      </c>
      <c r="N385" t="s">
        <v>27</v>
      </c>
      <c r="O385">
        <v>299.56</v>
      </c>
      <c r="P385">
        <v>4.7619047620000003</v>
      </c>
      <c r="Q385">
        <v>224.67</v>
      </c>
      <c r="R385">
        <v>4.41</v>
      </c>
      <c r="S385">
        <v>96.078500000000005</v>
      </c>
      <c r="T385">
        <v>19.763300000000001</v>
      </c>
    </row>
    <row r="386" spans="1:20" x14ac:dyDescent="0.3">
      <c r="A386" t="s">
        <v>699</v>
      </c>
      <c r="B386" t="s">
        <v>21</v>
      </c>
      <c r="C386" t="s">
        <v>700</v>
      </c>
      <c r="D386" t="s">
        <v>23</v>
      </c>
      <c r="E386" t="s">
        <v>32</v>
      </c>
      <c r="F386" t="s">
        <v>25</v>
      </c>
      <c r="G386" t="s">
        <v>26</v>
      </c>
      <c r="H386">
        <v>40.94</v>
      </c>
      <c r="I386">
        <v>5</v>
      </c>
      <c r="J386">
        <v>10.234999999999999</v>
      </c>
      <c r="K386">
        <v>204.7</v>
      </c>
      <c r="L386" s="1">
        <v>43470</v>
      </c>
      <c r="M386" s="2">
        <v>0.58194444444444449</v>
      </c>
      <c r="N386" t="s">
        <v>27</v>
      </c>
      <c r="O386">
        <v>204.7</v>
      </c>
      <c r="P386">
        <v>4.7619047620000003</v>
      </c>
      <c r="Q386">
        <v>0</v>
      </c>
      <c r="R386">
        <v>9.9</v>
      </c>
      <c r="S386">
        <v>96.173500000000004</v>
      </c>
      <c r="T386">
        <v>16.840900000000001</v>
      </c>
    </row>
    <row r="387" spans="1:20" x14ac:dyDescent="0.3">
      <c r="A387" t="s">
        <v>701</v>
      </c>
      <c r="B387" t="s">
        <v>21</v>
      </c>
      <c r="C387" t="s">
        <v>99</v>
      </c>
      <c r="D387" t="s">
        <v>53</v>
      </c>
      <c r="E387" t="s">
        <v>24</v>
      </c>
      <c r="F387" t="s">
        <v>36</v>
      </c>
      <c r="G387" t="s">
        <v>26</v>
      </c>
      <c r="H387">
        <v>75.819999999999993</v>
      </c>
      <c r="I387">
        <v>1</v>
      </c>
      <c r="J387">
        <v>3.7909999999999999</v>
      </c>
      <c r="K387">
        <v>75.819999999999993</v>
      </c>
      <c r="L387" s="1">
        <v>43648</v>
      </c>
      <c r="M387" s="2">
        <v>0.55486111111111114</v>
      </c>
      <c r="N387" t="s">
        <v>33</v>
      </c>
      <c r="O387">
        <v>75.819999999999993</v>
      </c>
      <c r="P387">
        <v>4.7619047620000003</v>
      </c>
      <c r="Q387">
        <v>0</v>
      </c>
      <c r="R387">
        <v>6.96</v>
      </c>
      <c r="S387">
        <v>96.089100000000002</v>
      </c>
      <c r="T387">
        <v>21.9588</v>
      </c>
    </row>
    <row r="388" spans="1:20" x14ac:dyDescent="0.3">
      <c r="A388" t="s">
        <v>702</v>
      </c>
      <c r="B388" t="s">
        <v>21</v>
      </c>
      <c r="C388" t="s">
        <v>158</v>
      </c>
      <c r="D388" t="s">
        <v>31</v>
      </c>
      <c r="E388" t="s">
        <v>32</v>
      </c>
      <c r="F388" t="s">
        <v>36</v>
      </c>
      <c r="G388" t="s">
        <v>26</v>
      </c>
      <c r="H388">
        <v>46.77</v>
      </c>
      <c r="I388">
        <v>7</v>
      </c>
      <c r="J388">
        <v>16.369499999999999</v>
      </c>
      <c r="K388">
        <v>327.39</v>
      </c>
      <c r="L388" s="1">
        <v>43599</v>
      </c>
      <c r="M388" s="2">
        <v>0.56736111111111109</v>
      </c>
      <c r="N388" t="s">
        <v>33</v>
      </c>
      <c r="O388">
        <v>280.62</v>
      </c>
      <c r="P388">
        <v>4.7619047620000003</v>
      </c>
      <c r="Q388">
        <v>46.77</v>
      </c>
      <c r="R388">
        <v>6.3</v>
      </c>
      <c r="S388">
        <v>96.078500000000005</v>
      </c>
      <c r="T388">
        <v>19.763300000000001</v>
      </c>
    </row>
    <row r="389" spans="1:20" x14ac:dyDescent="0.3">
      <c r="A389" t="s">
        <v>703</v>
      </c>
      <c r="B389" t="s">
        <v>21</v>
      </c>
      <c r="C389" t="s">
        <v>462</v>
      </c>
      <c r="D389" t="s">
        <v>23</v>
      </c>
      <c r="E389" t="s">
        <v>32</v>
      </c>
      <c r="F389" t="s">
        <v>25</v>
      </c>
      <c r="G389" t="s">
        <v>26</v>
      </c>
      <c r="H389">
        <v>32.32</v>
      </c>
      <c r="I389">
        <v>10</v>
      </c>
      <c r="J389">
        <v>16.16</v>
      </c>
      <c r="K389">
        <v>323.2</v>
      </c>
      <c r="L389" s="1">
        <v>43614</v>
      </c>
      <c r="M389" s="2">
        <v>0.7006944444444444</v>
      </c>
      <c r="N389" t="s">
        <v>37</v>
      </c>
      <c r="O389">
        <v>323.2</v>
      </c>
      <c r="P389">
        <v>4.7619047620000003</v>
      </c>
      <c r="Q389">
        <v>0</v>
      </c>
      <c r="R389">
        <v>10</v>
      </c>
      <c r="S389">
        <v>96.173500000000004</v>
      </c>
      <c r="T389">
        <v>16.840900000000001</v>
      </c>
    </row>
    <row r="390" spans="1:20" x14ac:dyDescent="0.3">
      <c r="A390" t="s">
        <v>704</v>
      </c>
      <c r="B390" t="s">
        <v>21</v>
      </c>
      <c r="C390" t="s">
        <v>419</v>
      </c>
      <c r="D390" t="s">
        <v>31</v>
      </c>
      <c r="E390" t="s">
        <v>24</v>
      </c>
      <c r="F390" t="s">
        <v>25</v>
      </c>
      <c r="G390" t="s">
        <v>26</v>
      </c>
      <c r="H390">
        <v>54.07</v>
      </c>
      <c r="I390">
        <v>15</v>
      </c>
      <c r="J390">
        <v>40.552500000000002</v>
      </c>
      <c r="K390">
        <v>811.05</v>
      </c>
      <c r="L390" s="1">
        <v>43739</v>
      </c>
      <c r="M390" s="2">
        <v>0.62152777777777779</v>
      </c>
      <c r="N390" t="s">
        <v>27</v>
      </c>
      <c r="O390">
        <v>486.63</v>
      </c>
      <c r="P390">
        <v>4.7619047620000003</v>
      </c>
      <c r="Q390">
        <v>324.42</v>
      </c>
      <c r="R390">
        <v>9.9749999999999996</v>
      </c>
      <c r="S390">
        <v>96.078500000000005</v>
      </c>
      <c r="T390">
        <v>19.763300000000001</v>
      </c>
    </row>
    <row r="391" spans="1:20" x14ac:dyDescent="0.3">
      <c r="A391" t="s">
        <v>705</v>
      </c>
      <c r="B391" t="s">
        <v>21</v>
      </c>
      <c r="C391" t="s">
        <v>706</v>
      </c>
      <c r="D391" t="s">
        <v>53</v>
      </c>
      <c r="E391" t="s">
        <v>32</v>
      </c>
      <c r="F391" t="s">
        <v>36</v>
      </c>
      <c r="G391" t="s">
        <v>26</v>
      </c>
      <c r="H391">
        <v>18.22</v>
      </c>
      <c r="I391">
        <v>10</v>
      </c>
      <c r="J391">
        <v>9.11</v>
      </c>
      <c r="K391">
        <v>182.2</v>
      </c>
      <c r="L391" s="1">
        <v>43740</v>
      </c>
      <c r="M391" s="2">
        <v>0.58611111111111114</v>
      </c>
      <c r="N391" t="s">
        <v>37</v>
      </c>
      <c r="O391">
        <v>127.54</v>
      </c>
      <c r="P391">
        <v>4.7619047620000003</v>
      </c>
      <c r="Q391">
        <v>54.66</v>
      </c>
      <c r="R391">
        <v>7.92</v>
      </c>
      <c r="S391">
        <v>96.089100000000002</v>
      </c>
      <c r="T391">
        <v>21.9588</v>
      </c>
    </row>
    <row r="392" spans="1:20" x14ac:dyDescent="0.3">
      <c r="A392" t="s">
        <v>707</v>
      </c>
      <c r="B392" t="s">
        <v>21</v>
      </c>
      <c r="C392" t="s">
        <v>449</v>
      </c>
      <c r="D392" t="s">
        <v>31</v>
      </c>
      <c r="E392" t="s">
        <v>24</v>
      </c>
      <c r="F392" t="s">
        <v>25</v>
      </c>
      <c r="G392" t="s">
        <v>26</v>
      </c>
      <c r="H392">
        <v>80.48</v>
      </c>
      <c r="I392">
        <v>6</v>
      </c>
      <c r="J392">
        <v>24.143999999999998</v>
      </c>
      <c r="K392">
        <v>482.88</v>
      </c>
      <c r="L392" s="1">
        <v>43542</v>
      </c>
      <c r="M392" s="2">
        <v>0.52152777777777781</v>
      </c>
      <c r="N392" t="s">
        <v>33</v>
      </c>
      <c r="O392">
        <v>241.44</v>
      </c>
      <c r="P392">
        <v>4.7619047620000003</v>
      </c>
      <c r="Q392">
        <v>241.44</v>
      </c>
      <c r="R392">
        <v>8.5050000000000008</v>
      </c>
      <c r="S392">
        <v>96.078500000000005</v>
      </c>
      <c r="T392">
        <v>19.763300000000001</v>
      </c>
    </row>
    <row r="393" spans="1:20" x14ac:dyDescent="0.3">
      <c r="A393" t="s">
        <v>708</v>
      </c>
      <c r="B393" t="s">
        <v>21</v>
      </c>
      <c r="C393" t="s">
        <v>81</v>
      </c>
      <c r="D393" t="s">
        <v>53</v>
      </c>
      <c r="E393" t="s">
        <v>32</v>
      </c>
      <c r="F393" t="s">
        <v>25</v>
      </c>
      <c r="G393" t="s">
        <v>26</v>
      </c>
      <c r="H393">
        <v>37.950000000000003</v>
      </c>
      <c r="I393">
        <v>14</v>
      </c>
      <c r="J393">
        <v>26.565000000000001</v>
      </c>
      <c r="K393">
        <v>531.29999999999995</v>
      </c>
      <c r="L393" s="1">
        <v>43617</v>
      </c>
      <c r="M393" s="2">
        <v>0.61875000000000002</v>
      </c>
      <c r="N393" t="s">
        <v>33</v>
      </c>
      <c r="O393">
        <v>379.5</v>
      </c>
      <c r="P393">
        <v>4.7619047620000003</v>
      </c>
      <c r="Q393">
        <v>151.80000000000001</v>
      </c>
      <c r="R393">
        <v>10</v>
      </c>
      <c r="S393">
        <v>96.089100000000002</v>
      </c>
      <c r="T393">
        <v>21.9588</v>
      </c>
    </row>
    <row r="394" spans="1:20" x14ac:dyDescent="0.3">
      <c r="A394" t="s">
        <v>709</v>
      </c>
      <c r="B394" t="s">
        <v>21</v>
      </c>
      <c r="C394" t="s">
        <v>710</v>
      </c>
      <c r="D394" t="s">
        <v>23</v>
      </c>
      <c r="E394" t="s">
        <v>24</v>
      </c>
      <c r="F394" t="s">
        <v>36</v>
      </c>
      <c r="G394" t="s">
        <v>26</v>
      </c>
      <c r="H394">
        <v>76.819999999999993</v>
      </c>
      <c r="I394">
        <v>1</v>
      </c>
      <c r="J394">
        <v>3.8410000000000002</v>
      </c>
      <c r="K394">
        <v>76.819999999999993</v>
      </c>
      <c r="L394" s="1">
        <v>43750</v>
      </c>
      <c r="M394" s="2">
        <v>0.76875000000000004</v>
      </c>
      <c r="N394" t="s">
        <v>27</v>
      </c>
      <c r="O394">
        <v>76.819999999999993</v>
      </c>
      <c r="P394">
        <v>4.7619047620000003</v>
      </c>
      <c r="Q394">
        <v>0</v>
      </c>
      <c r="R394">
        <v>7.2</v>
      </c>
      <c r="S394">
        <v>96.173500000000004</v>
      </c>
      <c r="T394">
        <v>16.840900000000001</v>
      </c>
    </row>
    <row r="395" spans="1:20" x14ac:dyDescent="0.3">
      <c r="A395" t="s">
        <v>711</v>
      </c>
      <c r="B395" t="s">
        <v>21</v>
      </c>
      <c r="C395" t="s">
        <v>712</v>
      </c>
      <c r="D395" t="s">
        <v>23</v>
      </c>
      <c r="E395" t="s">
        <v>24</v>
      </c>
      <c r="F395" t="s">
        <v>25</v>
      </c>
      <c r="G395" t="s">
        <v>26</v>
      </c>
      <c r="H395">
        <v>52.26</v>
      </c>
      <c r="I395">
        <v>14</v>
      </c>
      <c r="J395">
        <v>36.582000000000001</v>
      </c>
      <c r="K395">
        <v>731.64</v>
      </c>
      <c r="L395" s="1">
        <v>43539</v>
      </c>
      <c r="M395" s="2">
        <v>0.53125</v>
      </c>
      <c r="N395" t="s">
        <v>37</v>
      </c>
      <c r="O395">
        <v>522.6</v>
      </c>
      <c r="P395">
        <v>4.7619047620000003</v>
      </c>
      <c r="Q395">
        <v>209.04</v>
      </c>
      <c r="R395">
        <v>6.2</v>
      </c>
      <c r="S395">
        <v>96.173500000000004</v>
      </c>
      <c r="T395">
        <v>16.840900000000001</v>
      </c>
    </row>
    <row r="396" spans="1:20" x14ac:dyDescent="0.3">
      <c r="A396" t="s">
        <v>713</v>
      </c>
      <c r="B396" t="s">
        <v>21</v>
      </c>
      <c r="C396" t="s">
        <v>714</v>
      </c>
      <c r="D396" t="s">
        <v>23</v>
      </c>
      <c r="E396" t="s">
        <v>32</v>
      </c>
      <c r="F396" t="s">
        <v>25</v>
      </c>
      <c r="G396" t="s">
        <v>26</v>
      </c>
      <c r="H396">
        <v>79.739999999999995</v>
      </c>
      <c r="I396">
        <v>1</v>
      </c>
      <c r="J396">
        <v>3.9870000000000001</v>
      </c>
      <c r="K396">
        <v>79.739999999999995</v>
      </c>
      <c r="L396" s="1">
        <v>43755</v>
      </c>
      <c r="M396" s="2">
        <v>0.44166666666666665</v>
      </c>
      <c r="N396" t="s">
        <v>27</v>
      </c>
      <c r="O396">
        <v>79.739999999999995</v>
      </c>
      <c r="P396">
        <v>4.7619047620000003</v>
      </c>
      <c r="Q396">
        <v>0</v>
      </c>
      <c r="R396">
        <v>7.3</v>
      </c>
      <c r="S396">
        <v>96.173500000000004</v>
      </c>
      <c r="T396">
        <v>16.840900000000001</v>
      </c>
    </row>
    <row r="397" spans="1:20" x14ac:dyDescent="0.3">
      <c r="A397" t="s">
        <v>715</v>
      </c>
      <c r="B397" t="s">
        <v>21</v>
      </c>
      <c r="C397" t="s">
        <v>716</v>
      </c>
      <c r="D397" t="s">
        <v>23</v>
      </c>
      <c r="E397" t="s">
        <v>32</v>
      </c>
      <c r="F397" t="s">
        <v>25</v>
      </c>
      <c r="G397" t="s">
        <v>26</v>
      </c>
      <c r="H397">
        <v>77.5</v>
      </c>
      <c r="I397">
        <v>5</v>
      </c>
      <c r="J397">
        <v>19.375</v>
      </c>
      <c r="K397">
        <v>387.5</v>
      </c>
      <c r="L397" s="1">
        <v>43554</v>
      </c>
      <c r="M397" s="2">
        <v>0.85833333333333328</v>
      </c>
      <c r="N397" t="s">
        <v>27</v>
      </c>
      <c r="O397">
        <v>387.5</v>
      </c>
      <c r="P397">
        <v>4.7619047620000003</v>
      </c>
      <c r="Q397">
        <v>0</v>
      </c>
      <c r="R397">
        <v>4.3</v>
      </c>
      <c r="S397">
        <v>96.173500000000004</v>
      </c>
      <c r="T397">
        <v>16.840900000000001</v>
      </c>
    </row>
    <row r="398" spans="1:20" x14ac:dyDescent="0.3">
      <c r="A398" t="s">
        <v>717</v>
      </c>
      <c r="B398" t="s">
        <v>21</v>
      </c>
      <c r="C398" t="s">
        <v>311</v>
      </c>
      <c r="D398" t="s">
        <v>23</v>
      </c>
      <c r="E398" t="s">
        <v>32</v>
      </c>
      <c r="F398" t="s">
        <v>25</v>
      </c>
      <c r="G398" t="s">
        <v>26</v>
      </c>
      <c r="H398">
        <v>54.27</v>
      </c>
      <c r="I398">
        <v>5</v>
      </c>
      <c r="J398">
        <v>13.567500000000001</v>
      </c>
      <c r="K398">
        <v>271.35000000000002</v>
      </c>
      <c r="L398" s="1">
        <v>43678</v>
      </c>
      <c r="M398" s="2">
        <v>0.59444444444444444</v>
      </c>
      <c r="N398" t="s">
        <v>27</v>
      </c>
      <c r="O398">
        <v>271.35000000000002</v>
      </c>
      <c r="P398">
        <v>4.7619047620000003</v>
      </c>
      <c r="Q398">
        <v>0</v>
      </c>
      <c r="R398">
        <v>4.5999999999999996</v>
      </c>
      <c r="S398">
        <v>96.173500000000004</v>
      </c>
      <c r="T398">
        <v>16.840900000000001</v>
      </c>
    </row>
    <row r="399" spans="1:20" x14ac:dyDescent="0.3">
      <c r="A399" t="s">
        <v>718</v>
      </c>
      <c r="B399" t="s">
        <v>21</v>
      </c>
      <c r="C399" t="s">
        <v>333</v>
      </c>
      <c r="D399" t="s">
        <v>53</v>
      </c>
      <c r="E399" t="s">
        <v>32</v>
      </c>
      <c r="F399" t="s">
        <v>36</v>
      </c>
      <c r="G399" t="s">
        <v>26</v>
      </c>
      <c r="H399">
        <v>13.59</v>
      </c>
      <c r="I399">
        <v>13</v>
      </c>
      <c r="J399">
        <v>8.8335000000000008</v>
      </c>
      <c r="K399">
        <v>176.67</v>
      </c>
      <c r="L399" s="1">
        <v>43522</v>
      </c>
      <c r="M399" s="2">
        <v>0.43472222222222223</v>
      </c>
      <c r="N399" t="s">
        <v>33</v>
      </c>
      <c r="O399">
        <v>122.31</v>
      </c>
      <c r="P399">
        <v>4.7619047620000003</v>
      </c>
      <c r="Q399">
        <v>54.36</v>
      </c>
      <c r="R399">
        <v>6.96</v>
      </c>
      <c r="S399">
        <v>96.089100000000002</v>
      </c>
      <c r="T399">
        <v>21.9588</v>
      </c>
    </row>
    <row r="400" spans="1:20" x14ac:dyDescent="0.3">
      <c r="A400" t="s">
        <v>719</v>
      </c>
      <c r="B400" t="s">
        <v>21</v>
      </c>
      <c r="C400" t="s">
        <v>720</v>
      </c>
      <c r="D400" t="s">
        <v>53</v>
      </c>
      <c r="E400" t="s">
        <v>24</v>
      </c>
      <c r="F400" t="s">
        <v>25</v>
      </c>
      <c r="G400" t="s">
        <v>26</v>
      </c>
      <c r="H400">
        <v>41.06</v>
      </c>
      <c r="I400">
        <v>11</v>
      </c>
      <c r="J400">
        <v>22.582999999999998</v>
      </c>
      <c r="K400">
        <v>451.66</v>
      </c>
      <c r="L400" s="1">
        <v>43561</v>
      </c>
      <c r="M400" s="2">
        <v>0.5625</v>
      </c>
      <c r="N400" t="s">
        <v>37</v>
      </c>
      <c r="O400">
        <v>246.36</v>
      </c>
      <c r="P400">
        <v>4.7619047620000003</v>
      </c>
      <c r="Q400">
        <v>205.3</v>
      </c>
      <c r="R400">
        <v>9.9600000000000009</v>
      </c>
      <c r="S400">
        <v>96.089100000000002</v>
      </c>
      <c r="T400">
        <v>21.9588</v>
      </c>
    </row>
    <row r="401" spans="1:20" x14ac:dyDescent="0.3">
      <c r="A401" t="s">
        <v>721</v>
      </c>
      <c r="B401" t="s">
        <v>21</v>
      </c>
      <c r="C401" t="s">
        <v>280</v>
      </c>
      <c r="D401" t="s">
        <v>53</v>
      </c>
      <c r="E401" t="s">
        <v>24</v>
      </c>
      <c r="F401" t="s">
        <v>36</v>
      </c>
      <c r="G401" t="s">
        <v>26</v>
      </c>
      <c r="H401">
        <v>19.239999999999998</v>
      </c>
      <c r="I401">
        <v>18</v>
      </c>
      <c r="J401">
        <v>17.315999999999999</v>
      </c>
      <c r="K401">
        <v>346.32</v>
      </c>
      <c r="L401" s="1">
        <v>43623</v>
      </c>
      <c r="M401" s="2">
        <v>0.68611111111111112</v>
      </c>
      <c r="N401" t="s">
        <v>33</v>
      </c>
      <c r="O401">
        <v>173.16</v>
      </c>
      <c r="P401">
        <v>4.7619047620000003</v>
      </c>
      <c r="Q401">
        <v>173.16</v>
      </c>
      <c r="R401">
        <v>9.6</v>
      </c>
      <c r="S401">
        <v>96.089100000000002</v>
      </c>
      <c r="T401">
        <v>21.9588</v>
      </c>
    </row>
    <row r="402" spans="1:20" x14ac:dyDescent="0.3">
      <c r="A402" t="s">
        <v>722</v>
      </c>
      <c r="B402" t="s">
        <v>21</v>
      </c>
      <c r="C402" t="s">
        <v>445</v>
      </c>
      <c r="D402" t="s">
        <v>31</v>
      </c>
      <c r="E402" t="s">
        <v>32</v>
      </c>
      <c r="F402" t="s">
        <v>25</v>
      </c>
      <c r="G402" t="s">
        <v>26</v>
      </c>
      <c r="H402">
        <v>39.43</v>
      </c>
      <c r="I402">
        <v>7</v>
      </c>
      <c r="J402">
        <v>13.8005</v>
      </c>
      <c r="K402">
        <v>276.01</v>
      </c>
      <c r="L402" s="1">
        <v>43731</v>
      </c>
      <c r="M402" s="2">
        <v>0.84583333333333333</v>
      </c>
      <c r="N402" t="s">
        <v>37</v>
      </c>
      <c r="O402">
        <v>236.58</v>
      </c>
      <c r="P402">
        <v>4.7619047620000003</v>
      </c>
      <c r="Q402">
        <v>39.43</v>
      </c>
      <c r="R402">
        <v>9.8699999999999992</v>
      </c>
      <c r="S402">
        <v>96.078500000000005</v>
      </c>
      <c r="T402">
        <v>19.763300000000001</v>
      </c>
    </row>
    <row r="403" spans="1:20" x14ac:dyDescent="0.3">
      <c r="A403" t="s">
        <v>723</v>
      </c>
      <c r="B403" t="s">
        <v>21</v>
      </c>
      <c r="C403" t="s">
        <v>724</v>
      </c>
      <c r="D403" t="s">
        <v>31</v>
      </c>
      <c r="E403" t="s">
        <v>32</v>
      </c>
      <c r="F403" t="s">
        <v>36</v>
      </c>
      <c r="G403" t="s">
        <v>26</v>
      </c>
      <c r="H403">
        <v>46.22</v>
      </c>
      <c r="I403">
        <v>5</v>
      </c>
      <c r="J403">
        <v>11.555</v>
      </c>
      <c r="K403">
        <v>231.1</v>
      </c>
      <c r="L403" s="1">
        <v>43543</v>
      </c>
      <c r="M403" s="2">
        <v>0.83611111111111114</v>
      </c>
      <c r="N403" t="s">
        <v>37</v>
      </c>
      <c r="O403">
        <v>184.88</v>
      </c>
      <c r="P403">
        <v>4.7619047620000003</v>
      </c>
      <c r="Q403">
        <v>46.22</v>
      </c>
      <c r="R403">
        <v>6.51</v>
      </c>
      <c r="S403">
        <v>96.078500000000005</v>
      </c>
      <c r="T403">
        <v>19.763300000000001</v>
      </c>
    </row>
    <row r="404" spans="1:20" x14ac:dyDescent="0.3">
      <c r="A404" t="s">
        <v>725</v>
      </c>
      <c r="B404" t="s">
        <v>21</v>
      </c>
      <c r="C404" t="s">
        <v>726</v>
      </c>
      <c r="D404" t="s">
        <v>31</v>
      </c>
      <c r="E404" t="s">
        <v>24</v>
      </c>
      <c r="F404" t="s">
        <v>36</v>
      </c>
      <c r="G404" t="s">
        <v>26</v>
      </c>
      <c r="H404">
        <v>13.98</v>
      </c>
      <c r="I404">
        <v>1</v>
      </c>
      <c r="J404">
        <v>0.69899999999999995</v>
      </c>
      <c r="K404">
        <v>13.98</v>
      </c>
      <c r="L404" s="1">
        <v>43626</v>
      </c>
      <c r="M404" s="2">
        <v>0.56805555555555554</v>
      </c>
      <c r="N404" t="s">
        <v>27</v>
      </c>
      <c r="O404">
        <v>13.98</v>
      </c>
      <c r="P404">
        <v>4.7619047620000003</v>
      </c>
      <c r="Q404">
        <v>0</v>
      </c>
      <c r="R404">
        <v>10</v>
      </c>
      <c r="S404">
        <v>96.078500000000005</v>
      </c>
      <c r="T404">
        <v>19.763300000000001</v>
      </c>
    </row>
    <row r="405" spans="1:20" x14ac:dyDescent="0.3">
      <c r="A405" t="s">
        <v>727</v>
      </c>
      <c r="B405" t="s">
        <v>21</v>
      </c>
      <c r="C405" t="s">
        <v>296</v>
      </c>
      <c r="D405" t="s">
        <v>53</v>
      </c>
      <c r="E405" t="s">
        <v>32</v>
      </c>
      <c r="F405" t="s">
        <v>25</v>
      </c>
      <c r="G405" t="s">
        <v>100</v>
      </c>
      <c r="H405">
        <v>39.75</v>
      </c>
      <c r="I405">
        <v>7</v>
      </c>
      <c r="J405">
        <v>13.9125</v>
      </c>
      <c r="K405">
        <v>278.25</v>
      </c>
      <c r="L405" s="1">
        <v>43682</v>
      </c>
      <c r="M405" s="2">
        <v>0.4465277777777778</v>
      </c>
      <c r="N405" t="s">
        <v>27</v>
      </c>
      <c r="O405">
        <v>198.75</v>
      </c>
      <c r="P405">
        <v>4.7619047620000003</v>
      </c>
      <c r="Q405">
        <v>79.5</v>
      </c>
      <c r="R405">
        <v>10</v>
      </c>
      <c r="S405">
        <v>96.089100000000002</v>
      </c>
      <c r="T405">
        <v>21.9588</v>
      </c>
    </row>
    <row r="406" spans="1:20" x14ac:dyDescent="0.3">
      <c r="A406" t="s">
        <v>728</v>
      </c>
      <c r="B406" t="s">
        <v>21</v>
      </c>
      <c r="C406" t="s">
        <v>276</v>
      </c>
      <c r="D406" t="s">
        <v>31</v>
      </c>
      <c r="E406" t="s">
        <v>24</v>
      </c>
      <c r="F406" t="s">
        <v>25</v>
      </c>
      <c r="G406" t="s">
        <v>100</v>
      </c>
      <c r="H406">
        <v>97.79</v>
      </c>
      <c r="I406">
        <v>11</v>
      </c>
      <c r="J406">
        <v>53.784500000000001</v>
      </c>
      <c r="K406">
        <v>1075.69</v>
      </c>
      <c r="L406" s="1">
        <v>43481</v>
      </c>
      <c r="M406" s="2">
        <v>0.72916666666666663</v>
      </c>
      <c r="N406" t="s">
        <v>27</v>
      </c>
      <c r="O406">
        <v>684.53</v>
      </c>
      <c r="P406">
        <v>4.7619047620000003</v>
      </c>
      <c r="Q406">
        <v>391.16</v>
      </c>
      <c r="R406">
        <v>5.1449999999999996</v>
      </c>
      <c r="S406">
        <v>96.078500000000005</v>
      </c>
      <c r="T406">
        <v>19.763300000000001</v>
      </c>
    </row>
    <row r="407" spans="1:20" x14ac:dyDescent="0.3">
      <c r="A407" t="s">
        <v>729</v>
      </c>
      <c r="B407" t="s">
        <v>21</v>
      </c>
      <c r="C407" t="s">
        <v>730</v>
      </c>
      <c r="D407" t="s">
        <v>23</v>
      </c>
      <c r="E407" t="s">
        <v>24</v>
      </c>
      <c r="F407" t="s">
        <v>36</v>
      </c>
      <c r="G407" t="s">
        <v>68</v>
      </c>
      <c r="H407">
        <v>67.260000000000005</v>
      </c>
      <c r="I407">
        <v>6</v>
      </c>
      <c r="J407">
        <v>20.178000000000001</v>
      </c>
      <c r="K407">
        <v>403.56</v>
      </c>
      <c r="L407" s="1">
        <v>43788</v>
      </c>
      <c r="M407" s="2">
        <v>0.64444444444444449</v>
      </c>
      <c r="N407" t="s">
        <v>37</v>
      </c>
      <c r="O407">
        <v>269.04000000000002</v>
      </c>
      <c r="P407">
        <v>4.7619047620000003</v>
      </c>
      <c r="Q407">
        <v>134.52000000000001</v>
      </c>
      <c r="R407">
        <v>8</v>
      </c>
      <c r="S407">
        <v>96.173500000000004</v>
      </c>
      <c r="T407">
        <v>16.840900000000001</v>
      </c>
    </row>
    <row r="408" spans="1:20" x14ac:dyDescent="0.3">
      <c r="A408" t="s">
        <v>731</v>
      </c>
      <c r="B408" t="s">
        <v>21</v>
      </c>
      <c r="C408" t="s">
        <v>732</v>
      </c>
      <c r="D408" t="s">
        <v>23</v>
      </c>
      <c r="E408" t="s">
        <v>32</v>
      </c>
      <c r="F408" t="s">
        <v>36</v>
      </c>
      <c r="G408" t="s">
        <v>63</v>
      </c>
      <c r="H408">
        <v>13.79</v>
      </c>
      <c r="I408">
        <v>5</v>
      </c>
      <c r="J408">
        <v>3.4474999999999998</v>
      </c>
      <c r="K408">
        <v>68.95</v>
      </c>
      <c r="L408" s="1">
        <v>43660</v>
      </c>
      <c r="M408" s="2">
        <v>0.79652777777777772</v>
      </c>
      <c r="N408" t="s">
        <v>37</v>
      </c>
      <c r="O408">
        <v>68.95</v>
      </c>
      <c r="P408">
        <v>4.7619047620000003</v>
      </c>
      <c r="Q408">
        <v>0</v>
      </c>
      <c r="R408">
        <v>7.8</v>
      </c>
      <c r="S408">
        <v>96.173500000000004</v>
      </c>
      <c r="T408">
        <v>16.840900000000001</v>
      </c>
    </row>
    <row r="409" spans="1:20" x14ac:dyDescent="0.3">
      <c r="A409" t="s">
        <v>733</v>
      </c>
      <c r="B409" t="s">
        <v>21</v>
      </c>
      <c r="C409" t="s">
        <v>734</v>
      </c>
      <c r="D409" t="s">
        <v>53</v>
      </c>
      <c r="E409" t="s">
        <v>24</v>
      </c>
      <c r="F409" t="s">
        <v>25</v>
      </c>
      <c r="G409" t="s">
        <v>100</v>
      </c>
      <c r="H409">
        <v>68.709999999999994</v>
      </c>
      <c r="I409">
        <v>8</v>
      </c>
      <c r="J409">
        <v>27.484000000000002</v>
      </c>
      <c r="K409">
        <v>549.67999999999995</v>
      </c>
      <c r="L409" s="1">
        <v>43516</v>
      </c>
      <c r="M409" s="2">
        <v>0.79236111111111107</v>
      </c>
      <c r="N409" t="s">
        <v>33</v>
      </c>
      <c r="O409">
        <v>274.83999999999997</v>
      </c>
      <c r="P409">
        <v>4.7619047620000003</v>
      </c>
      <c r="Q409">
        <v>274.83999999999997</v>
      </c>
      <c r="R409">
        <v>4.92</v>
      </c>
      <c r="S409">
        <v>96.089100000000002</v>
      </c>
      <c r="T409">
        <v>21.9588</v>
      </c>
    </row>
    <row r="410" spans="1:20" x14ac:dyDescent="0.3">
      <c r="A410" t="s">
        <v>735</v>
      </c>
      <c r="B410" t="s">
        <v>21</v>
      </c>
      <c r="C410" t="s">
        <v>736</v>
      </c>
      <c r="D410" t="s">
        <v>23</v>
      </c>
      <c r="E410" t="s">
        <v>32</v>
      </c>
      <c r="F410" t="s">
        <v>25</v>
      </c>
      <c r="G410" t="s">
        <v>77</v>
      </c>
      <c r="H410">
        <v>56.53</v>
      </c>
      <c r="I410">
        <v>4</v>
      </c>
      <c r="J410">
        <v>11.305999999999999</v>
      </c>
      <c r="K410">
        <v>226.12</v>
      </c>
      <c r="L410" s="1">
        <v>43521</v>
      </c>
      <c r="M410" s="2">
        <v>0.82499999999999996</v>
      </c>
      <c r="N410" t="s">
        <v>27</v>
      </c>
      <c r="O410">
        <v>226.12</v>
      </c>
      <c r="P410">
        <v>4.7619047620000003</v>
      </c>
      <c r="Q410">
        <v>0</v>
      </c>
      <c r="R410">
        <v>5.5</v>
      </c>
      <c r="S410">
        <v>96.173500000000004</v>
      </c>
      <c r="T410">
        <v>16.840900000000001</v>
      </c>
    </row>
    <row r="411" spans="1:20" x14ac:dyDescent="0.3">
      <c r="A411" t="s">
        <v>737</v>
      </c>
      <c r="B411" t="s">
        <v>21</v>
      </c>
      <c r="C411" t="s">
        <v>305</v>
      </c>
      <c r="D411" t="s">
        <v>31</v>
      </c>
      <c r="E411" t="s">
        <v>32</v>
      </c>
      <c r="F411" t="s">
        <v>25</v>
      </c>
      <c r="G411" t="s">
        <v>100</v>
      </c>
      <c r="H411">
        <v>23.82</v>
      </c>
      <c r="I411">
        <v>6</v>
      </c>
      <c r="J411">
        <v>7.1459999999999999</v>
      </c>
      <c r="K411">
        <v>142.91999999999999</v>
      </c>
      <c r="L411" s="1">
        <v>43570</v>
      </c>
      <c r="M411" s="2">
        <v>0.80833333333333335</v>
      </c>
      <c r="N411" t="s">
        <v>27</v>
      </c>
      <c r="O411">
        <v>119.1</v>
      </c>
      <c r="P411">
        <v>4.7619047620000003</v>
      </c>
      <c r="Q411">
        <v>23.82</v>
      </c>
      <c r="R411">
        <v>5.67</v>
      </c>
      <c r="S411">
        <v>96.078500000000005</v>
      </c>
      <c r="T411">
        <v>19.763300000000001</v>
      </c>
    </row>
    <row r="412" spans="1:20" x14ac:dyDescent="0.3">
      <c r="A412" t="s">
        <v>738</v>
      </c>
      <c r="B412" t="s">
        <v>21</v>
      </c>
      <c r="C412" t="s">
        <v>175</v>
      </c>
      <c r="D412" t="s">
        <v>53</v>
      </c>
      <c r="E412" t="s">
        <v>32</v>
      </c>
      <c r="F412" t="s">
        <v>25</v>
      </c>
      <c r="G412" t="s">
        <v>26</v>
      </c>
      <c r="H412">
        <v>34.21</v>
      </c>
      <c r="I412">
        <v>14</v>
      </c>
      <c r="J412">
        <v>23.946999999999999</v>
      </c>
      <c r="K412">
        <v>478.94</v>
      </c>
      <c r="L412" s="1">
        <v>43797</v>
      </c>
      <c r="M412" s="2">
        <v>0.54166666666666663</v>
      </c>
      <c r="N412" t="s">
        <v>33</v>
      </c>
      <c r="O412">
        <v>342.1</v>
      </c>
      <c r="P412">
        <v>4.7619047620000003</v>
      </c>
      <c r="Q412">
        <v>136.84</v>
      </c>
      <c r="R412">
        <v>6.12</v>
      </c>
      <c r="S412">
        <v>96.089100000000002</v>
      </c>
      <c r="T412">
        <v>21.9588</v>
      </c>
    </row>
    <row r="413" spans="1:20" x14ac:dyDescent="0.3">
      <c r="A413" t="s">
        <v>739</v>
      </c>
      <c r="B413" t="s">
        <v>21</v>
      </c>
      <c r="C413" t="s">
        <v>99</v>
      </c>
      <c r="D413" t="s">
        <v>53</v>
      </c>
      <c r="E413" t="s">
        <v>32</v>
      </c>
      <c r="F413" t="s">
        <v>36</v>
      </c>
      <c r="G413" t="s">
        <v>68</v>
      </c>
      <c r="H413">
        <v>21.87</v>
      </c>
      <c r="I413">
        <v>3</v>
      </c>
      <c r="J413">
        <v>3.2805</v>
      </c>
      <c r="K413">
        <v>65.61</v>
      </c>
      <c r="L413" s="1">
        <v>43755</v>
      </c>
      <c r="M413" s="2">
        <v>0.60347222222222219</v>
      </c>
      <c r="N413" t="s">
        <v>27</v>
      </c>
      <c r="O413">
        <v>43.74</v>
      </c>
      <c r="P413">
        <v>4.7619047620000003</v>
      </c>
      <c r="Q413">
        <v>21.87</v>
      </c>
      <c r="R413">
        <v>8.2799999999999994</v>
      </c>
      <c r="S413">
        <v>96.089100000000002</v>
      </c>
      <c r="T413">
        <v>21.9588</v>
      </c>
    </row>
    <row r="414" spans="1:20" x14ac:dyDescent="0.3">
      <c r="A414" t="s">
        <v>740</v>
      </c>
      <c r="B414" t="s">
        <v>21</v>
      </c>
      <c r="C414" t="s">
        <v>741</v>
      </c>
      <c r="D414" t="s">
        <v>23</v>
      </c>
      <c r="E414" t="s">
        <v>24</v>
      </c>
      <c r="F414" t="s">
        <v>36</v>
      </c>
      <c r="G414" t="s">
        <v>26</v>
      </c>
      <c r="H414">
        <v>20.97</v>
      </c>
      <c r="I414">
        <v>7</v>
      </c>
      <c r="J414">
        <v>7.3395000000000001</v>
      </c>
      <c r="K414">
        <v>146.79</v>
      </c>
      <c r="L414" s="1">
        <v>43472</v>
      </c>
      <c r="M414" s="2">
        <v>0.55625000000000002</v>
      </c>
      <c r="N414" t="s">
        <v>33</v>
      </c>
      <c r="O414">
        <v>104.85</v>
      </c>
      <c r="P414">
        <v>4.7619047620000003</v>
      </c>
      <c r="Q414">
        <v>41.94</v>
      </c>
      <c r="R414">
        <v>7.8</v>
      </c>
      <c r="S414">
        <v>96.173500000000004</v>
      </c>
      <c r="T414">
        <v>16.840900000000001</v>
      </c>
    </row>
    <row r="415" spans="1:20" x14ac:dyDescent="0.3">
      <c r="A415" t="s">
        <v>742</v>
      </c>
      <c r="B415" t="s">
        <v>21</v>
      </c>
      <c r="C415" t="s">
        <v>743</v>
      </c>
      <c r="D415" t="s">
        <v>23</v>
      </c>
      <c r="E415" t="s">
        <v>32</v>
      </c>
      <c r="F415" t="s">
        <v>36</v>
      </c>
      <c r="G415" t="s">
        <v>68</v>
      </c>
      <c r="H415">
        <v>25.84</v>
      </c>
      <c r="I415">
        <v>3</v>
      </c>
      <c r="J415">
        <v>3.8759999999999999</v>
      </c>
      <c r="K415">
        <v>77.52</v>
      </c>
      <c r="L415" s="1">
        <v>43793</v>
      </c>
      <c r="M415" s="2">
        <v>0.78819444444444442</v>
      </c>
      <c r="N415" t="s">
        <v>27</v>
      </c>
      <c r="O415">
        <v>77.52</v>
      </c>
      <c r="P415">
        <v>4.7619047620000003</v>
      </c>
      <c r="Q415">
        <v>0</v>
      </c>
      <c r="R415">
        <v>6.6</v>
      </c>
      <c r="S415">
        <v>96.173500000000004</v>
      </c>
      <c r="T415">
        <v>16.840900000000001</v>
      </c>
    </row>
    <row r="416" spans="1:20" x14ac:dyDescent="0.3">
      <c r="A416" t="s">
        <v>744</v>
      </c>
      <c r="B416" t="s">
        <v>21</v>
      </c>
      <c r="C416" t="s">
        <v>745</v>
      </c>
      <c r="D416" t="s">
        <v>23</v>
      </c>
      <c r="E416" t="s">
        <v>32</v>
      </c>
      <c r="F416" t="s">
        <v>36</v>
      </c>
      <c r="G416" t="s">
        <v>77</v>
      </c>
      <c r="H416">
        <v>50.93</v>
      </c>
      <c r="I416">
        <v>8</v>
      </c>
      <c r="J416">
        <v>20.372</v>
      </c>
      <c r="K416">
        <v>407.44</v>
      </c>
      <c r="L416" s="1">
        <v>43475</v>
      </c>
      <c r="M416" s="2">
        <v>0.81666666666666665</v>
      </c>
      <c r="N416" t="s">
        <v>27</v>
      </c>
      <c r="O416">
        <v>407.44</v>
      </c>
      <c r="P416">
        <v>4.7619047620000003</v>
      </c>
      <c r="Q416">
        <v>0</v>
      </c>
      <c r="R416">
        <v>9.1999999999999993</v>
      </c>
      <c r="S416">
        <v>96.173500000000004</v>
      </c>
      <c r="T416">
        <v>16.840900000000001</v>
      </c>
    </row>
    <row r="417" spans="1:20" x14ac:dyDescent="0.3">
      <c r="A417" t="s">
        <v>746</v>
      </c>
      <c r="B417" t="s">
        <v>21</v>
      </c>
      <c r="C417" t="s">
        <v>117</v>
      </c>
      <c r="D417" t="s">
        <v>53</v>
      </c>
      <c r="E417" t="s">
        <v>32</v>
      </c>
      <c r="F417" t="s">
        <v>36</v>
      </c>
      <c r="G417" t="s">
        <v>26</v>
      </c>
      <c r="H417">
        <v>96.11</v>
      </c>
      <c r="I417">
        <v>1</v>
      </c>
      <c r="J417">
        <v>4.8055000000000003</v>
      </c>
      <c r="K417">
        <v>96.11</v>
      </c>
      <c r="L417" s="1">
        <v>43764</v>
      </c>
      <c r="M417" s="2">
        <v>0.68611111111111112</v>
      </c>
      <c r="N417" t="s">
        <v>27</v>
      </c>
      <c r="O417">
        <v>96.11</v>
      </c>
      <c r="P417">
        <v>4.7619047620000003</v>
      </c>
      <c r="Q417">
        <v>0</v>
      </c>
      <c r="R417">
        <v>9.36</v>
      </c>
      <c r="S417">
        <v>96.089100000000002</v>
      </c>
      <c r="T417">
        <v>21.9588</v>
      </c>
    </row>
    <row r="418" spans="1:20" x14ac:dyDescent="0.3">
      <c r="A418" t="s">
        <v>747</v>
      </c>
      <c r="B418" t="s">
        <v>21</v>
      </c>
      <c r="C418" t="s">
        <v>748</v>
      </c>
      <c r="D418" t="s">
        <v>31</v>
      </c>
      <c r="E418" t="s">
        <v>32</v>
      </c>
      <c r="F418" t="s">
        <v>25</v>
      </c>
      <c r="G418" t="s">
        <v>77</v>
      </c>
      <c r="H418">
        <v>45.38</v>
      </c>
      <c r="I418">
        <v>5</v>
      </c>
      <c r="J418">
        <v>11.345000000000001</v>
      </c>
      <c r="K418">
        <v>226.9</v>
      </c>
      <c r="L418" s="1">
        <v>43754</v>
      </c>
      <c r="M418" s="2">
        <v>0.57499999999999996</v>
      </c>
      <c r="N418" t="s">
        <v>37</v>
      </c>
      <c r="O418">
        <v>181.52</v>
      </c>
      <c r="P418">
        <v>4.7619047620000003</v>
      </c>
      <c r="Q418">
        <v>45.38</v>
      </c>
      <c r="R418">
        <v>9.1349999999999998</v>
      </c>
      <c r="S418">
        <v>96.078500000000005</v>
      </c>
      <c r="T418">
        <v>19.763300000000001</v>
      </c>
    </row>
    <row r="419" spans="1:20" x14ac:dyDescent="0.3">
      <c r="A419" t="s">
        <v>749</v>
      </c>
      <c r="B419" t="s">
        <v>21</v>
      </c>
      <c r="C419" t="s">
        <v>290</v>
      </c>
      <c r="D419" t="s">
        <v>31</v>
      </c>
      <c r="E419" t="s">
        <v>24</v>
      </c>
      <c r="F419" t="s">
        <v>25</v>
      </c>
      <c r="G419" t="s">
        <v>26</v>
      </c>
      <c r="H419">
        <v>81.510000000000005</v>
      </c>
      <c r="I419">
        <v>1</v>
      </c>
      <c r="J419">
        <v>4.0754999999999999</v>
      </c>
      <c r="K419">
        <v>81.510000000000005</v>
      </c>
      <c r="L419" s="1">
        <v>43729</v>
      </c>
      <c r="M419" s="2">
        <v>0.45624999999999999</v>
      </c>
      <c r="N419" t="s">
        <v>27</v>
      </c>
      <c r="O419">
        <v>81.510000000000005</v>
      </c>
      <c r="P419">
        <v>4.7619047620000003</v>
      </c>
      <c r="Q419">
        <v>0</v>
      </c>
      <c r="R419">
        <v>9.66</v>
      </c>
      <c r="S419">
        <v>96.078500000000005</v>
      </c>
      <c r="T419">
        <v>19.763300000000001</v>
      </c>
    </row>
    <row r="420" spans="1:20" x14ac:dyDescent="0.3">
      <c r="A420" t="s">
        <v>750</v>
      </c>
      <c r="B420" t="s">
        <v>21</v>
      </c>
      <c r="C420" t="s">
        <v>751</v>
      </c>
      <c r="D420" t="s">
        <v>53</v>
      </c>
      <c r="E420" t="s">
        <v>32</v>
      </c>
      <c r="F420" t="s">
        <v>25</v>
      </c>
      <c r="G420" t="s">
        <v>26</v>
      </c>
      <c r="H420">
        <v>57.22</v>
      </c>
      <c r="I420">
        <v>3</v>
      </c>
      <c r="J420">
        <v>8.5830000000000002</v>
      </c>
      <c r="K420">
        <v>171.66</v>
      </c>
      <c r="L420" s="1">
        <v>43664</v>
      </c>
      <c r="M420" s="2">
        <v>0.71736111111111112</v>
      </c>
      <c r="N420" t="s">
        <v>27</v>
      </c>
      <c r="O420">
        <v>114.44</v>
      </c>
      <c r="P420">
        <v>4.7619047620000003</v>
      </c>
      <c r="Q420">
        <v>57.22</v>
      </c>
      <c r="R420">
        <v>9.9600000000000009</v>
      </c>
      <c r="S420">
        <v>96.089100000000002</v>
      </c>
      <c r="T420">
        <v>21.9588</v>
      </c>
    </row>
    <row r="421" spans="1:20" x14ac:dyDescent="0.3">
      <c r="A421" t="s">
        <v>752</v>
      </c>
      <c r="B421" t="s">
        <v>21</v>
      </c>
      <c r="C421" t="s">
        <v>472</v>
      </c>
      <c r="D421" t="s">
        <v>23</v>
      </c>
      <c r="E421" t="s">
        <v>24</v>
      </c>
      <c r="F421" t="s">
        <v>25</v>
      </c>
      <c r="G421" t="s">
        <v>60</v>
      </c>
      <c r="H421">
        <v>25.22</v>
      </c>
      <c r="I421">
        <v>10</v>
      </c>
      <c r="J421">
        <v>12.61</v>
      </c>
      <c r="K421">
        <v>252.2</v>
      </c>
      <c r="L421" s="1">
        <v>43657</v>
      </c>
      <c r="M421" s="2">
        <v>0.43263888888888891</v>
      </c>
      <c r="N421" t="s">
        <v>33</v>
      </c>
      <c r="O421">
        <v>176.54</v>
      </c>
      <c r="P421">
        <v>4.7619047620000003</v>
      </c>
      <c r="Q421">
        <v>75.66</v>
      </c>
      <c r="R421">
        <v>8.1999999999999993</v>
      </c>
      <c r="S421">
        <v>96.173500000000004</v>
      </c>
      <c r="T421">
        <v>16.840900000000001</v>
      </c>
    </row>
    <row r="422" spans="1:20" x14ac:dyDescent="0.3">
      <c r="A422" t="s">
        <v>753</v>
      </c>
      <c r="B422" t="s">
        <v>21</v>
      </c>
      <c r="C422" t="s">
        <v>754</v>
      </c>
      <c r="D422" t="s">
        <v>31</v>
      </c>
      <c r="E422" t="s">
        <v>32</v>
      </c>
      <c r="F422" t="s">
        <v>25</v>
      </c>
      <c r="G422" t="s">
        <v>63</v>
      </c>
      <c r="H422">
        <v>38.6</v>
      </c>
      <c r="I422">
        <v>4</v>
      </c>
      <c r="J422">
        <v>7.72</v>
      </c>
      <c r="K422">
        <v>154.4</v>
      </c>
      <c r="L422" s="1">
        <v>43531</v>
      </c>
      <c r="M422" s="2">
        <v>0.58125000000000004</v>
      </c>
      <c r="N422" t="s">
        <v>27</v>
      </c>
      <c r="O422">
        <v>115.8</v>
      </c>
      <c r="P422">
        <v>4.7619047620000003</v>
      </c>
      <c r="Q422">
        <v>38.6</v>
      </c>
      <c r="R422">
        <v>7.875</v>
      </c>
      <c r="S422">
        <v>96.078500000000005</v>
      </c>
      <c r="T422">
        <v>19.763300000000001</v>
      </c>
    </row>
    <row r="423" spans="1:20" x14ac:dyDescent="0.3">
      <c r="A423" t="s">
        <v>755</v>
      </c>
      <c r="B423" t="s">
        <v>21</v>
      </c>
      <c r="C423" t="s">
        <v>756</v>
      </c>
      <c r="D423" t="s">
        <v>31</v>
      </c>
      <c r="E423" t="s">
        <v>32</v>
      </c>
      <c r="F423" t="s">
        <v>25</v>
      </c>
      <c r="G423" t="s">
        <v>60</v>
      </c>
      <c r="H423">
        <v>84.05</v>
      </c>
      <c r="I423">
        <v>4</v>
      </c>
      <c r="J423">
        <v>16.809999999999999</v>
      </c>
      <c r="K423">
        <v>336.2</v>
      </c>
      <c r="L423" s="1">
        <v>43536</v>
      </c>
      <c r="M423" s="2">
        <v>0.56180555555555556</v>
      </c>
      <c r="N423" t="s">
        <v>33</v>
      </c>
      <c r="O423">
        <v>252.15</v>
      </c>
      <c r="P423">
        <v>4.7619047620000003</v>
      </c>
      <c r="Q423">
        <v>84.05</v>
      </c>
      <c r="R423">
        <v>10</v>
      </c>
      <c r="S423">
        <v>96.078500000000005</v>
      </c>
      <c r="T423">
        <v>19.763300000000001</v>
      </c>
    </row>
    <row r="424" spans="1:20" x14ac:dyDescent="0.3">
      <c r="A424" t="s">
        <v>757</v>
      </c>
      <c r="B424" t="s">
        <v>21</v>
      </c>
      <c r="C424" t="s">
        <v>596</v>
      </c>
      <c r="D424" t="s">
        <v>31</v>
      </c>
      <c r="E424" t="s">
        <v>32</v>
      </c>
      <c r="F424" t="s">
        <v>25</v>
      </c>
      <c r="G424" t="s">
        <v>100</v>
      </c>
      <c r="H424">
        <v>97.21</v>
      </c>
      <c r="I424">
        <v>12</v>
      </c>
      <c r="J424">
        <v>58.326000000000001</v>
      </c>
      <c r="K424">
        <v>1166.52</v>
      </c>
      <c r="L424" s="1">
        <v>43787</v>
      </c>
      <c r="M424" s="2">
        <v>0.54166666666666663</v>
      </c>
      <c r="N424" t="s">
        <v>37</v>
      </c>
      <c r="O424">
        <v>972.1</v>
      </c>
      <c r="P424">
        <v>4.7619047620000003</v>
      </c>
      <c r="Q424">
        <v>194.42</v>
      </c>
      <c r="R424">
        <v>7.46</v>
      </c>
      <c r="S424">
        <v>96.078500000000005</v>
      </c>
      <c r="T424">
        <v>19.763300000000001</v>
      </c>
    </row>
    <row r="425" spans="1:20" x14ac:dyDescent="0.3">
      <c r="A425" t="s">
        <v>758</v>
      </c>
      <c r="B425" t="s">
        <v>21</v>
      </c>
      <c r="C425" t="s">
        <v>636</v>
      </c>
      <c r="D425" t="s">
        <v>53</v>
      </c>
      <c r="E425" t="s">
        <v>32</v>
      </c>
      <c r="F425" t="s">
        <v>36</v>
      </c>
      <c r="G425" t="s">
        <v>100</v>
      </c>
      <c r="H425">
        <v>25.42</v>
      </c>
      <c r="I425">
        <v>11</v>
      </c>
      <c r="J425">
        <v>13.981</v>
      </c>
      <c r="K425">
        <v>279.62</v>
      </c>
      <c r="L425" s="1">
        <v>43580</v>
      </c>
      <c r="M425" s="2">
        <v>0.8208333333333333</v>
      </c>
      <c r="N425" t="s">
        <v>37</v>
      </c>
      <c r="O425">
        <v>203.36</v>
      </c>
      <c r="P425">
        <v>4.7619047620000003</v>
      </c>
      <c r="Q425">
        <v>76.260000000000005</v>
      </c>
      <c r="R425">
        <v>7.46</v>
      </c>
      <c r="S425">
        <v>96.089100000000002</v>
      </c>
      <c r="T425">
        <v>21.9588</v>
      </c>
    </row>
    <row r="426" spans="1:20" x14ac:dyDescent="0.3">
      <c r="A426" t="s">
        <v>759</v>
      </c>
      <c r="B426" t="s">
        <v>21</v>
      </c>
      <c r="C426" t="s">
        <v>229</v>
      </c>
      <c r="D426" t="s">
        <v>31</v>
      </c>
      <c r="E426" t="s">
        <v>32</v>
      </c>
      <c r="F426" t="s">
        <v>36</v>
      </c>
      <c r="G426" t="s">
        <v>100</v>
      </c>
      <c r="H426">
        <v>16.28</v>
      </c>
      <c r="I426">
        <v>1</v>
      </c>
      <c r="J426">
        <v>0.81399999999999995</v>
      </c>
      <c r="K426">
        <v>16.28</v>
      </c>
      <c r="L426" s="1">
        <v>43687</v>
      </c>
      <c r="M426" s="2">
        <v>0.65</v>
      </c>
      <c r="N426" t="s">
        <v>33</v>
      </c>
      <c r="O426">
        <v>16.28</v>
      </c>
      <c r="P426">
        <v>4.7619047620000003</v>
      </c>
      <c r="Q426">
        <v>0</v>
      </c>
      <c r="R426">
        <v>7.46</v>
      </c>
      <c r="S426">
        <v>96.078500000000005</v>
      </c>
      <c r="T426">
        <v>19.763300000000001</v>
      </c>
    </row>
    <row r="427" spans="1:20" x14ac:dyDescent="0.3">
      <c r="A427" t="s">
        <v>760</v>
      </c>
      <c r="B427" t="s">
        <v>21</v>
      </c>
      <c r="C427" t="s">
        <v>629</v>
      </c>
      <c r="D427" t="s">
        <v>53</v>
      </c>
      <c r="E427" t="s">
        <v>32</v>
      </c>
      <c r="F427" t="s">
        <v>36</v>
      </c>
      <c r="G427" t="s">
        <v>100</v>
      </c>
      <c r="H427">
        <v>40.61</v>
      </c>
      <c r="I427">
        <v>13</v>
      </c>
      <c r="J427">
        <v>26.3965</v>
      </c>
      <c r="K427">
        <v>527.92999999999995</v>
      </c>
      <c r="L427" s="1">
        <v>43611</v>
      </c>
      <c r="M427" s="2">
        <v>0.56944444444444442</v>
      </c>
      <c r="N427" t="s">
        <v>33</v>
      </c>
      <c r="O427">
        <v>365.49</v>
      </c>
      <c r="P427">
        <v>4.7619047620000003</v>
      </c>
      <c r="Q427">
        <v>162.44</v>
      </c>
      <c r="R427">
        <v>7.46</v>
      </c>
      <c r="S427">
        <v>96.089100000000002</v>
      </c>
      <c r="T427">
        <v>21.9588</v>
      </c>
    </row>
    <row r="428" spans="1:20" x14ac:dyDescent="0.3">
      <c r="A428" t="s">
        <v>761</v>
      </c>
      <c r="B428" t="s">
        <v>21</v>
      </c>
      <c r="C428" t="s">
        <v>762</v>
      </c>
      <c r="D428" t="s">
        <v>23</v>
      </c>
      <c r="E428" t="s">
        <v>32</v>
      </c>
      <c r="F428" t="s">
        <v>36</v>
      </c>
      <c r="G428" t="s">
        <v>26</v>
      </c>
      <c r="H428">
        <v>53.17</v>
      </c>
      <c r="I428">
        <v>7</v>
      </c>
      <c r="J428">
        <v>18.609500000000001</v>
      </c>
      <c r="K428">
        <v>372.19</v>
      </c>
      <c r="L428" s="1">
        <v>43777</v>
      </c>
      <c r="M428" s="2">
        <v>0.75069444444444444</v>
      </c>
      <c r="N428" t="s">
        <v>33</v>
      </c>
      <c r="O428">
        <v>372.19</v>
      </c>
      <c r="P428">
        <v>4.7619047620000003</v>
      </c>
      <c r="Q428">
        <v>0</v>
      </c>
      <c r="R428">
        <v>7.46</v>
      </c>
      <c r="S428">
        <v>96.173500000000004</v>
      </c>
      <c r="T428">
        <v>16.840900000000001</v>
      </c>
    </row>
    <row r="429" spans="1:20" x14ac:dyDescent="0.3">
      <c r="A429" t="s">
        <v>763</v>
      </c>
      <c r="B429" t="s">
        <v>21</v>
      </c>
      <c r="C429" t="s">
        <v>343</v>
      </c>
      <c r="D429" t="s">
        <v>53</v>
      </c>
      <c r="E429" t="s">
        <v>32</v>
      </c>
      <c r="F429" t="s">
        <v>25</v>
      </c>
      <c r="G429" t="s">
        <v>63</v>
      </c>
      <c r="H429">
        <v>20.87</v>
      </c>
      <c r="I429">
        <v>4</v>
      </c>
      <c r="J429">
        <v>4.1740000000000004</v>
      </c>
      <c r="K429">
        <v>83.48</v>
      </c>
      <c r="L429" s="1">
        <v>43698</v>
      </c>
      <c r="M429" s="2">
        <v>0.57847222222222228</v>
      </c>
      <c r="N429" t="s">
        <v>37</v>
      </c>
      <c r="O429">
        <v>62.61</v>
      </c>
      <c r="P429">
        <v>4.7619047620000003</v>
      </c>
      <c r="Q429">
        <v>20.87</v>
      </c>
      <c r="R429">
        <v>7.46</v>
      </c>
      <c r="S429">
        <v>96.089100000000002</v>
      </c>
      <c r="T429">
        <v>21.9588</v>
      </c>
    </row>
    <row r="430" spans="1:20" x14ac:dyDescent="0.3">
      <c r="A430" t="s">
        <v>764</v>
      </c>
      <c r="B430" t="s">
        <v>21</v>
      </c>
      <c r="C430" t="s">
        <v>134</v>
      </c>
      <c r="D430" t="s">
        <v>53</v>
      </c>
      <c r="E430" t="s">
        <v>32</v>
      </c>
      <c r="F430" t="s">
        <v>36</v>
      </c>
      <c r="G430" t="s">
        <v>68</v>
      </c>
      <c r="H430">
        <v>67.27</v>
      </c>
      <c r="I430">
        <v>7</v>
      </c>
      <c r="J430">
        <v>23.544499999999999</v>
      </c>
      <c r="K430">
        <v>470.89</v>
      </c>
      <c r="L430" s="1">
        <v>43688</v>
      </c>
      <c r="M430" s="2">
        <v>0.7270833333333333</v>
      </c>
      <c r="N430" t="s">
        <v>33</v>
      </c>
      <c r="O430">
        <v>336.35</v>
      </c>
      <c r="P430">
        <v>4.7619047620000003</v>
      </c>
      <c r="Q430">
        <v>134.54</v>
      </c>
      <c r="R430">
        <v>7.46</v>
      </c>
      <c r="S430">
        <v>96.089100000000002</v>
      </c>
      <c r="T430">
        <v>21.9588</v>
      </c>
    </row>
    <row r="431" spans="1:20" x14ac:dyDescent="0.3">
      <c r="A431" t="s">
        <v>765</v>
      </c>
      <c r="B431" t="s">
        <v>21</v>
      </c>
      <c r="C431" t="s">
        <v>743</v>
      </c>
      <c r="D431" t="s">
        <v>23</v>
      </c>
      <c r="E431" t="s">
        <v>32</v>
      </c>
      <c r="F431" t="s">
        <v>25</v>
      </c>
      <c r="G431" t="s">
        <v>77</v>
      </c>
      <c r="H431">
        <v>90.65</v>
      </c>
      <c r="I431">
        <v>10</v>
      </c>
      <c r="J431">
        <v>45.325000000000003</v>
      </c>
      <c r="K431">
        <v>906.5</v>
      </c>
      <c r="L431" s="1">
        <v>43683</v>
      </c>
      <c r="M431" s="2">
        <v>0.45347222222222222</v>
      </c>
      <c r="N431" t="s">
        <v>27</v>
      </c>
      <c r="O431">
        <v>906.5</v>
      </c>
      <c r="P431">
        <v>4.7619047620000003</v>
      </c>
      <c r="Q431">
        <v>0</v>
      </c>
      <c r="R431">
        <v>7.46</v>
      </c>
      <c r="S431">
        <v>96.173500000000004</v>
      </c>
      <c r="T431">
        <v>16.840900000000001</v>
      </c>
    </row>
    <row r="432" spans="1:20" x14ac:dyDescent="0.3">
      <c r="A432" t="s">
        <v>766</v>
      </c>
      <c r="B432" t="s">
        <v>21</v>
      </c>
      <c r="C432" t="s">
        <v>385</v>
      </c>
      <c r="D432" t="s">
        <v>53</v>
      </c>
      <c r="E432" t="s">
        <v>32</v>
      </c>
      <c r="F432" t="s">
        <v>36</v>
      </c>
      <c r="G432" t="s">
        <v>100</v>
      </c>
      <c r="H432">
        <v>69.08</v>
      </c>
      <c r="I432">
        <v>3</v>
      </c>
      <c r="J432">
        <v>10.362</v>
      </c>
      <c r="K432">
        <v>207.24</v>
      </c>
      <c r="L432" s="1">
        <v>43638</v>
      </c>
      <c r="M432" s="2">
        <v>0.82499999999999996</v>
      </c>
      <c r="N432" t="s">
        <v>37</v>
      </c>
      <c r="O432">
        <v>138.16</v>
      </c>
      <c r="P432">
        <v>4.7619047620000003</v>
      </c>
      <c r="Q432">
        <v>69.08</v>
      </c>
      <c r="R432">
        <v>8.2799999999999994</v>
      </c>
      <c r="S432">
        <v>96.089100000000002</v>
      </c>
      <c r="T432">
        <v>21.9588</v>
      </c>
    </row>
    <row r="433" spans="1:20" x14ac:dyDescent="0.3">
      <c r="A433" t="s">
        <v>767</v>
      </c>
      <c r="B433" t="s">
        <v>21</v>
      </c>
      <c r="C433" t="s">
        <v>183</v>
      </c>
      <c r="D433" t="s">
        <v>31</v>
      </c>
      <c r="E433" t="s">
        <v>32</v>
      </c>
      <c r="F433" t="s">
        <v>36</v>
      </c>
      <c r="G433" t="s">
        <v>63</v>
      </c>
      <c r="H433">
        <v>43.27</v>
      </c>
      <c r="I433">
        <v>2</v>
      </c>
      <c r="J433">
        <v>4.327</v>
      </c>
      <c r="K433">
        <v>86.54</v>
      </c>
      <c r="L433" s="1">
        <v>43582</v>
      </c>
      <c r="M433" s="2">
        <v>0.70347222222222228</v>
      </c>
      <c r="N433" t="s">
        <v>27</v>
      </c>
      <c r="O433">
        <v>86.54</v>
      </c>
      <c r="P433">
        <v>4.7619047620000003</v>
      </c>
      <c r="Q433">
        <v>0</v>
      </c>
      <c r="R433">
        <v>5.9850000000000003</v>
      </c>
      <c r="S433">
        <v>96.078500000000005</v>
      </c>
      <c r="T433">
        <v>19.763300000000001</v>
      </c>
    </row>
    <row r="434" spans="1:20" x14ac:dyDescent="0.3">
      <c r="A434" t="s">
        <v>768</v>
      </c>
      <c r="B434" t="s">
        <v>21</v>
      </c>
      <c r="C434" t="s">
        <v>769</v>
      </c>
      <c r="D434" t="s">
        <v>23</v>
      </c>
      <c r="E434" t="s">
        <v>32</v>
      </c>
      <c r="F434" t="s">
        <v>25</v>
      </c>
      <c r="G434" t="s">
        <v>60</v>
      </c>
      <c r="H434">
        <v>23.46</v>
      </c>
      <c r="I434">
        <v>6</v>
      </c>
      <c r="J434">
        <v>7.0380000000000003</v>
      </c>
      <c r="K434">
        <v>140.76</v>
      </c>
      <c r="L434" s="1">
        <v>43480</v>
      </c>
      <c r="M434" s="2">
        <v>0.80138888888888893</v>
      </c>
      <c r="N434" t="s">
        <v>27</v>
      </c>
      <c r="O434">
        <v>140.76</v>
      </c>
      <c r="P434">
        <v>4.7619047620000003</v>
      </c>
      <c r="Q434">
        <v>0</v>
      </c>
      <c r="R434">
        <v>6.4</v>
      </c>
      <c r="S434">
        <v>96.173500000000004</v>
      </c>
      <c r="T434">
        <v>16.840900000000001</v>
      </c>
    </row>
    <row r="435" spans="1:20" x14ac:dyDescent="0.3">
      <c r="A435" t="s">
        <v>770</v>
      </c>
      <c r="B435" t="s">
        <v>21</v>
      </c>
      <c r="C435" t="s">
        <v>771</v>
      </c>
      <c r="D435" t="s">
        <v>53</v>
      </c>
      <c r="E435" t="s">
        <v>32</v>
      </c>
      <c r="F435" t="s">
        <v>36</v>
      </c>
      <c r="G435" t="s">
        <v>100</v>
      </c>
      <c r="H435">
        <v>95.54</v>
      </c>
      <c r="I435">
        <v>10</v>
      </c>
      <c r="J435">
        <v>47.77</v>
      </c>
      <c r="K435">
        <v>955.4</v>
      </c>
      <c r="L435" s="1">
        <v>43630</v>
      </c>
      <c r="M435" s="2">
        <v>0.60833333333333328</v>
      </c>
      <c r="N435" t="s">
        <v>37</v>
      </c>
      <c r="O435">
        <v>668.78</v>
      </c>
      <c r="P435">
        <v>4.7619047620000003</v>
      </c>
      <c r="Q435">
        <v>286.62</v>
      </c>
      <c r="R435">
        <v>10</v>
      </c>
      <c r="S435">
        <v>96.089100000000002</v>
      </c>
      <c r="T435">
        <v>21.9588</v>
      </c>
    </row>
    <row r="436" spans="1:20" x14ac:dyDescent="0.3">
      <c r="A436" t="s">
        <v>772</v>
      </c>
      <c r="B436" t="s">
        <v>21</v>
      </c>
      <c r="C436" t="s">
        <v>430</v>
      </c>
      <c r="D436" t="s">
        <v>53</v>
      </c>
      <c r="E436" t="s">
        <v>32</v>
      </c>
      <c r="F436" t="s">
        <v>25</v>
      </c>
      <c r="G436" t="s">
        <v>100</v>
      </c>
      <c r="H436">
        <v>47.44</v>
      </c>
      <c r="I436">
        <v>1</v>
      </c>
      <c r="J436">
        <v>2.3719999999999999</v>
      </c>
      <c r="K436">
        <v>47.44</v>
      </c>
      <c r="L436" s="1">
        <v>43717</v>
      </c>
      <c r="M436" s="2">
        <v>0.7631944444444444</v>
      </c>
      <c r="N436" t="s">
        <v>37</v>
      </c>
      <c r="O436">
        <v>47.44</v>
      </c>
      <c r="P436">
        <v>4.7619047620000003</v>
      </c>
      <c r="Q436">
        <v>0</v>
      </c>
      <c r="R436">
        <v>8.16</v>
      </c>
      <c r="S436">
        <v>96.089100000000002</v>
      </c>
      <c r="T436">
        <v>21.9588</v>
      </c>
    </row>
    <row r="437" spans="1:20" x14ac:dyDescent="0.3">
      <c r="A437" t="s">
        <v>773</v>
      </c>
      <c r="B437" t="s">
        <v>21</v>
      </c>
      <c r="C437" t="s">
        <v>201</v>
      </c>
      <c r="D437" t="s">
        <v>31</v>
      </c>
      <c r="E437" t="s">
        <v>32</v>
      </c>
      <c r="F437" t="s">
        <v>36</v>
      </c>
      <c r="G437" t="s">
        <v>68</v>
      </c>
      <c r="H437">
        <v>99.24</v>
      </c>
      <c r="I437">
        <v>11</v>
      </c>
      <c r="J437">
        <v>54.582000000000001</v>
      </c>
      <c r="K437">
        <v>1091.6400000000001</v>
      </c>
      <c r="L437" s="1">
        <v>43574</v>
      </c>
      <c r="M437" s="2">
        <v>0.79791666666666672</v>
      </c>
      <c r="N437" t="s">
        <v>27</v>
      </c>
      <c r="O437">
        <v>893.16</v>
      </c>
      <c r="P437">
        <v>4.7619047620000003</v>
      </c>
      <c r="Q437">
        <v>198.48</v>
      </c>
      <c r="R437">
        <v>9.4499999999999993</v>
      </c>
      <c r="S437">
        <v>96.078500000000005</v>
      </c>
      <c r="T437">
        <v>19.763300000000001</v>
      </c>
    </row>
    <row r="438" spans="1:20" x14ac:dyDescent="0.3">
      <c r="A438" t="s">
        <v>774</v>
      </c>
      <c r="B438" t="s">
        <v>21</v>
      </c>
      <c r="C438" t="s">
        <v>775</v>
      </c>
      <c r="D438" t="s">
        <v>31</v>
      </c>
      <c r="E438" t="s">
        <v>32</v>
      </c>
      <c r="F438" t="s">
        <v>36</v>
      </c>
      <c r="G438" t="s">
        <v>68</v>
      </c>
      <c r="H438">
        <v>82.93</v>
      </c>
      <c r="I438">
        <v>5</v>
      </c>
      <c r="J438">
        <v>20.732500000000002</v>
      </c>
      <c r="K438">
        <v>414.65</v>
      </c>
      <c r="L438" s="1">
        <v>43716</v>
      </c>
      <c r="M438" s="2">
        <v>0.70208333333333328</v>
      </c>
      <c r="N438" t="s">
        <v>27</v>
      </c>
      <c r="O438">
        <v>331.72</v>
      </c>
      <c r="P438">
        <v>4.7619047620000003</v>
      </c>
      <c r="Q438">
        <v>82.93</v>
      </c>
      <c r="R438">
        <v>10</v>
      </c>
      <c r="S438">
        <v>96.078500000000005</v>
      </c>
      <c r="T438">
        <v>19.763300000000001</v>
      </c>
    </row>
    <row r="439" spans="1:20" x14ac:dyDescent="0.3">
      <c r="A439" t="s">
        <v>776</v>
      </c>
      <c r="B439" t="s">
        <v>21</v>
      </c>
      <c r="C439" t="s">
        <v>589</v>
      </c>
      <c r="D439" t="s">
        <v>23</v>
      </c>
      <c r="E439" t="s">
        <v>32</v>
      </c>
      <c r="F439" t="s">
        <v>36</v>
      </c>
      <c r="G439" t="s">
        <v>77</v>
      </c>
      <c r="H439">
        <v>33.99</v>
      </c>
      <c r="I439">
        <v>6</v>
      </c>
      <c r="J439">
        <v>10.196999999999999</v>
      </c>
      <c r="K439">
        <v>203.94</v>
      </c>
      <c r="L439" s="1">
        <v>43653</v>
      </c>
      <c r="M439" s="2">
        <v>0.65069444444444446</v>
      </c>
      <c r="N439" t="s">
        <v>37</v>
      </c>
      <c r="O439">
        <v>203.94</v>
      </c>
      <c r="P439">
        <v>4.7619047620000003</v>
      </c>
      <c r="Q439">
        <v>0</v>
      </c>
      <c r="R439">
        <v>7.7</v>
      </c>
      <c r="S439">
        <v>96.173500000000004</v>
      </c>
      <c r="T439">
        <v>16.840900000000001</v>
      </c>
    </row>
    <row r="440" spans="1:20" x14ac:dyDescent="0.3">
      <c r="A440" t="s">
        <v>777</v>
      </c>
      <c r="B440" t="s">
        <v>21</v>
      </c>
      <c r="C440" t="s">
        <v>726</v>
      </c>
      <c r="D440" t="s">
        <v>31</v>
      </c>
      <c r="E440" t="s">
        <v>32</v>
      </c>
      <c r="F440" t="s">
        <v>36</v>
      </c>
      <c r="G440" t="s">
        <v>63</v>
      </c>
      <c r="H440">
        <v>17.04</v>
      </c>
      <c r="I440">
        <v>5</v>
      </c>
      <c r="J440">
        <v>4.26</v>
      </c>
      <c r="K440">
        <v>85.2</v>
      </c>
      <c r="L440" s="1">
        <v>43628</v>
      </c>
      <c r="M440" s="2">
        <v>0.84375</v>
      </c>
      <c r="N440" t="s">
        <v>27</v>
      </c>
      <c r="O440">
        <v>68.16</v>
      </c>
      <c r="P440">
        <v>4.7619047620000003</v>
      </c>
      <c r="Q440">
        <v>17.04</v>
      </c>
      <c r="R440">
        <v>7.35</v>
      </c>
      <c r="S440">
        <v>96.078500000000005</v>
      </c>
      <c r="T440">
        <v>19.763300000000001</v>
      </c>
    </row>
    <row r="441" spans="1:20" x14ac:dyDescent="0.3">
      <c r="A441" t="s">
        <v>778</v>
      </c>
      <c r="B441" t="s">
        <v>21</v>
      </c>
      <c r="C441" t="s">
        <v>563</v>
      </c>
      <c r="D441" t="s">
        <v>31</v>
      </c>
      <c r="E441" t="s">
        <v>32</v>
      </c>
      <c r="F441" t="s">
        <v>25</v>
      </c>
      <c r="G441" t="s">
        <v>26</v>
      </c>
      <c r="H441">
        <v>40.86</v>
      </c>
      <c r="I441">
        <v>10</v>
      </c>
      <c r="J441">
        <v>20.43</v>
      </c>
      <c r="K441">
        <v>408.6</v>
      </c>
      <c r="L441" s="1">
        <v>43781</v>
      </c>
      <c r="M441" s="2">
        <v>0.60972222222222228</v>
      </c>
      <c r="N441" t="s">
        <v>37</v>
      </c>
      <c r="O441">
        <v>326.88</v>
      </c>
      <c r="P441">
        <v>4.7619047620000003</v>
      </c>
      <c r="Q441">
        <v>81.72</v>
      </c>
      <c r="R441">
        <v>6.8250000000000002</v>
      </c>
      <c r="S441">
        <v>96.078500000000005</v>
      </c>
      <c r="T441">
        <v>19.763300000000001</v>
      </c>
    </row>
    <row r="442" spans="1:20" x14ac:dyDescent="0.3">
      <c r="A442" t="s">
        <v>779</v>
      </c>
      <c r="B442" t="s">
        <v>21</v>
      </c>
      <c r="C442" t="s">
        <v>780</v>
      </c>
      <c r="D442" t="s">
        <v>31</v>
      </c>
      <c r="E442" t="s">
        <v>32</v>
      </c>
      <c r="F442" t="s">
        <v>36</v>
      </c>
      <c r="G442" t="s">
        <v>26</v>
      </c>
      <c r="H442">
        <v>17.440000000000001</v>
      </c>
      <c r="I442">
        <v>6</v>
      </c>
      <c r="J442">
        <v>5.2320000000000002</v>
      </c>
      <c r="K442">
        <v>104.64</v>
      </c>
      <c r="L442" s="1">
        <v>43826</v>
      </c>
      <c r="M442" s="2">
        <v>0.80902777777777779</v>
      </c>
      <c r="N442" t="s">
        <v>33</v>
      </c>
      <c r="O442">
        <v>87.2</v>
      </c>
      <c r="P442">
        <v>4.7619047620000003</v>
      </c>
      <c r="Q442">
        <v>17.440000000000001</v>
      </c>
      <c r="R442">
        <v>8.5050000000000008</v>
      </c>
      <c r="S442">
        <v>96.078500000000005</v>
      </c>
      <c r="T442">
        <v>19.763300000000001</v>
      </c>
    </row>
    <row r="443" spans="1:20" x14ac:dyDescent="0.3">
      <c r="A443" t="s">
        <v>781</v>
      </c>
      <c r="B443" t="s">
        <v>21</v>
      </c>
      <c r="C443" t="s">
        <v>268</v>
      </c>
      <c r="D443" t="s">
        <v>53</v>
      </c>
      <c r="E443" t="s">
        <v>24</v>
      </c>
      <c r="F443" t="s">
        <v>25</v>
      </c>
      <c r="G443" t="s">
        <v>26</v>
      </c>
      <c r="H443">
        <v>88.43</v>
      </c>
      <c r="I443">
        <v>15</v>
      </c>
      <c r="J443">
        <v>66.322500000000005</v>
      </c>
      <c r="K443">
        <v>1326.45</v>
      </c>
      <c r="L443" s="1">
        <v>43801</v>
      </c>
      <c r="M443" s="2">
        <v>0.81597222222222221</v>
      </c>
      <c r="N443" t="s">
        <v>37</v>
      </c>
      <c r="O443">
        <v>707.44</v>
      </c>
      <c r="P443">
        <v>4.7619047620000003</v>
      </c>
      <c r="Q443">
        <v>619.01</v>
      </c>
      <c r="R443">
        <v>5.16</v>
      </c>
      <c r="S443">
        <v>96.089100000000002</v>
      </c>
      <c r="T443">
        <v>21.9588</v>
      </c>
    </row>
    <row r="444" spans="1:20" x14ac:dyDescent="0.3">
      <c r="A444" t="s">
        <v>782</v>
      </c>
      <c r="B444" t="s">
        <v>21</v>
      </c>
      <c r="C444" t="s">
        <v>783</v>
      </c>
      <c r="D444" t="s">
        <v>23</v>
      </c>
      <c r="E444" t="s">
        <v>24</v>
      </c>
      <c r="F444" t="s">
        <v>25</v>
      </c>
      <c r="G444" t="s">
        <v>26</v>
      </c>
      <c r="H444">
        <v>89.21</v>
      </c>
      <c r="I444">
        <v>13</v>
      </c>
      <c r="J444">
        <v>57.986499999999999</v>
      </c>
      <c r="K444">
        <v>1159.73</v>
      </c>
      <c r="L444" s="1">
        <v>43487</v>
      </c>
      <c r="M444" s="2">
        <v>0.65416666666666667</v>
      </c>
      <c r="N444" t="s">
        <v>37</v>
      </c>
      <c r="O444">
        <v>802.89</v>
      </c>
      <c r="P444">
        <v>4.7619047620000003</v>
      </c>
      <c r="Q444">
        <v>356.84</v>
      </c>
      <c r="R444">
        <v>6.5</v>
      </c>
      <c r="S444">
        <v>96.173500000000004</v>
      </c>
      <c r="T444">
        <v>16.840900000000001</v>
      </c>
    </row>
    <row r="445" spans="1:20" x14ac:dyDescent="0.3">
      <c r="A445" t="s">
        <v>784</v>
      </c>
      <c r="B445" t="s">
        <v>21</v>
      </c>
      <c r="C445" t="s">
        <v>143</v>
      </c>
      <c r="D445" t="s">
        <v>31</v>
      </c>
      <c r="E445" t="s">
        <v>32</v>
      </c>
      <c r="F445" t="s">
        <v>36</v>
      </c>
      <c r="G445" t="s">
        <v>26</v>
      </c>
      <c r="H445">
        <v>12.78</v>
      </c>
      <c r="I445">
        <v>1</v>
      </c>
      <c r="J445">
        <v>0.63900000000000001</v>
      </c>
      <c r="K445">
        <v>12.78</v>
      </c>
      <c r="L445" s="1">
        <v>43777</v>
      </c>
      <c r="M445" s="2">
        <v>0.59097222222222223</v>
      </c>
      <c r="N445" t="s">
        <v>27</v>
      </c>
      <c r="O445">
        <v>12.78</v>
      </c>
      <c r="P445">
        <v>4.7619047620000003</v>
      </c>
      <c r="Q445">
        <v>0</v>
      </c>
      <c r="R445">
        <v>9.9749999999999996</v>
      </c>
      <c r="S445">
        <v>96.078500000000005</v>
      </c>
      <c r="T445">
        <v>19.763300000000001</v>
      </c>
    </row>
    <row r="446" spans="1:20" x14ac:dyDescent="0.3">
      <c r="A446" t="s">
        <v>785</v>
      </c>
      <c r="B446" t="s">
        <v>21</v>
      </c>
      <c r="C446" t="s">
        <v>786</v>
      </c>
      <c r="D446" t="s">
        <v>23</v>
      </c>
      <c r="E446" t="s">
        <v>32</v>
      </c>
      <c r="F446" t="s">
        <v>25</v>
      </c>
      <c r="G446" t="s">
        <v>26</v>
      </c>
      <c r="H446">
        <v>19.100000000000001</v>
      </c>
      <c r="I446">
        <v>7</v>
      </c>
      <c r="J446">
        <v>6.6849999999999996</v>
      </c>
      <c r="K446">
        <v>133.69999999999999</v>
      </c>
      <c r="L446" s="1">
        <v>43764</v>
      </c>
      <c r="M446" s="2">
        <v>0.4465277777777778</v>
      </c>
      <c r="N446" t="s">
        <v>33</v>
      </c>
      <c r="O446">
        <v>133.69999999999999</v>
      </c>
      <c r="P446">
        <v>4.7619047620000003</v>
      </c>
      <c r="Q446">
        <v>0</v>
      </c>
      <c r="R446">
        <v>9.6999999999999993</v>
      </c>
      <c r="S446">
        <v>96.173500000000004</v>
      </c>
      <c r="T446">
        <v>16.840900000000001</v>
      </c>
    </row>
    <row r="447" spans="1:20" x14ac:dyDescent="0.3">
      <c r="A447" t="s">
        <v>787</v>
      </c>
      <c r="B447" t="s">
        <v>21</v>
      </c>
      <c r="C447" t="s">
        <v>649</v>
      </c>
      <c r="D447" t="s">
        <v>53</v>
      </c>
      <c r="E447" t="s">
        <v>24</v>
      </c>
      <c r="F447" t="s">
        <v>25</v>
      </c>
      <c r="G447" t="s">
        <v>26</v>
      </c>
      <c r="H447">
        <v>19.149999999999999</v>
      </c>
      <c r="I447">
        <v>1</v>
      </c>
      <c r="J447">
        <v>0.95750000000000002</v>
      </c>
      <c r="K447">
        <v>19.149999999999999</v>
      </c>
      <c r="L447" s="1">
        <v>43748</v>
      </c>
      <c r="M447" s="2">
        <v>0.74861111111111112</v>
      </c>
      <c r="N447" t="s">
        <v>37</v>
      </c>
      <c r="O447">
        <v>19.149999999999999</v>
      </c>
      <c r="P447">
        <v>4.7619047620000003</v>
      </c>
      <c r="Q447">
        <v>0</v>
      </c>
      <c r="R447">
        <v>10</v>
      </c>
      <c r="S447">
        <v>96.089100000000002</v>
      </c>
      <c r="T447">
        <v>21.9588</v>
      </c>
    </row>
    <row r="448" spans="1:20" x14ac:dyDescent="0.3">
      <c r="A448" t="s">
        <v>788</v>
      </c>
      <c r="B448" t="s">
        <v>21</v>
      </c>
      <c r="C448" t="s">
        <v>493</v>
      </c>
      <c r="D448" t="s">
        <v>31</v>
      </c>
      <c r="E448" t="s">
        <v>24</v>
      </c>
      <c r="F448" t="s">
        <v>36</v>
      </c>
      <c r="G448" t="s">
        <v>63</v>
      </c>
      <c r="H448">
        <v>27.66</v>
      </c>
      <c r="I448">
        <v>17</v>
      </c>
      <c r="J448">
        <v>23.510999999999999</v>
      </c>
      <c r="K448">
        <v>470.22</v>
      </c>
      <c r="L448" s="1">
        <v>43820</v>
      </c>
      <c r="M448" s="2">
        <v>0.47638888888888886</v>
      </c>
      <c r="N448" t="s">
        <v>37</v>
      </c>
      <c r="O448">
        <v>276.60000000000002</v>
      </c>
      <c r="P448">
        <v>4.7619047620000003</v>
      </c>
      <c r="Q448">
        <v>193.62</v>
      </c>
      <c r="R448">
        <v>9.3450000000000006</v>
      </c>
      <c r="S448">
        <v>96.078500000000005</v>
      </c>
      <c r="T448">
        <v>19.763300000000001</v>
      </c>
    </row>
    <row r="449" spans="1:20" x14ac:dyDescent="0.3">
      <c r="A449" t="s">
        <v>789</v>
      </c>
      <c r="B449" t="s">
        <v>21</v>
      </c>
      <c r="C449" t="s">
        <v>389</v>
      </c>
      <c r="D449" t="s">
        <v>31</v>
      </c>
      <c r="E449" t="s">
        <v>32</v>
      </c>
      <c r="F449" t="s">
        <v>36</v>
      </c>
      <c r="G449" t="s">
        <v>100</v>
      </c>
      <c r="H449">
        <v>45.74</v>
      </c>
      <c r="I449">
        <v>4</v>
      </c>
      <c r="J449">
        <v>9.1479999999999997</v>
      </c>
      <c r="K449">
        <v>182.96</v>
      </c>
      <c r="L449" s="1">
        <v>43637</v>
      </c>
      <c r="M449" s="2">
        <v>0.73472222222222228</v>
      </c>
      <c r="N449" t="s">
        <v>37</v>
      </c>
      <c r="O449">
        <v>137.22</v>
      </c>
      <c r="P449">
        <v>4.7619047620000003</v>
      </c>
      <c r="Q449">
        <v>45.74</v>
      </c>
      <c r="R449">
        <v>6.8250000000000002</v>
      </c>
      <c r="S449">
        <v>96.078500000000005</v>
      </c>
      <c r="T449">
        <v>19.763300000000001</v>
      </c>
    </row>
    <row r="450" spans="1:20" x14ac:dyDescent="0.3">
      <c r="A450" t="s">
        <v>790</v>
      </c>
      <c r="B450" t="s">
        <v>21</v>
      </c>
      <c r="C450" t="s">
        <v>791</v>
      </c>
      <c r="D450" t="s">
        <v>53</v>
      </c>
      <c r="E450" t="s">
        <v>24</v>
      </c>
      <c r="F450" t="s">
        <v>25</v>
      </c>
      <c r="G450" t="s">
        <v>26</v>
      </c>
      <c r="H450">
        <v>27.07</v>
      </c>
      <c r="I450">
        <v>1</v>
      </c>
      <c r="J450">
        <v>1.3534999999999999</v>
      </c>
      <c r="K450">
        <v>27.07</v>
      </c>
      <c r="L450" s="1">
        <v>43775</v>
      </c>
      <c r="M450" s="2">
        <v>0.83819444444444446</v>
      </c>
      <c r="N450" t="s">
        <v>37</v>
      </c>
      <c r="O450">
        <v>27.07</v>
      </c>
      <c r="P450">
        <v>4.7619047620000003</v>
      </c>
      <c r="Q450">
        <v>0</v>
      </c>
      <c r="R450">
        <v>6.36</v>
      </c>
      <c r="S450">
        <v>96.089100000000002</v>
      </c>
      <c r="T450">
        <v>21.9588</v>
      </c>
    </row>
    <row r="451" spans="1:20" x14ac:dyDescent="0.3">
      <c r="A451" t="s">
        <v>792</v>
      </c>
      <c r="B451" t="s">
        <v>21</v>
      </c>
      <c r="C451" t="s">
        <v>665</v>
      </c>
      <c r="D451" t="s">
        <v>53</v>
      </c>
      <c r="E451" t="s">
        <v>24</v>
      </c>
      <c r="F451" t="s">
        <v>25</v>
      </c>
      <c r="G451" t="s">
        <v>100</v>
      </c>
      <c r="H451">
        <v>39.119999999999997</v>
      </c>
      <c r="I451">
        <v>1</v>
      </c>
      <c r="J451">
        <v>1.956</v>
      </c>
      <c r="K451">
        <v>39.119999999999997</v>
      </c>
      <c r="L451" s="1">
        <v>43512</v>
      </c>
      <c r="M451" s="2">
        <v>0.4597222222222222</v>
      </c>
      <c r="N451" t="s">
        <v>37</v>
      </c>
      <c r="O451">
        <v>39.119999999999997</v>
      </c>
      <c r="P451">
        <v>4.7619047620000003</v>
      </c>
      <c r="Q451">
        <v>0</v>
      </c>
      <c r="R451">
        <v>10</v>
      </c>
      <c r="S451">
        <v>96.089100000000002</v>
      </c>
      <c r="T451">
        <v>21.9588</v>
      </c>
    </row>
    <row r="452" spans="1:20" x14ac:dyDescent="0.3">
      <c r="A452" t="s">
        <v>793</v>
      </c>
      <c r="B452" t="s">
        <v>21</v>
      </c>
      <c r="C452" t="s">
        <v>794</v>
      </c>
      <c r="D452" t="s">
        <v>53</v>
      </c>
      <c r="E452" t="s">
        <v>32</v>
      </c>
      <c r="F452" t="s">
        <v>25</v>
      </c>
      <c r="G452" t="s">
        <v>100</v>
      </c>
      <c r="H452">
        <v>74.709999999999994</v>
      </c>
      <c r="I452">
        <v>8</v>
      </c>
      <c r="J452">
        <v>29.884</v>
      </c>
      <c r="K452">
        <v>597.67999999999995</v>
      </c>
      <c r="L452" s="1">
        <v>43810</v>
      </c>
      <c r="M452" s="2">
        <v>0.79652777777777772</v>
      </c>
      <c r="N452" t="s">
        <v>33</v>
      </c>
      <c r="O452">
        <v>448.26</v>
      </c>
      <c r="P452">
        <v>4.7619047620000003</v>
      </c>
      <c r="Q452">
        <v>149.41999999999999</v>
      </c>
      <c r="R452">
        <v>8.0399999999999991</v>
      </c>
      <c r="S452">
        <v>96.089100000000002</v>
      </c>
      <c r="T452">
        <v>21.9588</v>
      </c>
    </row>
    <row r="453" spans="1:20" x14ac:dyDescent="0.3">
      <c r="A453" t="s">
        <v>795</v>
      </c>
      <c r="B453" t="s">
        <v>21</v>
      </c>
      <c r="C453" t="s">
        <v>469</v>
      </c>
      <c r="D453" t="s">
        <v>53</v>
      </c>
      <c r="E453" t="s">
        <v>32</v>
      </c>
      <c r="F453" t="s">
        <v>36</v>
      </c>
      <c r="G453" t="s">
        <v>100</v>
      </c>
      <c r="H453">
        <v>22.01</v>
      </c>
      <c r="I453">
        <v>8</v>
      </c>
      <c r="J453">
        <v>8.8040000000000003</v>
      </c>
      <c r="K453">
        <v>176.08</v>
      </c>
      <c r="L453" s="1">
        <v>43512</v>
      </c>
      <c r="M453" s="2">
        <v>0.78472222222222221</v>
      </c>
      <c r="N453" t="s">
        <v>33</v>
      </c>
      <c r="O453">
        <v>132.06</v>
      </c>
      <c r="P453">
        <v>4.7619047620000003</v>
      </c>
      <c r="Q453">
        <v>44.02</v>
      </c>
      <c r="R453">
        <v>9.1199999999999992</v>
      </c>
      <c r="S453">
        <v>96.089100000000002</v>
      </c>
      <c r="T453">
        <v>21.9588</v>
      </c>
    </row>
    <row r="454" spans="1:20" x14ac:dyDescent="0.3">
      <c r="A454" t="s">
        <v>796</v>
      </c>
      <c r="B454" t="s">
        <v>21</v>
      </c>
      <c r="C454" t="s">
        <v>797</v>
      </c>
      <c r="D454" t="s">
        <v>23</v>
      </c>
      <c r="E454" t="s">
        <v>32</v>
      </c>
      <c r="F454" t="s">
        <v>25</v>
      </c>
      <c r="G454" t="s">
        <v>100</v>
      </c>
      <c r="H454">
        <v>63.61</v>
      </c>
      <c r="I454">
        <v>5</v>
      </c>
      <c r="J454">
        <v>15.9025</v>
      </c>
      <c r="K454">
        <v>318.05</v>
      </c>
      <c r="L454" s="1">
        <v>43508</v>
      </c>
      <c r="M454" s="2">
        <v>0.52986111111111112</v>
      </c>
      <c r="N454" t="s">
        <v>27</v>
      </c>
      <c r="O454">
        <v>318.05</v>
      </c>
      <c r="P454">
        <v>4.7619047620000003</v>
      </c>
      <c r="Q454">
        <v>0</v>
      </c>
      <c r="R454">
        <v>4.8</v>
      </c>
      <c r="S454">
        <v>96.173500000000004</v>
      </c>
      <c r="T454">
        <v>16.840900000000001</v>
      </c>
    </row>
    <row r="455" spans="1:20" x14ac:dyDescent="0.3">
      <c r="A455" t="s">
        <v>798</v>
      </c>
      <c r="B455" t="s">
        <v>21</v>
      </c>
      <c r="C455" t="s">
        <v>799</v>
      </c>
      <c r="D455" t="s">
        <v>23</v>
      </c>
      <c r="E455" t="s">
        <v>32</v>
      </c>
      <c r="F455" t="s">
        <v>36</v>
      </c>
      <c r="G455" t="s">
        <v>100</v>
      </c>
      <c r="H455">
        <v>25</v>
      </c>
      <c r="I455">
        <v>1</v>
      </c>
      <c r="J455">
        <v>1.25</v>
      </c>
      <c r="K455">
        <v>25</v>
      </c>
      <c r="L455" s="1">
        <v>43475</v>
      </c>
      <c r="M455" s="2">
        <v>0.63124999999999998</v>
      </c>
      <c r="N455" t="s">
        <v>27</v>
      </c>
      <c r="O455">
        <v>25</v>
      </c>
      <c r="P455">
        <v>4.7619047620000003</v>
      </c>
      <c r="Q455">
        <v>0</v>
      </c>
      <c r="R455">
        <v>5.5</v>
      </c>
      <c r="S455">
        <v>96.173500000000004</v>
      </c>
      <c r="T455">
        <v>16.840900000000001</v>
      </c>
    </row>
    <row r="456" spans="1:20" x14ac:dyDescent="0.3">
      <c r="A456" t="s">
        <v>800</v>
      </c>
      <c r="B456" t="s">
        <v>21</v>
      </c>
      <c r="C456" t="s">
        <v>801</v>
      </c>
      <c r="D456" t="s">
        <v>23</v>
      </c>
      <c r="E456" t="s">
        <v>24</v>
      </c>
      <c r="F456" t="s">
        <v>36</v>
      </c>
      <c r="G456" t="s">
        <v>100</v>
      </c>
      <c r="H456">
        <v>20.77</v>
      </c>
      <c r="I456">
        <v>6</v>
      </c>
      <c r="J456">
        <v>6.2309999999999999</v>
      </c>
      <c r="K456">
        <v>124.62</v>
      </c>
      <c r="L456" s="1">
        <v>43766</v>
      </c>
      <c r="M456" s="2">
        <v>0.57430555555555551</v>
      </c>
      <c r="N456" t="s">
        <v>33</v>
      </c>
      <c r="O456">
        <v>83.08</v>
      </c>
      <c r="P456">
        <v>4.7619047620000003</v>
      </c>
      <c r="Q456">
        <v>41.54</v>
      </c>
      <c r="R456">
        <v>4.7</v>
      </c>
      <c r="S456">
        <v>96.173500000000004</v>
      </c>
      <c r="T456">
        <v>16.840900000000001</v>
      </c>
    </row>
    <row r="457" spans="1:20" x14ac:dyDescent="0.3">
      <c r="A457" t="s">
        <v>802</v>
      </c>
      <c r="B457" t="s">
        <v>21</v>
      </c>
      <c r="C457" t="s">
        <v>803</v>
      </c>
      <c r="D457" t="s">
        <v>53</v>
      </c>
      <c r="E457" t="s">
        <v>24</v>
      </c>
      <c r="F457" t="s">
        <v>25</v>
      </c>
      <c r="G457" t="s">
        <v>100</v>
      </c>
      <c r="H457">
        <v>29.56</v>
      </c>
      <c r="I457">
        <v>10</v>
      </c>
      <c r="J457">
        <v>14.78</v>
      </c>
      <c r="K457">
        <v>295.60000000000002</v>
      </c>
      <c r="L457" s="1">
        <v>43821</v>
      </c>
      <c r="M457" s="2">
        <v>0.70763888888888893</v>
      </c>
      <c r="N457" t="s">
        <v>33</v>
      </c>
      <c r="O457">
        <v>147.80000000000001</v>
      </c>
      <c r="P457">
        <v>4.7619047620000003</v>
      </c>
      <c r="Q457">
        <v>147.80000000000001</v>
      </c>
      <c r="R457">
        <v>8.2799999999999994</v>
      </c>
      <c r="S457">
        <v>96.089100000000002</v>
      </c>
      <c r="T457">
        <v>21.9588</v>
      </c>
    </row>
    <row r="458" spans="1:20" x14ac:dyDescent="0.3">
      <c r="A458" t="s">
        <v>804</v>
      </c>
      <c r="B458" t="s">
        <v>21</v>
      </c>
      <c r="C458" t="s">
        <v>805</v>
      </c>
      <c r="D458" t="s">
        <v>53</v>
      </c>
      <c r="E458" t="s">
        <v>24</v>
      </c>
      <c r="F458" t="s">
        <v>25</v>
      </c>
      <c r="G458" t="s">
        <v>100</v>
      </c>
      <c r="H458">
        <v>77.400000000000006</v>
      </c>
      <c r="I458">
        <v>18</v>
      </c>
      <c r="J458">
        <v>69.66</v>
      </c>
      <c r="K458">
        <v>1393.2</v>
      </c>
      <c r="L458" s="1">
        <v>43732</v>
      </c>
      <c r="M458" s="2">
        <v>0.59375</v>
      </c>
      <c r="N458" t="s">
        <v>37</v>
      </c>
      <c r="O458">
        <v>696.6</v>
      </c>
      <c r="P458">
        <v>4.7619047620000003</v>
      </c>
      <c r="Q458">
        <v>696.6</v>
      </c>
      <c r="R458">
        <v>5.4</v>
      </c>
      <c r="S458">
        <v>96.089100000000002</v>
      </c>
      <c r="T458">
        <v>21.9588</v>
      </c>
    </row>
    <row r="459" spans="1:20" x14ac:dyDescent="0.3">
      <c r="A459" t="s">
        <v>806</v>
      </c>
      <c r="B459" t="s">
        <v>21</v>
      </c>
      <c r="C459" t="s">
        <v>227</v>
      </c>
      <c r="D459" t="s">
        <v>53</v>
      </c>
      <c r="E459" t="s">
        <v>32</v>
      </c>
      <c r="F459" t="s">
        <v>36</v>
      </c>
      <c r="G459" t="s">
        <v>100</v>
      </c>
      <c r="H459">
        <v>79.39</v>
      </c>
      <c r="I459">
        <v>14</v>
      </c>
      <c r="J459">
        <v>55.573</v>
      </c>
      <c r="K459">
        <v>1111.46</v>
      </c>
      <c r="L459" s="1">
        <v>43554</v>
      </c>
      <c r="M459" s="2">
        <v>0.85</v>
      </c>
      <c r="N459" t="s">
        <v>33</v>
      </c>
      <c r="O459">
        <v>793.9</v>
      </c>
      <c r="P459">
        <v>4.7619047620000003</v>
      </c>
      <c r="Q459">
        <v>317.56</v>
      </c>
      <c r="R459">
        <v>7.44</v>
      </c>
      <c r="S459">
        <v>96.089100000000002</v>
      </c>
      <c r="T459">
        <v>21.9588</v>
      </c>
    </row>
    <row r="460" spans="1:20" x14ac:dyDescent="0.3">
      <c r="A460" t="s">
        <v>807</v>
      </c>
      <c r="B460" t="s">
        <v>21</v>
      </c>
      <c r="C460" t="s">
        <v>808</v>
      </c>
      <c r="D460" t="s">
        <v>31</v>
      </c>
      <c r="E460" t="s">
        <v>24</v>
      </c>
      <c r="F460" t="s">
        <v>25</v>
      </c>
      <c r="G460" t="s">
        <v>100</v>
      </c>
      <c r="H460">
        <v>46.57</v>
      </c>
      <c r="I460">
        <v>17</v>
      </c>
      <c r="J460">
        <v>39.584499999999998</v>
      </c>
      <c r="K460">
        <v>791.69</v>
      </c>
      <c r="L460" s="1">
        <v>43567</v>
      </c>
      <c r="M460" s="2">
        <v>0.58194444444444449</v>
      </c>
      <c r="N460" t="s">
        <v>33</v>
      </c>
      <c r="O460">
        <v>465.7</v>
      </c>
      <c r="P460">
        <v>4.7619047620000003</v>
      </c>
      <c r="Q460">
        <v>325.99</v>
      </c>
      <c r="R460">
        <v>7.98</v>
      </c>
      <c r="S460">
        <v>96.078500000000005</v>
      </c>
      <c r="T460">
        <v>19.763300000000001</v>
      </c>
    </row>
    <row r="461" spans="1:20" x14ac:dyDescent="0.3">
      <c r="A461" t="s">
        <v>809</v>
      </c>
      <c r="B461" t="s">
        <v>21</v>
      </c>
      <c r="C461" t="s">
        <v>810</v>
      </c>
      <c r="D461" t="s">
        <v>31</v>
      </c>
      <c r="E461" t="s">
        <v>32</v>
      </c>
      <c r="F461" t="s">
        <v>36</v>
      </c>
      <c r="G461" t="s">
        <v>100</v>
      </c>
      <c r="H461">
        <v>35.89</v>
      </c>
      <c r="I461">
        <v>1</v>
      </c>
      <c r="J461">
        <v>1.7945</v>
      </c>
      <c r="K461">
        <v>35.89</v>
      </c>
      <c r="L461" s="1">
        <v>43467</v>
      </c>
      <c r="M461" s="2">
        <v>0.70277777777777772</v>
      </c>
      <c r="N461" t="s">
        <v>37</v>
      </c>
      <c r="O461">
        <v>35.89</v>
      </c>
      <c r="P461">
        <v>4.7619047620000003</v>
      </c>
      <c r="Q461">
        <v>0</v>
      </c>
      <c r="R461">
        <v>8.2949999999999999</v>
      </c>
      <c r="S461">
        <v>96.078500000000005</v>
      </c>
      <c r="T461">
        <v>19.763300000000001</v>
      </c>
    </row>
    <row r="462" spans="1:20" x14ac:dyDescent="0.3">
      <c r="A462" t="s">
        <v>811</v>
      </c>
      <c r="B462" t="s">
        <v>21</v>
      </c>
      <c r="C462" t="s">
        <v>639</v>
      </c>
      <c r="D462" t="s">
        <v>31</v>
      </c>
      <c r="E462" t="s">
        <v>32</v>
      </c>
      <c r="F462" t="s">
        <v>36</v>
      </c>
      <c r="G462" t="s">
        <v>100</v>
      </c>
      <c r="H462">
        <v>40.520000000000003</v>
      </c>
      <c r="I462">
        <v>6</v>
      </c>
      <c r="J462">
        <v>12.156000000000001</v>
      </c>
      <c r="K462">
        <v>243.12</v>
      </c>
      <c r="L462" s="1">
        <v>43795</v>
      </c>
      <c r="M462" s="2">
        <v>0.6381944444444444</v>
      </c>
      <c r="N462" t="s">
        <v>33</v>
      </c>
      <c r="O462">
        <v>202.6</v>
      </c>
      <c r="P462">
        <v>4.7619047620000003</v>
      </c>
      <c r="Q462">
        <v>40.520000000000003</v>
      </c>
      <c r="R462">
        <v>4.7249999999999996</v>
      </c>
      <c r="S462">
        <v>96.078500000000005</v>
      </c>
      <c r="T462">
        <v>19.763300000000001</v>
      </c>
    </row>
    <row r="463" spans="1:20" x14ac:dyDescent="0.3">
      <c r="A463" t="s">
        <v>812</v>
      </c>
      <c r="B463" t="s">
        <v>21</v>
      </c>
      <c r="C463" t="s">
        <v>629</v>
      </c>
      <c r="D463" t="s">
        <v>53</v>
      </c>
      <c r="E463" t="s">
        <v>24</v>
      </c>
      <c r="F463" t="s">
        <v>25</v>
      </c>
      <c r="G463" t="s">
        <v>100</v>
      </c>
      <c r="H463">
        <v>73.05</v>
      </c>
      <c r="I463">
        <v>20</v>
      </c>
      <c r="J463">
        <v>73.05</v>
      </c>
      <c r="K463">
        <v>1461</v>
      </c>
      <c r="L463" s="1">
        <v>43736</v>
      </c>
      <c r="M463" s="2">
        <v>0.51736111111111116</v>
      </c>
      <c r="N463" t="s">
        <v>37</v>
      </c>
      <c r="O463">
        <v>730.5</v>
      </c>
      <c r="P463">
        <v>4.7619047620000003</v>
      </c>
      <c r="Q463">
        <v>730.5</v>
      </c>
      <c r="R463">
        <v>10</v>
      </c>
      <c r="S463">
        <v>96.089100000000002</v>
      </c>
      <c r="T463">
        <v>21.9588</v>
      </c>
    </row>
    <row r="464" spans="1:20" x14ac:dyDescent="0.3">
      <c r="A464" t="s">
        <v>813</v>
      </c>
      <c r="B464" t="s">
        <v>21</v>
      </c>
      <c r="C464" t="s">
        <v>136</v>
      </c>
      <c r="D464" t="s">
        <v>31</v>
      </c>
      <c r="E464" t="s">
        <v>32</v>
      </c>
      <c r="F464" t="s">
        <v>25</v>
      </c>
      <c r="G464" t="s">
        <v>68</v>
      </c>
      <c r="H464">
        <v>73.95</v>
      </c>
      <c r="I464">
        <v>5</v>
      </c>
      <c r="J464">
        <v>18.487500000000001</v>
      </c>
      <c r="K464">
        <v>369.75</v>
      </c>
      <c r="L464" s="1">
        <v>43764</v>
      </c>
      <c r="M464" s="2">
        <v>0.41805555555555557</v>
      </c>
      <c r="N464" t="s">
        <v>33</v>
      </c>
      <c r="O464">
        <v>295.8</v>
      </c>
      <c r="P464">
        <v>4.7619047620000003</v>
      </c>
      <c r="Q464">
        <v>73.95</v>
      </c>
      <c r="R464">
        <v>6.4050000000000002</v>
      </c>
      <c r="S464">
        <v>96.078500000000005</v>
      </c>
      <c r="T464">
        <v>19.763300000000001</v>
      </c>
    </row>
    <row r="465" spans="1:20" x14ac:dyDescent="0.3">
      <c r="A465" t="s">
        <v>814</v>
      </c>
      <c r="B465" t="s">
        <v>21</v>
      </c>
      <c r="C465" t="s">
        <v>815</v>
      </c>
      <c r="D465" t="s">
        <v>31</v>
      </c>
      <c r="E465" t="s">
        <v>24</v>
      </c>
      <c r="F465" t="s">
        <v>25</v>
      </c>
      <c r="G465" t="s">
        <v>63</v>
      </c>
      <c r="H465">
        <v>22.62</v>
      </c>
      <c r="I465">
        <v>1</v>
      </c>
      <c r="J465">
        <v>1.131</v>
      </c>
      <c r="K465">
        <v>22.62</v>
      </c>
      <c r="L465" s="1">
        <v>43628</v>
      </c>
      <c r="M465" s="2">
        <v>0.79027777777777775</v>
      </c>
      <c r="N465" t="s">
        <v>33</v>
      </c>
      <c r="O465">
        <v>22.62</v>
      </c>
      <c r="P465">
        <v>4.7619047620000003</v>
      </c>
      <c r="Q465">
        <v>0</v>
      </c>
      <c r="R465">
        <v>6.72</v>
      </c>
      <c r="S465">
        <v>96.078500000000005</v>
      </c>
      <c r="T465">
        <v>19.763300000000001</v>
      </c>
    </row>
    <row r="466" spans="1:20" x14ac:dyDescent="0.3">
      <c r="A466" t="s">
        <v>816</v>
      </c>
      <c r="B466" t="s">
        <v>21</v>
      </c>
      <c r="C466" t="s">
        <v>397</v>
      </c>
      <c r="D466" t="s">
        <v>23</v>
      </c>
      <c r="E466" t="s">
        <v>24</v>
      </c>
      <c r="F466" t="s">
        <v>36</v>
      </c>
      <c r="G466" t="s">
        <v>63</v>
      </c>
      <c r="H466">
        <v>51.34</v>
      </c>
      <c r="I466">
        <v>7</v>
      </c>
      <c r="J466">
        <v>17.969000000000001</v>
      </c>
      <c r="K466">
        <v>359.38</v>
      </c>
      <c r="L466" s="1">
        <v>43677</v>
      </c>
      <c r="M466" s="2">
        <v>0.64652777777777781</v>
      </c>
      <c r="N466" t="s">
        <v>37</v>
      </c>
      <c r="O466">
        <v>256.7</v>
      </c>
      <c r="P466">
        <v>4.7619047620000003</v>
      </c>
      <c r="Q466">
        <v>102.68</v>
      </c>
      <c r="R466">
        <v>9.1</v>
      </c>
      <c r="S466">
        <v>96.173500000000004</v>
      </c>
      <c r="T466">
        <v>16.840900000000001</v>
      </c>
    </row>
    <row r="467" spans="1:20" x14ac:dyDescent="0.3">
      <c r="A467" t="s">
        <v>817</v>
      </c>
      <c r="B467" t="s">
        <v>21</v>
      </c>
      <c r="C467" t="s">
        <v>143</v>
      </c>
      <c r="D467" t="s">
        <v>31</v>
      </c>
      <c r="E467" t="s">
        <v>24</v>
      </c>
      <c r="F467" t="s">
        <v>25</v>
      </c>
      <c r="G467" t="s">
        <v>68</v>
      </c>
      <c r="H467">
        <v>54.55</v>
      </c>
      <c r="I467">
        <v>17</v>
      </c>
      <c r="J467">
        <v>46.3675</v>
      </c>
      <c r="K467">
        <v>927.35</v>
      </c>
      <c r="L467" s="1">
        <v>43604</v>
      </c>
      <c r="M467" s="2">
        <v>0.47361111111111109</v>
      </c>
      <c r="N467" t="s">
        <v>37</v>
      </c>
      <c r="O467">
        <v>545.5</v>
      </c>
      <c r="P467">
        <v>4.7619047620000003</v>
      </c>
      <c r="Q467">
        <v>381.85</v>
      </c>
      <c r="R467">
        <v>7.4550000000000001</v>
      </c>
      <c r="S467">
        <v>96.078500000000005</v>
      </c>
      <c r="T467">
        <v>19.763300000000001</v>
      </c>
    </row>
    <row r="468" spans="1:20" x14ac:dyDescent="0.3">
      <c r="A468" t="s">
        <v>818</v>
      </c>
      <c r="B468" t="s">
        <v>21</v>
      </c>
      <c r="C468" t="s">
        <v>819</v>
      </c>
      <c r="D468" t="s">
        <v>31</v>
      </c>
      <c r="E468" t="s">
        <v>24</v>
      </c>
      <c r="F468" t="s">
        <v>25</v>
      </c>
      <c r="G468" t="s">
        <v>26</v>
      </c>
      <c r="H468">
        <v>37.15</v>
      </c>
      <c r="I468">
        <v>11</v>
      </c>
      <c r="J468">
        <v>20.432500000000001</v>
      </c>
      <c r="K468">
        <v>408.65</v>
      </c>
      <c r="L468" s="1">
        <v>43627</v>
      </c>
      <c r="M468" s="2">
        <v>0.55000000000000004</v>
      </c>
      <c r="N468" t="s">
        <v>37</v>
      </c>
      <c r="O468">
        <v>260.05</v>
      </c>
      <c r="P468">
        <v>4.7619047620000003</v>
      </c>
      <c r="Q468">
        <v>148.6</v>
      </c>
      <c r="R468">
        <v>8.0850000000000009</v>
      </c>
      <c r="S468">
        <v>96.078500000000005</v>
      </c>
      <c r="T468">
        <v>19.763300000000001</v>
      </c>
    </row>
    <row r="469" spans="1:20" x14ac:dyDescent="0.3">
      <c r="A469" t="s">
        <v>820</v>
      </c>
      <c r="B469" t="s">
        <v>21</v>
      </c>
      <c r="C469" t="s">
        <v>821</v>
      </c>
      <c r="D469" t="s">
        <v>53</v>
      </c>
      <c r="E469" t="s">
        <v>32</v>
      </c>
      <c r="F469" t="s">
        <v>36</v>
      </c>
      <c r="G469" t="s">
        <v>68</v>
      </c>
      <c r="H469">
        <v>37.020000000000003</v>
      </c>
      <c r="I469">
        <v>8</v>
      </c>
      <c r="J469">
        <v>14.808</v>
      </c>
      <c r="K469">
        <v>296.16000000000003</v>
      </c>
      <c r="L469" s="1">
        <v>43694</v>
      </c>
      <c r="M469" s="2">
        <v>0.7729166666666667</v>
      </c>
      <c r="N469" t="s">
        <v>33</v>
      </c>
      <c r="O469">
        <v>222.12</v>
      </c>
      <c r="P469">
        <v>4.7619047620000003</v>
      </c>
      <c r="Q469">
        <v>74.040000000000006</v>
      </c>
      <c r="R469">
        <v>5.4</v>
      </c>
      <c r="S469">
        <v>96.089100000000002</v>
      </c>
      <c r="T469">
        <v>21.9588</v>
      </c>
    </row>
    <row r="470" spans="1:20" x14ac:dyDescent="0.3">
      <c r="A470" t="s">
        <v>822</v>
      </c>
      <c r="B470" t="s">
        <v>21</v>
      </c>
      <c r="C470" t="s">
        <v>631</v>
      </c>
      <c r="D470" t="s">
        <v>31</v>
      </c>
      <c r="E470" t="s">
        <v>32</v>
      </c>
      <c r="F470" t="s">
        <v>36</v>
      </c>
      <c r="G470" t="s">
        <v>63</v>
      </c>
      <c r="H470">
        <v>21.58</v>
      </c>
      <c r="I470">
        <v>1</v>
      </c>
      <c r="J470">
        <v>1.079</v>
      </c>
      <c r="K470">
        <v>21.58</v>
      </c>
      <c r="L470" s="1">
        <v>43779</v>
      </c>
      <c r="M470" s="2">
        <v>0.41805555555555557</v>
      </c>
      <c r="N470" t="s">
        <v>27</v>
      </c>
      <c r="O470">
        <v>21.58</v>
      </c>
      <c r="P470">
        <v>4.7619047620000003</v>
      </c>
      <c r="Q470">
        <v>0</v>
      </c>
      <c r="R470">
        <v>7.56</v>
      </c>
      <c r="S470">
        <v>96.078500000000005</v>
      </c>
      <c r="T470">
        <v>19.763300000000001</v>
      </c>
    </row>
    <row r="471" spans="1:20" x14ac:dyDescent="0.3">
      <c r="A471" t="s">
        <v>823</v>
      </c>
      <c r="B471" t="s">
        <v>21</v>
      </c>
      <c r="C471" t="s">
        <v>229</v>
      </c>
      <c r="D471" t="s">
        <v>31</v>
      </c>
      <c r="E471" t="s">
        <v>24</v>
      </c>
      <c r="F471" t="s">
        <v>25</v>
      </c>
      <c r="G471" t="s">
        <v>60</v>
      </c>
      <c r="H471">
        <v>98.84</v>
      </c>
      <c r="I471">
        <v>1</v>
      </c>
      <c r="J471">
        <v>4.9420000000000002</v>
      </c>
      <c r="K471">
        <v>98.84</v>
      </c>
      <c r="L471" s="1">
        <v>43614</v>
      </c>
      <c r="M471" s="2">
        <v>0.47291666666666665</v>
      </c>
      <c r="N471" t="s">
        <v>33</v>
      </c>
      <c r="O471">
        <v>98.84</v>
      </c>
      <c r="P471">
        <v>4.7619047620000003</v>
      </c>
      <c r="Q471">
        <v>0</v>
      </c>
      <c r="R471">
        <v>8.82</v>
      </c>
      <c r="S471">
        <v>96.078500000000005</v>
      </c>
      <c r="T471">
        <v>19.763300000000001</v>
      </c>
    </row>
    <row r="472" spans="1:20" x14ac:dyDescent="0.3">
      <c r="A472" t="s">
        <v>824</v>
      </c>
      <c r="B472" t="s">
        <v>21</v>
      </c>
      <c r="C472" t="s">
        <v>825</v>
      </c>
      <c r="D472" t="s">
        <v>31</v>
      </c>
      <c r="E472" t="s">
        <v>24</v>
      </c>
      <c r="F472" t="s">
        <v>25</v>
      </c>
      <c r="G472" t="s">
        <v>77</v>
      </c>
      <c r="H472">
        <v>83.77</v>
      </c>
      <c r="I472">
        <v>10</v>
      </c>
      <c r="J472">
        <v>41.884999999999998</v>
      </c>
      <c r="K472">
        <v>837.7</v>
      </c>
      <c r="L472" s="1">
        <v>43703</v>
      </c>
      <c r="M472" s="2">
        <v>0.50694444444444442</v>
      </c>
      <c r="N472" t="s">
        <v>27</v>
      </c>
      <c r="O472">
        <v>502.62</v>
      </c>
      <c r="P472">
        <v>4.7619047620000003</v>
      </c>
      <c r="Q472">
        <v>335.08</v>
      </c>
      <c r="R472">
        <v>5.67</v>
      </c>
      <c r="S472">
        <v>96.078500000000005</v>
      </c>
      <c r="T472">
        <v>19.763300000000001</v>
      </c>
    </row>
    <row r="473" spans="1:20" x14ac:dyDescent="0.3">
      <c r="A473" t="s">
        <v>826</v>
      </c>
      <c r="B473" t="s">
        <v>21</v>
      </c>
      <c r="C473" t="s">
        <v>827</v>
      </c>
      <c r="D473" t="s">
        <v>23</v>
      </c>
      <c r="E473" t="s">
        <v>24</v>
      </c>
      <c r="F473" t="s">
        <v>25</v>
      </c>
      <c r="G473" t="s">
        <v>68</v>
      </c>
      <c r="H473">
        <v>40.049999999999997</v>
      </c>
      <c r="I473">
        <v>6</v>
      </c>
      <c r="J473">
        <v>12.015000000000001</v>
      </c>
      <c r="K473">
        <v>240.3</v>
      </c>
      <c r="L473" s="1">
        <v>43659</v>
      </c>
      <c r="M473" s="2">
        <v>0.4861111111111111</v>
      </c>
      <c r="N473" t="s">
        <v>33</v>
      </c>
      <c r="O473">
        <v>160.19999999999999</v>
      </c>
      <c r="P473">
        <v>4.7619047620000003</v>
      </c>
      <c r="Q473">
        <v>80.099999999999994</v>
      </c>
      <c r="R473">
        <v>9.6999999999999993</v>
      </c>
      <c r="S473">
        <v>96.173500000000004</v>
      </c>
      <c r="T473">
        <v>16.840900000000001</v>
      </c>
    </row>
    <row r="474" spans="1:20" x14ac:dyDescent="0.3">
      <c r="A474" t="s">
        <v>828</v>
      </c>
      <c r="B474" t="s">
        <v>21</v>
      </c>
      <c r="C474" t="s">
        <v>577</v>
      </c>
      <c r="D474" t="s">
        <v>23</v>
      </c>
      <c r="E474" t="s">
        <v>24</v>
      </c>
      <c r="F474" t="s">
        <v>36</v>
      </c>
      <c r="G474" t="s">
        <v>100</v>
      </c>
      <c r="H474">
        <v>43.13</v>
      </c>
      <c r="I474">
        <v>14</v>
      </c>
      <c r="J474">
        <v>30.190999999999999</v>
      </c>
      <c r="K474">
        <v>603.82000000000005</v>
      </c>
      <c r="L474" s="1">
        <v>43763</v>
      </c>
      <c r="M474" s="2">
        <v>0.77152777777777781</v>
      </c>
      <c r="N474" t="s">
        <v>37</v>
      </c>
      <c r="O474">
        <v>431.3</v>
      </c>
      <c r="P474">
        <v>4.7619047620000003</v>
      </c>
      <c r="Q474">
        <v>172.52</v>
      </c>
      <c r="R474">
        <v>5.5</v>
      </c>
      <c r="S474">
        <v>96.173500000000004</v>
      </c>
      <c r="T474">
        <v>16.840900000000001</v>
      </c>
    </row>
    <row r="475" spans="1:20" x14ac:dyDescent="0.3">
      <c r="A475" t="s">
        <v>829</v>
      </c>
      <c r="B475" t="s">
        <v>21</v>
      </c>
      <c r="C475" t="s">
        <v>830</v>
      </c>
      <c r="D475" t="s">
        <v>53</v>
      </c>
      <c r="E475" t="s">
        <v>24</v>
      </c>
      <c r="F475" t="s">
        <v>36</v>
      </c>
      <c r="G475" t="s">
        <v>26</v>
      </c>
      <c r="H475">
        <v>72.569999999999993</v>
      </c>
      <c r="I475">
        <v>15</v>
      </c>
      <c r="J475">
        <v>54.427500000000002</v>
      </c>
      <c r="K475">
        <v>1088.55</v>
      </c>
      <c r="L475" s="1">
        <v>43608</v>
      </c>
      <c r="M475" s="2">
        <v>0.74861111111111112</v>
      </c>
      <c r="N475" t="s">
        <v>33</v>
      </c>
      <c r="O475">
        <v>580.55999999999995</v>
      </c>
      <c r="P475">
        <v>4.7619047620000003</v>
      </c>
      <c r="Q475">
        <v>507.99</v>
      </c>
      <c r="R475">
        <v>5.52</v>
      </c>
      <c r="S475">
        <v>96.089100000000002</v>
      </c>
      <c r="T475">
        <v>21.9588</v>
      </c>
    </row>
    <row r="476" spans="1:20" x14ac:dyDescent="0.3">
      <c r="A476" t="s">
        <v>831</v>
      </c>
      <c r="B476" t="s">
        <v>21</v>
      </c>
      <c r="C476" t="s">
        <v>832</v>
      </c>
      <c r="D476" t="s">
        <v>23</v>
      </c>
      <c r="E476" t="s">
        <v>24</v>
      </c>
      <c r="F476" t="s">
        <v>25</v>
      </c>
      <c r="G476" t="s">
        <v>60</v>
      </c>
      <c r="H476">
        <v>64.44</v>
      </c>
      <c r="I476">
        <v>7</v>
      </c>
      <c r="J476">
        <v>22.553999999999998</v>
      </c>
      <c r="K476">
        <v>451.08</v>
      </c>
      <c r="L476" s="1">
        <v>43630</v>
      </c>
      <c r="M476" s="2">
        <v>0.71111111111111114</v>
      </c>
      <c r="N476" t="s">
        <v>33</v>
      </c>
      <c r="O476">
        <v>322.2</v>
      </c>
      <c r="P476">
        <v>4.7619047620000003</v>
      </c>
      <c r="Q476">
        <v>128.88</v>
      </c>
      <c r="R476">
        <v>6.6</v>
      </c>
      <c r="S476">
        <v>96.173500000000004</v>
      </c>
      <c r="T476">
        <v>16.840900000000001</v>
      </c>
    </row>
    <row r="477" spans="1:20" x14ac:dyDescent="0.3">
      <c r="A477" t="s">
        <v>833</v>
      </c>
      <c r="B477" t="s">
        <v>21</v>
      </c>
      <c r="C477" t="s">
        <v>152</v>
      </c>
      <c r="D477" t="s">
        <v>23</v>
      </c>
      <c r="E477" t="s">
        <v>32</v>
      </c>
      <c r="F477" t="s">
        <v>36</v>
      </c>
      <c r="G477" t="s">
        <v>26</v>
      </c>
      <c r="H477">
        <v>65.180000000000007</v>
      </c>
      <c r="I477">
        <v>3</v>
      </c>
      <c r="J477">
        <v>9.7769999999999992</v>
      </c>
      <c r="K477">
        <v>195.54</v>
      </c>
      <c r="L477" s="1">
        <v>43711</v>
      </c>
      <c r="M477" s="2">
        <v>0.85763888888888884</v>
      </c>
      <c r="N477" t="s">
        <v>37</v>
      </c>
      <c r="O477">
        <v>195.54</v>
      </c>
      <c r="P477">
        <v>4.7619047620000003</v>
      </c>
      <c r="Q477">
        <v>0</v>
      </c>
      <c r="R477">
        <v>6.3</v>
      </c>
      <c r="S477">
        <v>96.173500000000004</v>
      </c>
      <c r="T477">
        <v>16.840900000000001</v>
      </c>
    </row>
    <row r="478" spans="1:20" x14ac:dyDescent="0.3">
      <c r="A478" t="s">
        <v>834</v>
      </c>
      <c r="B478" t="s">
        <v>21</v>
      </c>
      <c r="C478" t="s">
        <v>835</v>
      </c>
      <c r="D478" t="s">
        <v>23</v>
      </c>
      <c r="E478" t="s">
        <v>32</v>
      </c>
      <c r="F478" t="s">
        <v>25</v>
      </c>
      <c r="G478" t="s">
        <v>26</v>
      </c>
      <c r="H478">
        <v>33.26</v>
      </c>
      <c r="I478">
        <v>5</v>
      </c>
      <c r="J478">
        <v>8.3149999999999995</v>
      </c>
      <c r="K478">
        <v>166.3</v>
      </c>
      <c r="L478" s="1">
        <v>43805</v>
      </c>
      <c r="M478" s="2">
        <v>0.67361111111111116</v>
      </c>
      <c r="N478" t="s">
        <v>37</v>
      </c>
      <c r="O478">
        <v>166.3</v>
      </c>
      <c r="P478">
        <v>4.7619047620000003</v>
      </c>
      <c r="Q478">
        <v>0</v>
      </c>
      <c r="R478">
        <v>4.2</v>
      </c>
      <c r="S478">
        <v>96.173500000000004</v>
      </c>
      <c r="T478">
        <v>16.840900000000001</v>
      </c>
    </row>
    <row r="479" spans="1:20" x14ac:dyDescent="0.3">
      <c r="A479" t="s">
        <v>836</v>
      </c>
      <c r="B479" t="s">
        <v>21</v>
      </c>
      <c r="C479" t="s">
        <v>475</v>
      </c>
      <c r="D479" t="s">
        <v>31</v>
      </c>
      <c r="E479" t="s">
        <v>32</v>
      </c>
      <c r="F479" t="s">
        <v>36</v>
      </c>
      <c r="G479" t="s">
        <v>26</v>
      </c>
      <c r="H479">
        <v>84.07</v>
      </c>
      <c r="I479">
        <v>5</v>
      </c>
      <c r="J479">
        <v>21.017499999999998</v>
      </c>
      <c r="K479">
        <v>420.35</v>
      </c>
      <c r="L479" s="1">
        <v>43580</v>
      </c>
      <c r="M479" s="2">
        <v>0.70416666666666672</v>
      </c>
      <c r="N479" t="s">
        <v>27</v>
      </c>
      <c r="O479">
        <v>336.28</v>
      </c>
      <c r="P479">
        <v>4.7619047620000003</v>
      </c>
      <c r="Q479">
        <v>84.07</v>
      </c>
      <c r="R479">
        <v>4.62</v>
      </c>
      <c r="S479">
        <v>96.078500000000005</v>
      </c>
      <c r="T479">
        <v>19.763300000000001</v>
      </c>
    </row>
    <row r="480" spans="1:20" x14ac:dyDescent="0.3">
      <c r="A480" t="s">
        <v>837</v>
      </c>
      <c r="B480" t="s">
        <v>21</v>
      </c>
      <c r="C480" t="s">
        <v>636</v>
      </c>
      <c r="D480" t="s">
        <v>53</v>
      </c>
      <c r="E480" t="s">
        <v>32</v>
      </c>
      <c r="F480" t="s">
        <v>36</v>
      </c>
      <c r="G480" t="s">
        <v>26</v>
      </c>
      <c r="H480">
        <v>34.369999999999997</v>
      </c>
      <c r="I480">
        <v>14</v>
      </c>
      <c r="J480">
        <v>24.059000000000001</v>
      </c>
      <c r="K480">
        <v>481.18</v>
      </c>
      <c r="L480" s="1">
        <v>43795</v>
      </c>
      <c r="M480" s="2">
        <v>0.42430555555555555</v>
      </c>
      <c r="N480" t="s">
        <v>27</v>
      </c>
      <c r="O480">
        <v>343.7</v>
      </c>
      <c r="P480">
        <v>4.7619047620000003</v>
      </c>
      <c r="Q480">
        <v>137.47999999999999</v>
      </c>
      <c r="R480">
        <v>8.0399999999999991</v>
      </c>
      <c r="S480">
        <v>96.089100000000002</v>
      </c>
      <c r="T480">
        <v>21.9588</v>
      </c>
    </row>
    <row r="481" spans="1:20" x14ac:dyDescent="0.3">
      <c r="A481" t="s">
        <v>838</v>
      </c>
      <c r="B481" t="s">
        <v>21</v>
      </c>
      <c r="C481" t="s">
        <v>741</v>
      </c>
      <c r="D481" t="s">
        <v>23</v>
      </c>
      <c r="E481" t="s">
        <v>32</v>
      </c>
      <c r="F481" t="s">
        <v>36</v>
      </c>
      <c r="G481" t="s">
        <v>26</v>
      </c>
      <c r="H481">
        <v>38.6</v>
      </c>
      <c r="I481">
        <v>1</v>
      </c>
      <c r="J481">
        <v>1.93</v>
      </c>
      <c r="K481">
        <v>38.6</v>
      </c>
      <c r="L481" s="1">
        <v>43548</v>
      </c>
      <c r="M481" s="2">
        <v>0.47638888888888886</v>
      </c>
      <c r="N481" t="s">
        <v>27</v>
      </c>
      <c r="O481">
        <v>38.6</v>
      </c>
      <c r="P481">
        <v>4.7619047620000003</v>
      </c>
      <c r="Q481">
        <v>0</v>
      </c>
      <c r="R481">
        <v>6.7</v>
      </c>
      <c r="S481">
        <v>96.173500000000004</v>
      </c>
      <c r="T481">
        <v>16.840900000000001</v>
      </c>
    </row>
    <row r="482" spans="1:20" x14ac:dyDescent="0.3">
      <c r="A482" t="s">
        <v>839</v>
      </c>
      <c r="B482" t="s">
        <v>21</v>
      </c>
      <c r="C482" t="s">
        <v>43</v>
      </c>
      <c r="D482" t="s">
        <v>31</v>
      </c>
      <c r="E482" t="s">
        <v>32</v>
      </c>
      <c r="F482" t="s">
        <v>36</v>
      </c>
      <c r="G482" t="s">
        <v>26</v>
      </c>
      <c r="H482">
        <v>65.97</v>
      </c>
      <c r="I482">
        <v>10</v>
      </c>
      <c r="J482">
        <v>32.984999999999999</v>
      </c>
      <c r="K482">
        <v>659.7</v>
      </c>
      <c r="L482" s="1">
        <v>43772</v>
      </c>
      <c r="M482" s="2">
        <v>0.85347222222222219</v>
      </c>
      <c r="N482" t="s">
        <v>33</v>
      </c>
      <c r="O482">
        <v>527.76</v>
      </c>
      <c r="P482">
        <v>4.7619047620000003</v>
      </c>
      <c r="Q482">
        <v>131.94</v>
      </c>
      <c r="R482">
        <v>8.82</v>
      </c>
      <c r="S482">
        <v>96.078500000000005</v>
      </c>
      <c r="T482">
        <v>19.763300000000001</v>
      </c>
    </row>
    <row r="483" spans="1:20" x14ac:dyDescent="0.3">
      <c r="A483" t="s">
        <v>840</v>
      </c>
      <c r="B483" t="s">
        <v>21</v>
      </c>
      <c r="C483" t="s">
        <v>245</v>
      </c>
      <c r="D483" t="s">
        <v>31</v>
      </c>
      <c r="E483" t="s">
        <v>32</v>
      </c>
      <c r="F483" t="s">
        <v>25</v>
      </c>
      <c r="G483" t="s">
        <v>26</v>
      </c>
      <c r="H483">
        <v>32.799999999999997</v>
      </c>
      <c r="I483">
        <v>12</v>
      </c>
      <c r="J483">
        <v>19.68</v>
      </c>
      <c r="K483">
        <v>393.6</v>
      </c>
      <c r="L483" s="1">
        <v>43704</v>
      </c>
      <c r="M483" s="2">
        <v>0.5083333333333333</v>
      </c>
      <c r="N483" t="s">
        <v>33</v>
      </c>
      <c r="O483">
        <v>328</v>
      </c>
      <c r="P483">
        <v>4.7619047620000003</v>
      </c>
      <c r="Q483">
        <v>65.599999999999994</v>
      </c>
      <c r="R483">
        <v>6.51</v>
      </c>
      <c r="S483">
        <v>96.078500000000005</v>
      </c>
      <c r="T483">
        <v>19.763300000000001</v>
      </c>
    </row>
    <row r="484" spans="1:20" x14ac:dyDescent="0.3">
      <c r="A484" t="s">
        <v>841</v>
      </c>
      <c r="B484" t="s">
        <v>21</v>
      </c>
      <c r="C484" t="s">
        <v>842</v>
      </c>
      <c r="D484" t="s">
        <v>23</v>
      </c>
      <c r="E484" t="s">
        <v>32</v>
      </c>
      <c r="F484" t="s">
        <v>36</v>
      </c>
      <c r="G484" t="s">
        <v>26</v>
      </c>
      <c r="H484">
        <v>37.14</v>
      </c>
      <c r="I484">
        <v>5</v>
      </c>
      <c r="J484">
        <v>9.2850000000000001</v>
      </c>
      <c r="K484">
        <v>185.7</v>
      </c>
      <c r="L484" s="1">
        <v>43527</v>
      </c>
      <c r="M484" s="2">
        <v>0.54513888888888884</v>
      </c>
      <c r="N484" t="s">
        <v>27</v>
      </c>
      <c r="O484">
        <v>185.7</v>
      </c>
      <c r="P484">
        <v>4.7619047620000003</v>
      </c>
      <c r="Q484">
        <v>0</v>
      </c>
      <c r="R484">
        <v>5</v>
      </c>
      <c r="S484">
        <v>96.173500000000004</v>
      </c>
      <c r="T484">
        <v>16.840900000000001</v>
      </c>
    </row>
    <row r="485" spans="1:20" x14ac:dyDescent="0.3">
      <c r="A485" t="s">
        <v>843</v>
      </c>
      <c r="B485" t="s">
        <v>21</v>
      </c>
      <c r="C485" t="s">
        <v>844</v>
      </c>
      <c r="D485" t="s">
        <v>53</v>
      </c>
      <c r="E485" t="s">
        <v>24</v>
      </c>
      <c r="F485" t="s">
        <v>36</v>
      </c>
      <c r="G485" t="s">
        <v>26</v>
      </c>
      <c r="H485">
        <v>60.38</v>
      </c>
      <c r="I485">
        <v>20</v>
      </c>
      <c r="J485">
        <v>60.38</v>
      </c>
      <c r="K485">
        <v>1207.5999999999999</v>
      </c>
      <c r="L485" s="1">
        <v>43769</v>
      </c>
      <c r="M485" s="2">
        <v>0.67986111111111114</v>
      </c>
      <c r="N485" t="s">
        <v>33</v>
      </c>
      <c r="O485">
        <v>603.79999999999995</v>
      </c>
      <c r="P485">
        <v>4.7619047620000003</v>
      </c>
      <c r="Q485">
        <v>603.79999999999995</v>
      </c>
      <c r="R485">
        <v>7.2</v>
      </c>
      <c r="S485">
        <v>96.089100000000002</v>
      </c>
      <c r="T485">
        <v>21.9588</v>
      </c>
    </row>
    <row r="486" spans="1:20" x14ac:dyDescent="0.3">
      <c r="A486" t="s">
        <v>845</v>
      </c>
      <c r="B486" t="s">
        <v>21</v>
      </c>
      <c r="C486" t="s">
        <v>600</v>
      </c>
      <c r="D486" t="s">
        <v>31</v>
      </c>
      <c r="E486" t="s">
        <v>24</v>
      </c>
      <c r="F486" t="s">
        <v>25</v>
      </c>
      <c r="G486" t="s">
        <v>26</v>
      </c>
      <c r="H486">
        <v>36.979999999999997</v>
      </c>
      <c r="I486">
        <v>17</v>
      </c>
      <c r="J486">
        <v>31.433</v>
      </c>
      <c r="K486">
        <v>628.66</v>
      </c>
      <c r="L486" s="1">
        <v>43629</v>
      </c>
      <c r="M486" s="2">
        <v>0.82499999999999996</v>
      </c>
      <c r="N486" t="s">
        <v>37</v>
      </c>
      <c r="O486">
        <v>369.8</v>
      </c>
      <c r="P486">
        <v>4.7619047620000003</v>
      </c>
      <c r="Q486">
        <v>258.86</v>
      </c>
      <c r="R486">
        <v>7.35</v>
      </c>
      <c r="S486">
        <v>96.078500000000005</v>
      </c>
      <c r="T486">
        <v>19.763300000000001</v>
      </c>
    </row>
    <row r="487" spans="1:20" x14ac:dyDescent="0.3">
      <c r="A487" t="s">
        <v>846</v>
      </c>
      <c r="B487" t="s">
        <v>21</v>
      </c>
      <c r="C487" t="s">
        <v>280</v>
      </c>
      <c r="D487" t="s">
        <v>53</v>
      </c>
      <c r="E487" t="s">
        <v>24</v>
      </c>
      <c r="F487" t="s">
        <v>25</v>
      </c>
      <c r="G487" t="s">
        <v>26</v>
      </c>
      <c r="H487">
        <v>49.49</v>
      </c>
      <c r="I487">
        <v>8</v>
      </c>
      <c r="J487">
        <v>19.795999999999999</v>
      </c>
      <c r="K487">
        <v>395.92</v>
      </c>
      <c r="L487" s="1">
        <v>43817</v>
      </c>
      <c r="M487" s="2">
        <v>0.64236111111111116</v>
      </c>
      <c r="N487" t="s">
        <v>27</v>
      </c>
      <c r="O487">
        <v>197.96</v>
      </c>
      <c r="P487">
        <v>4.7619047620000003</v>
      </c>
      <c r="Q487">
        <v>197.96</v>
      </c>
      <c r="R487">
        <v>7.92</v>
      </c>
      <c r="S487">
        <v>96.089100000000002</v>
      </c>
      <c r="T487">
        <v>21.9588</v>
      </c>
    </row>
    <row r="488" spans="1:20" x14ac:dyDescent="0.3">
      <c r="A488" t="s">
        <v>847</v>
      </c>
      <c r="B488" t="s">
        <v>21</v>
      </c>
      <c r="C488" t="s">
        <v>141</v>
      </c>
      <c r="D488" t="s">
        <v>53</v>
      </c>
      <c r="E488" t="s">
        <v>32</v>
      </c>
      <c r="F488" t="s">
        <v>25</v>
      </c>
      <c r="G488" t="s">
        <v>26</v>
      </c>
      <c r="H488">
        <v>41.09</v>
      </c>
      <c r="I488">
        <v>14</v>
      </c>
      <c r="J488">
        <v>28.763000000000002</v>
      </c>
      <c r="K488">
        <v>575.26</v>
      </c>
      <c r="L488" s="1">
        <v>43827</v>
      </c>
      <c r="M488" s="2">
        <v>0.61250000000000004</v>
      </c>
      <c r="N488" t="s">
        <v>33</v>
      </c>
      <c r="O488">
        <v>410.9</v>
      </c>
      <c r="P488">
        <v>4.7619047620000003</v>
      </c>
      <c r="Q488">
        <v>164.36</v>
      </c>
      <c r="R488">
        <v>8.76</v>
      </c>
      <c r="S488">
        <v>96.089100000000002</v>
      </c>
      <c r="T488">
        <v>21.9588</v>
      </c>
    </row>
    <row r="489" spans="1:20" x14ac:dyDescent="0.3">
      <c r="A489" t="s">
        <v>848</v>
      </c>
      <c r="B489" t="s">
        <v>21</v>
      </c>
      <c r="C489" t="s">
        <v>687</v>
      </c>
      <c r="D489" t="s">
        <v>23</v>
      </c>
      <c r="E489" t="s">
        <v>32</v>
      </c>
      <c r="F489" t="s">
        <v>36</v>
      </c>
      <c r="G489" t="s">
        <v>100</v>
      </c>
      <c r="H489">
        <v>37.15</v>
      </c>
      <c r="I489">
        <v>4</v>
      </c>
      <c r="J489">
        <v>7.43</v>
      </c>
      <c r="K489">
        <v>148.6</v>
      </c>
      <c r="L489" s="1">
        <v>43798</v>
      </c>
      <c r="M489" s="2">
        <v>0.79097222222222219</v>
      </c>
      <c r="N489" t="s">
        <v>27</v>
      </c>
      <c r="O489">
        <v>148.6</v>
      </c>
      <c r="P489">
        <v>4.7619047620000003</v>
      </c>
      <c r="Q489">
        <v>0</v>
      </c>
      <c r="R489">
        <v>8.3000000000000007</v>
      </c>
      <c r="S489">
        <v>96.173500000000004</v>
      </c>
      <c r="T489">
        <v>16.840900000000001</v>
      </c>
    </row>
    <row r="490" spans="1:20" x14ac:dyDescent="0.3">
      <c r="A490" t="s">
        <v>849</v>
      </c>
      <c r="B490" t="s">
        <v>21</v>
      </c>
      <c r="C490" t="s">
        <v>850</v>
      </c>
      <c r="D490" t="s">
        <v>31</v>
      </c>
      <c r="E490" t="s">
        <v>32</v>
      </c>
      <c r="F490" t="s">
        <v>36</v>
      </c>
      <c r="G490" t="s">
        <v>77</v>
      </c>
      <c r="H490">
        <v>22.96</v>
      </c>
      <c r="I490">
        <v>1</v>
      </c>
      <c r="J490">
        <v>1.1479999999999999</v>
      </c>
      <c r="K490">
        <v>22.96</v>
      </c>
      <c r="L490" s="1">
        <v>43620</v>
      </c>
      <c r="M490" s="2">
        <v>0.86597222222222225</v>
      </c>
      <c r="N490" t="s">
        <v>33</v>
      </c>
      <c r="O490">
        <v>22.96</v>
      </c>
      <c r="P490">
        <v>4.7619047620000003</v>
      </c>
      <c r="Q490">
        <v>0</v>
      </c>
      <c r="R490">
        <v>4.5149999999999997</v>
      </c>
      <c r="S490">
        <v>96.078500000000005</v>
      </c>
      <c r="T490">
        <v>19.763300000000001</v>
      </c>
    </row>
    <row r="491" spans="1:20" x14ac:dyDescent="0.3">
      <c r="A491" t="s">
        <v>851</v>
      </c>
      <c r="B491" t="s">
        <v>21</v>
      </c>
      <c r="C491" t="s">
        <v>706</v>
      </c>
      <c r="D491" t="s">
        <v>53</v>
      </c>
      <c r="E491" t="s">
        <v>24</v>
      </c>
      <c r="F491" t="s">
        <v>25</v>
      </c>
      <c r="G491" t="s">
        <v>77</v>
      </c>
      <c r="H491">
        <v>77.680000000000007</v>
      </c>
      <c r="I491">
        <v>18</v>
      </c>
      <c r="J491">
        <v>69.912000000000006</v>
      </c>
      <c r="K491">
        <v>1398.24</v>
      </c>
      <c r="L491" s="1">
        <v>43628</v>
      </c>
      <c r="M491" s="2">
        <v>0.55625000000000002</v>
      </c>
      <c r="N491" t="s">
        <v>27</v>
      </c>
      <c r="O491">
        <v>699.12</v>
      </c>
      <c r="P491">
        <v>4.7619047620000003</v>
      </c>
      <c r="Q491">
        <v>699.12</v>
      </c>
      <c r="R491">
        <v>10</v>
      </c>
      <c r="S491">
        <v>96.089100000000002</v>
      </c>
      <c r="T491">
        <v>21.9588</v>
      </c>
    </row>
    <row r="492" spans="1:20" x14ac:dyDescent="0.3">
      <c r="A492" t="s">
        <v>852</v>
      </c>
      <c r="B492" t="s">
        <v>21</v>
      </c>
      <c r="C492" t="s">
        <v>853</v>
      </c>
      <c r="D492" t="s">
        <v>53</v>
      </c>
      <c r="E492" t="s">
        <v>32</v>
      </c>
      <c r="F492" t="s">
        <v>25</v>
      </c>
      <c r="G492" t="s">
        <v>100</v>
      </c>
      <c r="H492">
        <v>34.700000000000003</v>
      </c>
      <c r="I492">
        <v>3</v>
      </c>
      <c r="J492">
        <v>5.2050000000000001</v>
      </c>
      <c r="K492">
        <v>104.1</v>
      </c>
      <c r="L492" s="1">
        <v>43542</v>
      </c>
      <c r="M492" s="2">
        <v>0.82499999999999996</v>
      </c>
      <c r="N492" t="s">
        <v>27</v>
      </c>
      <c r="O492">
        <v>69.400000000000006</v>
      </c>
      <c r="P492">
        <v>4.7619047620000003</v>
      </c>
      <c r="Q492">
        <v>34.700000000000003</v>
      </c>
      <c r="R492">
        <v>9.84</v>
      </c>
      <c r="S492">
        <v>96.089100000000002</v>
      </c>
      <c r="T492">
        <v>21.9588</v>
      </c>
    </row>
    <row r="493" spans="1:20" x14ac:dyDescent="0.3">
      <c r="A493" t="s">
        <v>854</v>
      </c>
      <c r="B493" t="s">
        <v>21</v>
      </c>
      <c r="C493" t="s">
        <v>855</v>
      </c>
      <c r="D493" t="s">
        <v>23</v>
      </c>
      <c r="E493" t="s">
        <v>24</v>
      </c>
      <c r="F493" t="s">
        <v>25</v>
      </c>
      <c r="G493" t="s">
        <v>100</v>
      </c>
      <c r="H493">
        <v>19.66</v>
      </c>
      <c r="I493">
        <v>14</v>
      </c>
      <c r="J493">
        <v>13.762</v>
      </c>
      <c r="K493">
        <v>275.24</v>
      </c>
      <c r="L493" s="1">
        <v>43690</v>
      </c>
      <c r="M493" s="2">
        <v>0.76388888888888884</v>
      </c>
      <c r="N493" t="s">
        <v>37</v>
      </c>
      <c r="O493">
        <v>196.6</v>
      </c>
      <c r="P493">
        <v>4.7619047620000003</v>
      </c>
      <c r="Q493">
        <v>78.64</v>
      </c>
      <c r="R493">
        <v>7.2</v>
      </c>
      <c r="S493">
        <v>96.173500000000004</v>
      </c>
      <c r="T493">
        <v>16.840900000000001</v>
      </c>
    </row>
    <row r="494" spans="1:20" x14ac:dyDescent="0.3">
      <c r="A494" t="s">
        <v>856</v>
      </c>
      <c r="B494" t="s">
        <v>21</v>
      </c>
      <c r="C494" t="s">
        <v>175</v>
      </c>
      <c r="D494" t="s">
        <v>53</v>
      </c>
      <c r="E494" t="s">
        <v>24</v>
      </c>
      <c r="F494" t="s">
        <v>25</v>
      </c>
      <c r="G494" t="s">
        <v>26</v>
      </c>
      <c r="H494">
        <v>25.32</v>
      </c>
      <c r="I494">
        <v>15</v>
      </c>
      <c r="J494">
        <v>18.989999999999998</v>
      </c>
      <c r="K494">
        <v>379.8</v>
      </c>
      <c r="L494" s="1">
        <v>43480</v>
      </c>
      <c r="M494" s="2">
        <v>0.85</v>
      </c>
      <c r="N494" t="s">
        <v>27</v>
      </c>
      <c r="O494">
        <v>202.56</v>
      </c>
      <c r="P494">
        <v>4.7619047620000003</v>
      </c>
      <c r="Q494">
        <v>177.24</v>
      </c>
      <c r="R494">
        <v>10</v>
      </c>
      <c r="S494">
        <v>96.089100000000002</v>
      </c>
      <c r="T494">
        <v>21.9588</v>
      </c>
    </row>
    <row r="495" spans="1:20" x14ac:dyDescent="0.3">
      <c r="A495" t="s">
        <v>857</v>
      </c>
      <c r="B495" t="s">
        <v>21</v>
      </c>
      <c r="C495" t="s">
        <v>424</v>
      </c>
      <c r="D495" t="s">
        <v>31</v>
      </c>
      <c r="E495" t="s">
        <v>24</v>
      </c>
      <c r="F495" t="s">
        <v>25</v>
      </c>
      <c r="G495" t="s">
        <v>77</v>
      </c>
      <c r="H495">
        <v>12.12</v>
      </c>
      <c r="I495">
        <v>17</v>
      </c>
      <c r="J495">
        <v>10.302</v>
      </c>
      <c r="K495">
        <v>206.04</v>
      </c>
      <c r="L495" s="1">
        <v>43628</v>
      </c>
      <c r="M495" s="2">
        <v>0.57222222222222219</v>
      </c>
      <c r="N495" t="s">
        <v>37</v>
      </c>
      <c r="O495">
        <v>121.2</v>
      </c>
      <c r="P495">
        <v>4.7619047620000003</v>
      </c>
      <c r="Q495">
        <v>84.84</v>
      </c>
      <c r="R495">
        <v>8.82</v>
      </c>
      <c r="S495">
        <v>96.078500000000005</v>
      </c>
      <c r="T495">
        <v>19.763300000000001</v>
      </c>
    </row>
    <row r="496" spans="1:20" x14ac:dyDescent="0.3">
      <c r="A496" t="s">
        <v>858</v>
      </c>
      <c r="B496" t="s">
        <v>21</v>
      </c>
      <c r="C496" t="s">
        <v>859</v>
      </c>
      <c r="D496" t="s">
        <v>53</v>
      </c>
      <c r="E496" t="s">
        <v>32</v>
      </c>
      <c r="F496" t="s">
        <v>36</v>
      </c>
      <c r="G496" t="s">
        <v>100</v>
      </c>
      <c r="H496">
        <v>99.89</v>
      </c>
      <c r="I496">
        <v>3</v>
      </c>
      <c r="J496">
        <v>14.983499999999999</v>
      </c>
      <c r="K496">
        <v>299.67</v>
      </c>
      <c r="L496" s="1">
        <v>43710</v>
      </c>
      <c r="M496" s="2">
        <v>0.49166666666666664</v>
      </c>
      <c r="N496" t="s">
        <v>27</v>
      </c>
      <c r="O496">
        <v>199.78</v>
      </c>
      <c r="P496">
        <v>4.7619047620000003</v>
      </c>
      <c r="Q496">
        <v>99.89</v>
      </c>
      <c r="R496">
        <v>8.52</v>
      </c>
      <c r="S496">
        <v>96.089100000000002</v>
      </c>
      <c r="T496">
        <v>21.9588</v>
      </c>
    </row>
    <row r="497" spans="1:20" x14ac:dyDescent="0.3">
      <c r="A497" t="s">
        <v>860</v>
      </c>
      <c r="B497" t="s">
        <v>21</v>
      </c>
      <c r="C497" t="s">
        <v>428</v>
      </c>
      <c r="D497" t="s">
        <v>53</v>
      </c>
      <c r="E497" t="s">
        <v>32</v>
      </c>
      <c r="F497" t="s">
        <v>36</v>
      </c>
      <c r="G497" t="s">
        <v>68</v>
      </c>
      <c r="H497">
        <v>75.92</v>
      </c>
      <c r="I497">
        <v>11</v>
      </c>
      <c r="J497">
        <v>41.756</v>
      </c>
      <c r="K497">
        <v>835.12</v>
      </c>
      <c r="L497" s="1">
        <v>43783</v>
      </c>
      <c r="M497" s="2">
        <v>0.59305555555555556</v>
      </c>
      <c r="N497" t="s">
        <v>33</v>
      </c>
      <c r="O497">
        <v>607.36</v>
      </c>
      <c r="P497">
        <v>4.7619047620000003</v>
      </c>
      <c r="Q497">
        <v>227.76</v>
      </c>
      <c r="R497">
        <v>6.6</v>
      </c>
      <c r="S497">
        <v>96.089100000000002</v>
      </c>
      <c r="T497">
        <v>21.9588</v>
      </c>
    </row>
    <row r="498" spans="1:20" x14ac:dyDescent="0.3">
      <c r="A498" t="s">
        <v>861</v>
      </c>
      <c r="B498" t="s">
        <v>21</v>
      </c>
      <c r="C498" t="s">
        <v>862</v>
      </c>
      <c r="D498" t="s">
        <v>31</v>
      </c>
      <c r="E498" t="s">
        <v>32</v>
      </c>
      <c r="F498" t="s">
        <v>25</v>
      </c>
      <c r="G498" t="s">
        <v>60</v>
      </c>
      <c r="H498">
        <v>63.22</v>
      </c>
      <c r="I498">
        <v>2</v>
      </c>
      <c r="J498">
        <v>6.3220000000000001</v>
      </c>
      <c r="K498">
        <v>126.44</v>
      </c>
      <c r="L498" s="1">
        <v>43811</v>
      </c>
      <c r="M498" s="2">
        <v>0.66041666666666665</v>
      </c>
      <c r="N498" t="s">
        <v>33</v>
      </c>
      <c r="O498">
        <v>126.44</v>
      </c>
      <c r="P498">
        <v>4.7619047620000003</v>
      </c>
      <c r="Q498">
        <v>0</v>
      </c>
      <c r="R498">
        <v>8.9250000000000007</v>
      </c>
      <c r="S498">
        <v>96.078500000000005</v>
      </c>
      <c r="T498">
        <v>19.763300000000001</v>
      </c>
    </row>
    <row r="499" spans="1:20" x14ac:dyDescent="0.3">
      <c r="A499" t="s">
        <v>863</v>
      </c>
      <c r="B499" t="s">
        <v>21</v>
      </c>
      <c r="C499" t="s">
        <v>810</v>
      </c>
      <c r="D499" t="s">
        <v>31</v>
      </c>
      <c r="E499" t="s">
        <v>32</v>
      </c>
      <c r="F499" t="s">
        <v>25</v>
      </c>
      <c r="G499" t="s">
        <v>63</v>
      </c>
      <c r="H499">
        <v>90.24</v>
      </c>
      <c r="I499">
        <v>7</v>
      </c>
      <c r="J499">
        <v>31.584</v>
      </c>
      <c r="K499">
        <v>631.67999999999995</v>
      </c>
      <c r="L499" s="1">
        <v>43559</v>
      </c>
      <c r="M499" s="2">
        <v>0.47013888888888888</v>
      </c>
      <c r="N499" t="s">
        <v>33</v>
      </c>
      <c r="O499">
        <v>541.44000000000005</v>
      </c>
      <c r="P499">
        <v>4.7619047620000003</v>
      </c>
      <c r="Q499">
        <v>90.24</v>
      </c>
      <c r="R499">
        <v>6.51</v>
      </c>
      <c r="S499">
        <v>96.078500000000005</v>
      </c>
      <c r="T499">
        <v>19.763300000000001</v>
      </c>
    </row>
    <row r="500" spans="1:20" x14ac:dyDescent="0.3">
      <c r="A500" t="s">
        <v>864</v>
      </c>
      <c r="B500" t="s">
        <v>21</v>
      </c>
      <c r="C500" t="s">
        <v>385</v>
      </c>
      <c r="D500" t="s">
        <v>53</v>
      </c>
      <c r="E500" t="s">
        <v>24</v>
      </c>
      <c r="F500" t="s">
        <v>25</v>
      </c>
      <c r="G500" t="s">
        <v>68</v>
      </c>
      <c r="H500">
        <v>98.13</v>
      </c>
      <c r="I500">
        <v>1</v>
      </c>
      <c r="J500">
        <v>4.9065000000000003</v>
      </c>
      <c r="K500">
        <v>98.13</v>
      </c>
      <c r="L500" s="1">
        <v>43596</v>
      </c>
      <c r="M500" s="2">
        <v>0.73333333333333328</v>
      </c>
      <c r="N500" t="s">
        <v>33</v>
      </c>
      <c r="O500">
        <v>98.13</v>
      </c>
      <c r="P500">
        <v>4.7619047620000003</v>
      </c>
      <c r="Q500">
        <v>0</v>
      </c>
      <c r="R500">
        <v>7.46</v>
      </c>
      <c r="S500">
        <v>96.089100000000002</v>
      </c>
      <c r="T500">
        <v>21.9588</v>
      </c>
    </row>
    <row r="501" spans="1:20" x14ac:dyDescent="0.3">
      <c r="A501" t="s">
        <v>865</v>
      </c>
      <c r="B501" t="s">
        <v>21</v>
      </c>
      <c r="C501" t="s">
        <v>326</v>
      </c>
      <c r="D501" t="s">
        <v>23</v>
      </c>
      <c r="E501" t="s">
        <v>24</v>
      </c>
      <c r="F501" t="s">
        <v>25</v>
      </c>
      <c r="G501" t="s">
        <v>68</v>
      </c>
      <c r="H501">
        <v>51.52</v>
      </c>
      <c r="I501">
        <v>11</v>
      </c>
      <c r="J501">
        <v>28.335999999999999</v>
      </c>
      <c r="K501">
        <v>566.72</v>
      </c>
      <c r="L501" s="1">
        <v>43616</v>
      </c>
      <c r="M501" s="2">
        <v>0.65763888888888888</v>
      </c>
      <c r="N501" t="s">
        <v>33</v>
      </c>
      <c r="O501">
        <v>412.16</v>
      </c>
      <c r="P501">
        <v>4.7619047620000003</v>
      </c>
      <c r="Q501">
        <v>154.56</v>
      </c>
      <c r="R501">
        <v>7.46</v>
      </c>
      <c r="S501">
        <v>96.173500000000004</v>
      </c>
      <c r="T501">
        <v>16.840900000000001</v>
      </c>
    </row>
    <row r="502" spans="1:20" x14ac:dyDescent="0.3">
      <c r="A502" t="s">
        <v>866</v>
      </c>
      <c r="B502" t="s">
        <v>21</v>
      </c>
      <c r="C502" t="s">
        <v>258</v>
      </c>
      <c r="D502" t="s">
        <v>53</v>
      </c>
      <c r="E502" t="s">
        <v>24</v>
      </c>
      <c r="F502" t="s">
        <v>36</v>
      </c>
      <c r="G502" t="s">
        <v>68</v>
      </c>
      <c r="H502">
        <v>73.97</v>
      </c>
      <c r="I502">
        <v>1</v>
      </c>
      <c r="J502">
        <v>3.6985000000000001</v>
      </c>
      <c r="K502">
        <v>73.97</v>
      </c>
      <c r="L502" s="1">
        <v>43659</v>
      </c>
      <c r="M502" s="2">
        <v>0.66180555555555554</v>
      </c>
      <c r="N502" t="s">
        <v>37</v>
      </c>
      <c r="O502">
        <v>73.97</v>
      </c>
      <c r="P502">
        <v>4.7619047620000003</v>
      </c>
      <c r="Q502">
        <v>0</v>
      </c>
      <c r="R502">
        <v>7.46</v>
      </c>
      <c r="S502">
        <v>96.089100000000002</v>
      </c>
      <c r="T502">
        <v>21.9588</v>
      </c>
    </row>
    <row r="503" spans="1:20" x14ac:dyDescent="0.3">
      <c r="A503" t="s">
        <v>867</v>
      </c>
      <c r="B503" t="s">
        <v>21</v>
      </c>
      <c r="C503" t="s">
        <v>868</v>
      </c>
      <c r="D503" t="s">
        <v>31</v>
      </c>
      <c r="E503" t="s">
        <v>24</v>
      </c>
      <c r="F503" t="s">
        <v>25</v>
      </c>
      <c r="G503" t="s">
        <v>100</v>
      </c>
      <c r="H503">
        <v>31.9</v>
      </c>
      <c r="I503">
        <v>1</v>
      </c>
      <c r="J503">
        <v>1.595</v>
      </c>
      <c r="K503">
        <v>31.9</v>
      </c>
      <c r="L503" s="1">
        <v>43676</v>
      </c>
      <c r="M503" s="2">
        <v>0.52777777777777779</v>
      </c>
      <c r="N503" t="s">
        <v>27</v>
      </c>
      <c r="O503">
        <v>31.9</v>
      </c>
      <c r="P503">
        <v>4.7619047620000003</v>
      </c>
      <c r="Q503">
        <v>0</v>
      </c>
      <c r="R503">
        <v>7.46</v>
      </c>
      <c r="S503">
        <v>96.078500000000005</v>
      </c>
      <c r="T503">
        <v>19.763300000000001</v>
      </c>
    </row>
    <row r="504" spans="1:20" x14ac:dyDescent="0.3">
      <c r="A504" t="s">
        <v>869</v>
      </c>
      <c r="B504" t="s">
        <v>29</v>
      </c>
      <c r="C504" t="s">
        <v>173</v>
      </c>
      <c r="D504" t="s">
        <v>31</v>
      </c>
      <c r="E504" t="s">
        <v>32</v>
      </c>
      <c r="F504" t="s">
        <v>36</v>
      </c>
      <c r="G504" t="s">
        <v>77</v>
      </c>
      <c r="H504">
        <v>69.400000000000006</v>
      </c>
      <c r="I504">
        <v>2</v>
      </c>
      <c r="J504">
        <v>6.94</v>
      </c>
      <c r="K504">
        <v>138.80000000000001</v>
      </c>
      <c r="L504" s="1">
        <v>43707</v>
      </c>
      <c r="M504" s="2">
        <v>0.82499999999999996</v>
      </c>
      <c r="N504" t="s">
        <v>27</v>
      </c>
      <c r="O504">
        <v>138.80000000000001</v>
      </c>
      <c r="P504">
        <v>4.7619047620000003</v>
      </c>
      <c r="Q504">
        <v>0</v>
      </c>
      <c r="R504">
        <v>7.46</v>
      </c>
      <c r="S504">
        <v>96.078500000000005</v>
      </c>
      <c r="T504">
        <v>19.763300000000001</v>
      </c>
    </row>
    <row r="505" spans="1:20" x14ac:dyDescent="0.3">
      <c r="A505" t="s">
        <v>870</v>
      </c>
      <c r="B505" t="s">
        <v>51</v>
      </c>
      <c r="C505" t="s">
        <v>129</v>
      </c>
      <c r="D505" t="s">
        <v>53</v>
      </c>
      <c r="E505" t="s">
        <v>32</v>
      </c>
      <c r="F505" t="s">
        <v>25</v>
      </c>
      <c r="G505" t="s">
        <v>68</v>
      </c>
      <c r="H505">
        <v>93.31</v>
      </c>
      <c r="I505">
        <v>3</v>
      </c>
      <c r="J505">
        <v>13.996499999999999</v>
      </c>
      <c r="K505">
        <v>279.93</v>
      </c>
      <c r="L505" s="1">
        <v>43681</v>
      </c>
      <c r="M505" s="2">
        <v>0.74513888888888891</v>
      </c>
      <c r="N505" t="s">
        <v>33</v>
      </c>
      <c r="O505">
        <v>186.62</v>
      </c>
      <c r="P505">
        <v>4.7619047620000003</v>
      </c>
      <c r="Q505">
        <v>93.31</v>
      </c>
      <c r="R505">
        <v>7.46</v>
      </c>
      <c r="S505">
        <v>96.089100000000002</v>
      </c>
      <c r="T505">
        <v>21.9588</v>
      </c>
    </row>
    <row r="506" spans="1:20" x14ac:dyDescent="0.3">
      <c r="A506" t="s">
        <v>871</v>
      </c>
      <c r="B506" t="s">
        <v>51</v>
      </c>
      <c r="C506" t="s">
        <v>872</v>
      </c>
      <c r="D506" t="s">
        <v>53</v>
      </c>
      <c r="E506" t="s">
        <v>32</v>
      </c>
      <c r="F506" t="s">
        <v>36</v>
      </c>
      <c r="G506" t="s">
        <v>68</v>
      </c>
      <c r="H506">
        <v>88.45</v>
      </c>
      <c r="I506">
        <v>1</v>
      </c>
      <c r="J506">
        <v>4.4225000000000003</v>
      </c>
      <c r="K506">
        <v>88.45</v>
      </c>
      <c r="L506" s="1">
        <v>43663</v>
      </c>
      <c r="M506" s="2">
        <v>0.69166666666666665</v>
      </c>
      <c r="N506" t="s">
        <v>37</v>
      </c>
      <c r="O506">
        <v>88.45</v>
      </c>
      <c r="P506">
        <v>4.7619047620000003</v>
      </c>
      <c r="Q506">
        <v>0</v>
      </c>
      <c r="R506">
        <v>7.46</v>
      </c>
      <c r="S506">
        <v>96.089100000000002</v>
      </c>
      <c r="T506">
        <v>21.9588</v>
      </c>
    </row>
    <row r="507" spans="1:20" x14ac:dyDescent="0.3">
      <c r="A507" t="s">
        <v>873</v>
      </c>
      <c r="B507" t="s">
        <v>21</v>
      </c>
      <c r="C507" t="s">
        <v>874</v>
      </c>
      <c r="D507" t="s">
        <v>23</v>
      </c>
      <c r="E507" t="s">
        <v>24</v>
      </c>
      <c r="F507" t="s">
        <v>36</v>
      </c>
      <c r="G507" t="s">
        <v>60</v>
      </c>
      <c r="H507">
        <v>24.18</v>
      </c>
      <c r="I507">
        <v>11</v>
      </c>
      <c r="J507">
        <v>13.298999999999999</v>
      </c>
      <c r="K507">
        <v>265.98</v>
      </c>
      <c r="L507" s="1">
        <v>43758</v>
      </c>
      <c r="M507" s="2">
        <v>0.87083333333333335</v>
      </c>
      <c r="N507" t="s">
        <v>27</v>
      </c>
      <c r="O507">
        <v>193.44</v>
      </c>
      <c r="P507">
        <v>4.7619047620000003</v>
      </c>
      <c r="Q507">
        <v>72.540000000000006</v>
      </c>
      <c r="R507">
        <v>7.46</v>
      </c>
      <c r="S507">
        <v>96.173500000000004</v>
      </c>
      <c r="T507">
        <v>16.840900000000001</v>
      </c>
    </row>
    <row r="508" spans="1:20" x14ac:dyDescent="0.3">
      <c r="A508" t="s">
        <v>875</v>
      </c>
      <c r="B508" t="s">
        <v>51</v>
      </c>
      <c r="C508" t="s">
        <v>117</v>
      </c>
      <c r="D508" t="s">
        <v>53</v>
      </c>
      <c r="E508" t="s">
        <v>24</v>
      </c>
      <c r="F508" t="s">
        <v>25</v>
      </c>
      <c r="G508" t="s">
        <v>68</v>
      </c>
      <c r="H508">
        <v>48.5</v>
      </c>
      <c r="I508">
        <v>6</v>
      </c>
      <c r="J508">
        <v>14.55</v>
      </c>
      <c r="K508">
        <v>291</v>
      </c>
      <c r="L508" s="1">
        <v>43820</v>
      </c>
      <c r="M508" s="2">
        <v>0.53472222222222221</v>
      </c>
      <c r="N508" t="s">
        <v>33</v>
      </c>
      <c r="O508">
        <v>145.5</v>
      </c>
      <c r="P508">
        <v>4.7619047620000003</v>
      </c>
      <c r="Q508">
        <v>145.5</v>
      </c>
      <c r="R508">
        <v>7.46</v>
      </c>
      <c r="S508">
        <v>96.089100000000002</v>
      </c>
      <c r="T508">
        <v>21.9588</v>
      </c>
    </row>
    <row r="509" spans="1:20" x14ac:dyDescent="0.3">
      <c r="A509" t="s">
        <v>876</v>
      </c>
      <c r="B509" t="s">
        <v>51</v>
      </c>
      <c r="C509" t="s">
        <v>175</v>
      </c>
      <c r="D509" t="s">
        <v>53</v>
      </c>
      <c r="E509" t="s">
        <v>32</v>
      </c>
      <c r="F509" t="s">
        <v>25</v>
      </c>
      <c r="G509" t="s">
        <v>63</v>
      </c>
      <c r="H509">
        <v>84.05</v>
      </c>
      <c r="I509">
        <v>8</v>
      </c>
      <c r="J509">
        <v>33.619999999999997</v>
      </c>
      <c r="K509">
        <v>672.4</v>
      </c>
      <c r="L509" s="1">
        <v>43584</v>
      </c>
      <c r="M509" s="2">
        <v>0.45</v>
      </c>
      <c r="N509" t="s">
        <v>37</v>
      </c>
      <c r="O509">
        <v>504.3</v>
      </c>
      <c r="P509">
        <v>4.7619047620000003</v>
      </c>
      <c r="Q509">
        <v>168.1</v>
      </c>
      <c r="R509">
        <v>7.46</v>
      </c>
      <c r="S509">
        <v>96.089100000000002</v>
      </c>
      <c r="T509">
        <v>21.9588</v>
      </c>
    </row>
    <row r="510" spans="1:20" x14ac:dyDescent="0.3">
      <c r="A510" t="s">
        <v>877</v>
      </c>
      <c r="B510" t="s">
        <v>51</v>
      </c>
      <c r="C510" t="s">
        <v>771</v>
      </c>
      <c r="D510" t="s">
        <v>53</v>
      </c>
      <c r="E510" t="s">
        <v>24</v>
      </c>
      <c r="F510" t="s">
        <v>36</v>
      </c>
      <c r="G510" t="s">
        <v>68</v>
      </c>
      <c r="H510">
        <v>61.29</v>
      </c>
      <c r="I510">
        <v>10</v>
      </c>
      <c r="J510">
        <v>30.645</v>
      </c>
      <c r="K510">
        <v>612.9</v>
      </c>
      <c r="L510" s="1">
        <v>43762</v>
      </c>
      <c r="M510" s="2">
        <v>0.60277777777777775</v>
      </c>
      <c r="N510" t="s">
        <v>33</v>
      </c>
      <c r="O510">
        <v>306.45</v>
      </c>
      <c r="P510">
        <v>4.7619047620000003</v>
      </c>
      <c r="Q510">
        <v>306.45</v>
      </c>
      <c r="R510">
        <v>8.4</v>
      </c>
      <c r="S510">
        <v>96.089100000000002</v>
      </c>
      <c r="T510">
        <v>21.9588</v>
      </c>
    </row>
    <row r="511" spans="1:20" x14ac:dyDescent="0.3">
      <c r="A511" t="s">
        <v>878</v>
      </c>
      <c r="B511" t="s">
        <v>29</v>
      </c>
      <c r="C511" t="s">
        <v>407</v>
      </c>
      <c r="D511" t="s">
        <v>31</v>
      </c>
      <c r="E511" t="s">
        <v>24</v>
      </c>
      <c r="F511" t="s">
        <v>25</v>
      </c>
      <c r="G511" t="s">
        <v>68</v>
      </c>
      <c r="H511">
        <v>15.95</v>
      </c>
      <c r="I511">
        <v>10</v>
      </c>
      <c r="J511">
        <v>7.9749999999999996</v>
      </c>
      <c r="K511">
        <v>159.5</v>
      </c>
      <c r="L511" s="1">
        <v>43720</v>
      </c>
      <c r="M511" s="2">
        <v>0.71875</v>
      </c>
      <c r="N511" t="s">
        <v>37</v>
      </c>
      <c r="O511">
        <v>95.7</v>
      </c>
      <c r="P511">
        <v>4.7619047620000003</v>
      </c>
      <c r="Q511">
        <v>63.8</v>
      </c>
      <c r="R511">
        <v>5.3550000000000004</v>
      </c>
      <c r="S511">
        <v>96.078500000000005</v>
      </c>
      <c r="T511">
        <v>19.763300000000001</v>
      </c>
    </row>
    <row r="512" spans="1:20" x14ac:dyDescent="0.3">
      <c r="A512" t="s">
        <v>879</v>
      </c>
      <c r="B512" t="s">
        <v>51</v>
      </c>
      <c r="C512" t="s">
        <v>706</v>
      </c>
      <c r="D512" t="s">
        <v>53</v>
      </c>
      <c r="E512" t="s">
        <v>24</v>
      </c>
      <c r="F512" t="s">
        <v>25</v>
      </c>
      <c r="G512" t="s">
        <v>68</v>
      </c>
      <c r="H512">
        <v>90.74</v>
      </c>
      <c r="I512">
        <v>14</v>
      </c>
      <c r="J512">
        <v>63.518000000000001</v>
      </c>
      <c r="K512">
        <v>1270.3599999999999</v>
      </c>
      <c r="L512" s="1">
        <v>43537</v>
      </c>
      <c r="M512" s="2">
        <v>0.75208333333333333</v>
      </c>
      <c r="N512" t="s">
        <v>37</v>
      </c>
      <c r="O512">
        <v>635.17999999999995</v>
      </c>
      <c r="P512">
        <v>4.7619047620000003</v>
      </c>
      <c r="Q512">
        <v>635.17999999999995</v>
      </c>
      <c r="R512">
        <v>7.44</v>
      </c>
      <c r="S512">
        <v>96.089100000000002</v>
      </c>
      <c r="T512">
        <v>21.9588</v>
      </c>
    </row>
    <row r="513" spans="1:20" x14ac:dyDescent="0.3">
      <c r="A513" t="s">
        <v>880</v>
      </c>
      <c r="B513" t="s">
        <v>21</v>
      </c>
      <c r="C513" t="s">
        <v>881</v>
      </c>
      <c r="D513" t="s">
        <v>23</v>
      </c>
      <c r="E513" t="s">
        <v>32</v>
      </c>
      <c r="F513" t="s">
        <v>25</v>
      </c>
      <c r="G513" t="s">
        <v>68</v>
      </c>
      <c r="H513">
        <v>42.91</v>
      </c>
      <c r="I513">
        <v>5</v>
      </c>
      <c r="J513">
        <v>10.727499999999999</v>
      </c>
      <c r="K513">
        <v>214.55</v>
      </c>
      <c r="L513" s="1">
        <v>43724</v>
      </c>
      <c r="M513" s="2">
        <v>0.72847222222222219</v>
      </c>
      <c r="N513" t="s">
        <v>27</v>
      </c>
      <c r="O513">
        <v>214.55</v>
      </c>
      <c r="P513">
        <v>4.7619047620000003</v>
      </c>
      <c r="Q513">
        <v>0</v>
      </c>
      <c r="R513">
        <v>6.1</v>
      </c>
      <c r="S513">
        <v>96.173500000000004</v>
      </c>
      <c r="T513">
        <v>16.840900000000001</v>
      </c>
    </row>
    <row r="514" spans="1:20" x14ac:dyDescent="0.3">
      <c r="A514" t="s">
        <v>882</v>
      </c>
      <c r="B514" t="s">
        <v>21</v>
      </c>
      <c r="C514" t="s">
        <v>883</v>
      </c>
      <c r="D514" t="s">
        <v>23</v>
      </c>
      <c r="E514" t="s">
        <v>32</v>
      </c>
      <c r="F514" t="s">
        <v>25</v>
      </c>
      <c r="G514" t="s">
        <v>68</v>
      </c>
      <c r="H514">
        <v>54.28</v>
      </c>
      <c r="I514">
        <v>7</v>
      </c>
      <c r="J514">
        <v>18.998000000000001</v>
      </c>
      <c r="K514">
        <v>379.96</v>
      </c>
      <c r="L514" s="1">
        <v>43749</v>
      </c>
      <c r="M514" s="2">
        <v>0.75347222222222221</v>
      </c>
      <c r="N514" t="s">
        <v>27</v>
      </c>
      <c r="O514">
        <v>379.96</v>
      </c>
      <c r="P514">
        <v>4.7619047620000003</v>
      </c>
      <c r="Q514">
        <v>0</v>
      </c>
      <c r="R514">
        <v>9.3000000000000007</v>
      </c>
      <c r="S514">
        <v>96.173500000000004</v>
      </c>
      <c r="T514">
        <v>16.840900000000001</v>
      </c>
    </row>
    <row r="515" spans="1:20" x14ac:dyDescent="0.3">
      <c r="A515" t="s">
        <v>884</v>
      </c>
      <c r="B515" t="s">
        <v>21</v>
      </c>
      <c r="C515" t="s">
        <v>885</v>
      </c>
      <c r="D515" t="s">
        <v>23</v>
      </c>
      <c r="E515" t="s">
        <v>32</v>
      </c>
      <c r="F515" t="s">
        <v>36</v>
      </c>
      <c r="G515" t="s">
        <v>60</v>
      </c>
      <c r="H515">
        <v>99.55</v>
      </c>
      <c r="I515">
        <v>7</v>
      </c>
      <c r="J515">
        <v>34.842500000000001</v>
      </c>
      <c r="K515">
        <v>696.85</v>
      </c>
      <c r="L515" s="1">
        <v>43588</v>
      </c>
      <c r="M515" s="2">
        <v>0.50486111111111109</v>
      </c>
      <c r="N515" t="s">
        <v>33</v>
      </c>
      <c r="O515">
        <v>696.85</v>
      </c>
      <c r="P515">
        <v>4.7619047620000003</v>
      </c>
      <c r="Q515">
        <v>0</v>
      </c>
      <c r="R515">
        <v>7.6</v>
      </c>
      <c r="S515">
        <v>96.173500000000004</v>
      </c>
      <c r="T515">
        <v>16.840900000000001</v>
      </c>
    </row>
    <row r="516" spans="1:20" x14ac:dyDescent="0.3">
      <c r="A516" t="s">
        <v>886</v>
      </c>
      <c r="B516" t="s">
        <v>29</v>
      </c>
      <c r="C516" t="s">
        <v>696</v>
      </c>
      <c r="D516" t="s">
        <v>31</v>
      </c>
      <c r="E516" t="s">
        <v>24</v>
      </c>
      <c r="F516" t="s">
        <v>36</v>
      </c>
      <c r="G516" t="s">
        <v>68</v>
      </c>
      <c r="H516">
        <v>58.39</v>
      </c>
      <c r="I516">
        <v>11</v>
      </c>
      <c r="J516">
        <v>32.1145</v>
      </c>
      <c r="K516">
        <v>642.29</v>
      </c>
      <c r="L516" s="1">
        <v>43684</v>
      </c>
      <c r="M516" s="2">
        <v>0.8256944444444444</v>
      </c>
      <c r="N516" t="s">
        <v>37</v>
      </c>
      <c r="O516">
        <v>408.73</v>
      </c>
      <c r="P516">
        <v>4.7619047620000003</v>
      </c>
      <c r="Q516">
        <v>233.56</v>
      </c>
      <c r="R516">
        <v>8.61</v>
      </c>
      <c r="S516">
        <v>96.078500000000005</v>
      </c>
      <c r="T516">
        <v>19.763300000000001</v>
      </c>
    </row>
    <row r="517" spans="1:20" x14ac:dyDescent="0.3">
      <c r="A517" t="s">
        <v>887</v>
      </c>
      <c r="B517" t="s">
        <v>29</v>
      </c>
      <c r="C517" t="s">
        <v>181</v>
      </c>
      <c r="D517" t="s">
        <v>31</v>
      </c>
      <c r="E517" t="s">
        <v>24</v>
      </c>
      <c r="F517" t="s">
        <v>25</v>
      </c>
      <c r="G517" t="s">
        <v>100</v>
      </c>
      <c r="H517">
        <v>51.47</v>
      </c>
      <c r="I517">
        <v>1</v>
      </c>
      <c r="J517">
        <v>2.5735000000000001</v>
      </c>
      <c r="K517">
        <v>51.47</v>
      </c>
      <c r="L517" s="1">
        <v>43622</v>
      </c>
      <c r="M517" s="2">
        <v>0.66111111111111109</v>
      </c>
      <c r="N517" t="s">
        <v>27</v>
      </c>
      <c r="O517">
        <v>51.47</v>
      </c>
      <c r="P517">
        <v>4.7619047620000003</v>
      </c>
      <c r="Q517">
        <v>0</v>
      </c>
      <c r="R517">
        <v>8.9250000000000007</v>
      </c>
      <c r="S517">
        <v>96.078500000000005</v>
      </c>
      <c r="T517">
        <v>19.763300000000001</v>
      </c>
    </row>
    <row r="518" spans="1:20" x14ac:dyDescent="0.3">
      <c r="A518" t="s">
        <v>888</v>
      </c>
      <c r="B518" t="s">
        <v>51</v>
      </c>
      <c r="C518" t="s">
        <v>889</v>
      </c>
      <c r="D518" t="s">
        <v>53</v>
      </c>
      <c r="E518" t="s">
        <v>24</v>
      </c>
      <c r="F518" t="s">
        <v>36</v>
      </c>
      <c r="G518" t="s">
        <v>26</v>
      </c>
      <c r="H518">
        <v>54.86</v>
      </c>
      <c r="I518">
        <v>10</v>
      </c>
      <c r="J518">
        <v>27.43</v>
      </c>
      <c r="K518">
        <v>548.6</v>
      </c>
      <c r="L518" s="1">
        <v>43714</v>
      </c>
      <c r="M518" s="2">
        <v>0.7</v>
      </c>
      <c r="N518" t="s">
        <v>27</v>
      </c>
      <c r="O518">
        <v>274.3</v>
      </c>
      <c r="P518">
        <v>4.7619047620000003</v>
      </c>
      <c r="Q518">
        <v>274.3</v>
      </c>
      <c r="R518">
        <v>10</v>
      </c>
      <c r="S518">
        <v>96.089100000000002</v>
      </c>
      <c r="T518">
        <v>21.9588</v>
      </c>
    </row>
    <row r="519" spans="1:20" x14ac:dyDescent="0.3">
      <c r="A519" t="s">
        <v>890</v>
      </c>
      <c r="B519" t="s">
        <v>29</v>
      </c>
      <c r="C519" t="s">
        <v>270</v>
      </c>
      <c r="D519" t="s">
        <v>31</v>
      </c>
      <c r="E519" t="s">
        <v>24</v>
      </c>
      <c r="F519" t="s">
        <v>36</v>
      </c>
      <c r="G519" t="s">
        <v>77</v>
      </c>
      <c r="H519">
        <v>39.39</v>
      </c>
      <c r="I519">
        <v>8</v>
      </c>
      <c r="J519">
        <v>15.756</v>
      </c>
      <c r="K519">
        <v>315.12</v>
      </c>
      <c r="L519" s="1">
        <v>43539</v>
      </c>
      <c r="M519" s="2">
        <v>0.86527777777777781</v>
      </c>
      <c r="N519" t="s">
        <v>37</v>
      </c>
      <c r="O519">
        <v>196.95</v>
      </c>
      <c r="P519">
        <v>4.7619047620000003</v>
      </c>
      <c r="Q519">
        <v>118.17</v>
      </c>
      <c r="R519">
        <v>9.1349999999999998</v>
      </c>
      <c r="S519">
        <v>96.078500000000005</v>
      </c>
      <c r="T519">
        <v>19.763300000000001</v>
      </c>
    </row>
    <row r="520" spans="1:20" x14ac:dyDescent="0.3">
      <c r="A520" t="s">
        <v>891</v>
      </c>
      <c r="B520" t="s">
        <v>21</v>
      </c>
      <c r="C520" t="s">
        <v>557</v>
      </c>
      <c r="D520" t="s">
        <v>23</v>
      </c>
      <c r="E520" t="s">
        <v>32</v>
      </c>
      <c r="F520" t="s">
        <v>36</v>
      </c>
      <c r="G520" t="s">
        <v>77</v>
      </c>
      <c r="H520">
        <v>34.729999999999997</v>
      </c>
      <c r="I520">
        <v>2</v>
      </c>
      <c r="J520">
        <v>3.4729999999999999</v>
      </c>
      <c r="K520">
        <v>69.459999999999994</v>
      </c>
      <c r="L520" s="1">
        <v>43686</v>
      </c>
      <c r="M520" s="2">
        <v>0.75972222222222219</v>
      </c>
      <c r="N520" t="s">
        <v>27</v>
      </c>
      <c r="O520">
        <v>69.459999999999994</v>
      </c>
      <c r="P520">
        <v>4.7619047620000003</v>
      </c>
      <c r="Q520">
        <v>0</v>
      </c>
      <c r="R520">
        <v>9.6999999999999993</v>
      </c>
      <c r="S520">
        <v>96.173500000000004</v>
      </c>
      <c r="T520">
        <v>16.840900000000001</v>
      </c>
    </row>
    <row r="521" spans="1:20" x14ac:dyDescent="0.3">
      <c r="A521" t="s">
        <v>892</v>
      </c>
      <c r="B521" t="s">
        <v>29</v>
      </c>
      <c r="C521" t="s">
        <v>893</v>
      </c>
      <c r="D521" t="s">
        <v>31</v>
      </c>
      <c r="E521" t="s">
        <v>24</v>
      </c>
      <c r="F521" t="s">
        <v>36</v>
      </c>
      <c r="G521" t="s">
        <v>68</v>
      </c>
      <c r="H521">
        <v>71.92</v>
      </c>
      <c r="I521">
        <v>8</v>
      </c>
      <c r="J521">
        <v>28.768000000000001</v>
      </c>
      <c r="K521">
        <v>575.36</v>
      </c>
      <c r="L521" s="1">
        <v>43764</v>
      </c>
      <c r="M521" s="2">
        <v>0.62847222222222221</v>
      </c>
      <c r="N521" t="s">
        <v>37</v>
      </c>
      <c r="O521">
        <v>359.6</v>
      </c>
      <c r="P521">
        <v>4.7619047620000003</v>
      </c>
      <c r="Q521">
        <v>215.76</v>
      </c>
      <c r="R521">
        <v>4.5149999999999997</v>
      </c>
      <c r="S521">
        <v>96.078500000000005</v>
      </c>
      <c r="T521">
        <v>19.763300000000001</v>
      </c>
    </row>
    <row r="522" spans="1:20" x14ac:dyDescent="0.3">
      <c r="A522" t="s">
        <v>894</v>
      </c>
      <c r="B522" t="s">
        <v>51</v>
      </c>
      <c r="C522" t="s">
        <v>895</v>
      </c>
      <c r="D522" t="s">
        <v>53</v>
      </c>
      <c r="E522" t="s">
        <v>32</v>
      </c>
      <c r="F522" t="s">
        <v>25</v>
      </c>
      <c r="G522" t="s">
        <v>60</v>
      </c>
      <c r="H522">
        <v>45.71</v>
      </c>
      <c r="I522">
        <v>4</v>
      </c>
      <c r="J522">
        <v>9.1419999999999995</v>
      </c>
      <c r="K522">
        <v>182.84</v>
      </c>
      <c r="L522" s="1">
        <v>43470</v>
      </c>
      <c r="M522" s="2">
        <v>0.44027777777777777</v>
      </c>
      <c r="N522" t="s">
        <v>37</v>
      </c>
      <c r="O522">
        <v>137.13</v>
      </c>
      <c r="P522">
        <v>4.7619047620000003</v>
      </c>
      <c r="Q522">
        <v>45.71</v>
      </c>
      <c r="R522">
        <v>9.24</v>
      </c>
      <c r="S522">
        <v>96.089100000000002</v>
      </c>
      <c r="T522">
        <v>21.9588</v>
      </c>
    </row>
    <row r="523" spans="1:20" x14ac:dyDescent="0.3">
      <c r="A523" t="s">
        <v>896</v>
      </c>
      <c r="B523" t="s">
        <v>29</v>
      </c>
      <c r="C523" t="s">
        <v>897</v>
      </c>
      <c r="D523" t="s">
        <v>31</v>
      </c>
      <c r="E523" t="s">
        <v>24</v>
      </c>
      <c r="F523" t="s">
        <v>25</v>
      </c>
      <c r="G523" t="s">
        <v>77</v>
      </c>
      <c r="H523">
        <v>83.17</v>
      </c>
      <c r="I523">
        <v>10</v>
      </c>
      <c r="J523">
        <v>41.585000000000001</v>
      </c>
      <c r="K523">
        <v>831.7</v>
      </c>
      <c r="L523" s="1">
        <v>43771</v>
      </c>
      <c r="M523" s="2">
        <v>0.47430555555555554</v>
      </c>
      <c r="N523" t="s">
        <v>33</v>
      </c>
      <c r="O523">
        <v>499.02</v>
      </c>
      <c r="P523">
        <v>4.7619047620000003</v>
      </c>
      <c r="Q523">
        <v>332.68</v>
      </c>
      <c r="R523">
        <v>7.665</v>
      </c>
      <c r="S523">
        <v>96.078500000000005</v>
      </c>
      <c r="T523">
        <v>19.763300000000001</v>
      </c>
    </row>
    <row r="524" spans="1:20" x14ac:dyDescent="0.3">
      <c r="A524" t="s">
        <v>898</v>
      </c>
      <c r="B524" t="s">
        <v>21</v>
      </c>
      <c r="C524" t="s">
        <v>899</v>
      </c>
      <c r="D524" t="s">
        <v>23</v>
      </c>
      <c r="E524" t="s">
        <v>24</v>
      </c>
      <c r="F524" t="s">
        <v>25</v>
      </c>
      <c r="G524" t="s">
        <v>77</v>
      </c>
      <c r="H524">
        <v>37.44</v>
      </c>
      <c r="I524">
        <v>8</v>
      </c>
      <c r="J524">
        <v>14.976000000000001</v>
      </c>
      <c r="K524">
        <v>299.52</v>
      </c>
      <c r="L524" s="1">
        <v>43630</v>
      </c>
      <c r="M524" s="2">
        <v>0.57986111111111116</v>
      </c>
      <c r="N524" t="s">
        <v>37</v>
      </c>
      <c r="O524">
        <v>224.64</v>
      </c>
      <c r="P524">
        <v>4.7619047620000003</v>
      </c>
      <c r="Q524">
        <v>74.88</v>
      </c>
      <c r="R524">
        <v>5.9</v>
      </c>
      <c r="S524">
        <v>96.173500000000004</v>
      </c>
      <c r="T524">
        <v>16.840900000000001</v>
      </c>
    </row>
    <row r="525" spans="1:20" x14ac:dyDescent="0.3">
      <c r="A525" t="s">
        <v>900</v>
      </c>
      <c r="B525" t="s">
        <v>29</v>
      </c>
      <c r="C525" t="s">
        <v>598</v>
      </c>
      <c r="D525" t="s">
        <v>31</v>
      </c>
      <c r="E525" t="s">
        <v>32</v>
      </c>
      <c r="F525" t="s">
        <v>36</v>
      </c>
      <c r="G525" t="s">
        <v>26</v>
      </c>
      <c r="H525">
        <v>62.87</v>
      </c>
      <c r="I525">
        <v>2</v>
      </c>
      <c r="J525">
        <v>6.2869999999999999</v>
      </c>
      <c r="K525">
        <v>125.74</v>
      </c>
      <c r="L525" s="1">
        <v>43566</v>
      </c>
      <c r="M525" s="2">
        <v>0.48819444444444443</v>
      </c>
      <c r="N525" t="s">
        <v>33</v>
      </c>
      <c r="O525">
        <v>125.74</v>
      </c>
      <c r="P525">
        <v>4.7619047620000003</v>
      </c>
      <c r="Q525">
        <v>0</v>
      </c>
      <c r="R525">
        <v>5.25</v>
      </c>
      <c r="S525">
        <v>96.078500000000005</v>
      </c>
      <c r="T525">
        <v>19.763300000000001</v>
      </c>
    </row>
    <row r="526" spans="1:20" x14ac:dyDescent="0.3">
      <c r="A526" t="s">
        <v>901</v>
      </c>
      <c r="B526" t="s">
        <v>21</v>
      </c>
      <c r="C526" t="s">
        <v>902</v>
      </c>
      <c r="D526" t="s">
        <v>23</v>
      </c>
      <c r="E526" t="s">
        <v>32</v>
      </c>
      <c r="F526" t="s">
        <v>36</v>
      </c>
      <c r="G526" t="s">
        <v>63</v>
      </c>
      <c r="H526">
        <v>81.709999999999994</v>
      </c>
      <c r="I526">
        <v>6</v>
      </c>
      <c r="J526">
        <v>24.513000000000002</v>
      </c>
      <c r="K526">
        <v>490.26</v>
      </c>
      <c r="L526" s="1">
        <v>43799</v>
      </c>
      <c r="M526" s="2">
        <v>0.60833333333333328</v>
      </c>
      <c r="N526" t="s">
        <v>37</v>
      </c>
      <c r="O526">
        <v>490.26</v>
      </c>
      <c r="P526">
        <v>4.7619047620000003</v>
      </c>
      <c r="Q526">
        <v>0</v>
      </c>
      <c r="R526">
        <v>8</v>
      </c>
      <c r="S526">
        <v>96.173500000000004</v>
      </c>
      <c r="T526">
        <v>16.840900000000001</v>
      </c>
    </row>
    <row r="527" spans="1:20" x14ac:dyDescent="0.3">
      <c r="A527" t="s">
        <v>903</v>
      </c>
      <c r="B527" t="s">
        <v>21</v>
      </c>
      <c r="C527" t="s">
        <v>786</v>
      </c>
      <c r="D527" t="s">
        <v>23</v>
      </c>
      <c r="E527" t="s">
        <v>24</v>
      </c>
      <c r="F527" t="s">
        <v>25</v>
      </c>
      <c r="G527" t="s">
        <v>68</v>
      </c>
      <c r="H527">
        <v>91.41</v>
      </c>
      <c r="I527">
        <v>7</v>
      </c>
      <c r="J527">
        <v>31.993500000000001</v>
      </c>
      <c r="K527">
        <v>639.87</v>
      </c>
      <c r="L527" s="1">
        <v>43735</v>
      </c>
      <c r="M527" s="2">
        <v>0.66874999999999996</v>
      </c>
      <c r="N527" t="s">
        <v>27</v>
      </c>
      <c r="O527">
        <v>457.05</v>
      </c>
      <c r="P527">
        <v>4.7619047620000003</v>
      </c>
      <c r="Q527">
        <v>182.82</v>
      </c>
      <c r="R527">
        <v>7.1</v>
      </c>
      <c r="S527">
        <v>96.173500000000004</v>
      </c>
      <c r="T527">
        <v>16.840900000000001</v>
      </c>
    </row>
    <row r="528" spans="1:20" x14ac:dyDescent="0.3">
      <c r="A528" t="s">
        <v>904</v>
      </c>
      <c r="B528" t="s">
        <v>51</v>
      </c>
      <c r="C528" t="s">
        <v>430</v>
      </c>
      <c r="D528" t="s">
        <v>53</v>
      </c>
      <c r="E528" t="s">
        <v>32</v>
      </c>
      <c r="F528" t="s">
        <v>36</v>
      </c>
      <c r="G528" t="s">
        <v>100</v>
      </c>
      <c r="H528">
        <v>39.21</v>
      </c>
      <c r="I528">
        <v>6</v>
      </c>
      <c r="J528">
        <v>11.763</v>
      </c>
      <c r="K528">
        <v>235.26</v>
      </c>
      <c r="L528" s="1">
        <v>43516</v>
      </c>
      <c r="M528" s="2">
        <v>0.8354166666666667</v>
      </c>
      <c r="N528" t="s">
        <v>37</v>
      </c>
      <c r="O528">
        <v>156.84</v>
      </c>
      <c r="P528">
        <v>4.7619047620000003</v>
      </c>
      <c r="Q528">
        <v>78.42</v>
      </c>
      <c r="R528">
        <v>10</v>
      </c>
      <c r="S528">
        <v>96.089100000000002</v>
      </c>
      <c r="T528">
        <v>21.9588</v>
      </c>
    </row>
    <row r="529" spans="1:20" x14ac:dyDescent="0.3">
      <c r="A529" t="s">
        <v>905</v>
      </c>
      <c r="B529" t="s">
        <v>51</v>
      </c>
      <c r="C529" t="s">
        <v>805</v>
      </c>
      <c r="D529" t="s">
        <v>53</v>
      </c>
      <c r="E529" t="s">
        <v>24</v>
      </c>
      <c r="F529" t="s">
        <v>36</v>
      </c>
      <c r="G529" t="s">
        <v>100</v>
      </c>
      <c r="H529">
        <v>59.86</v>
      </c>
      <c r="I529">
        <v>4</v>
      </c>
      <c r="J529">
        <v>11.972</v>
      </c>
      <c r="K529">
        <v>239.44</v>
      </c>
      <c r="L529" s="1">
        <v>43700</v>
      </c>
      <c r="M529" s="2">
        <v>0.62152777777777779</v>
      </c>
      <c r="N529" t="s">
        <v>27</v>
      </c>
      <c r="O529">
        <v>119.72</v>
      </c>
      <c r="P529">
        <v>4.7619047620000003</v>
      </c>
      <c r="Q529">
        <v>119.72</v>
      </c>
      <c r="R529">
        <v>8.0399999999999991</v>
      </c>
      <c r="S529">
        <v>96.089100000000002</v>
      </c>
      <c r="T529">
        <v>21.9588</v>
      </c>
    </row>
    <row r="530" spans="1:20" x14ac:dyDescent="0.3">
      <c r="A530" t="s">
        <v>906</v>
      </c>
      <c r="B530" t="s">
        <v>51</v>
      </c>
      <c r="C530" t="s">
        <v>134</v>
      </c>
      <c r="D530" t="s">
        <v>53</v>
      </c>
      <c r="E530" t="s">
        <v>24</v>
      </c>
      <c r="F530" t="s">
        <v>25</v>
      </c>
      <c r="G530" t="s">
        <v>63</v>
      </c>
      <c r="H530">
        <v>54.36</v>
      </c>
      <c r="I530">
        <v>20</v>
      </c>
      <c r="J530">
        <v>54.36</v>
      </c>
      <c r="K530">
        <v>1087.2</v>
      </c>
      <c r="L530" s="1">
        <v>43587</v>
      </c>
      <c r="M530" s="2">
        <v>0.4777777777777778</v>
      </c>
      <c r="N530" t="s">
        <v>37</v>
      </c>
      <c r="O530">
        <v>543.6</v>
      </c>
      <c r="P530">
        <v>4.7619047620000003</v>
      </c>
      <c r="Q530">
        <v>543.6</v>
      </c>
      <c r="R530">
        <v>7.32</v>
      </c>
      <c r="S530">
        <v>96.089100000000002</v>
      </c>
      <c r="T530">
        <v>21.9588</v>
      </c>
    </row>
    <row r="531" spans="1:20" x14ac:dyDescent="0.3">
      <c r="A531" t="s">
        <v>907</v>
      </c>
      <c r="B531" t="s">
        <v>21</v>
      </c>
      <c r="C531" t="s">
        <v>326</v>
      </c>
      <c r="D531" t="s">
        <v>23</v>
      </c>
      <c r="E531" t="s">
        <v>32</v>
      </c>
      <c r="F531" t="s">
        <v>36</v>
      </c>
      <c r="G531" t="s">
        <v>68</v>
      </c>
      <c r="H531">
        <v>98.09</v>
      </c>
      <c r="I531">
        <v>9</v>
      </c>
      <c r="J531">
        <v>44.140500000000003</v>
      </c>
      <c r="K531">
        <v>882.81</v>
      </c>
      <c r="L531" s="1">
        <v>43474</v>
      </c>
      <c r="M531" s="2">
        <v>0.82013888888888886</v>
      </c>
      <c r="N531" t="s">
        <v>33</v>
      </c>
      <c r="O531">
        <v>882.81</v>
      </c>
      <c r="P531">
        <v>4.7619047620000003</v>
      </c>
      <c r="Q531">
        <v>0</v>
      </c>
      <c r="R531">
        <v>9.3000000000000007</v>
      </c>
      <c r="S531">
        <v>96.173500000000004</v>
      </c>
      <c r="T531">
        <v>16.840900000000001</v>
      </c>
    </row>
    <row r="532" spans="1:20" x14ac:dyDescent="0.3">
      <c r="A532" t="s">
        <v>908</v>
      </c>
      <c r="B532" t="s">
        <v>21</v>
      </c>
      <c r="C532" t="s">
        <v>543</v>
      </c>
      <c r="D532" t="s">
        <v>23</v>
      </c>
      <c r="E532" t="s">
        <v>32</v>
      </c>
      <c r="F532" t="s">
        <v>36</v>
      </c>
      <c r="G532" t="s">
        <v>26</v>
      </c>
      <c r="H532">
        <v>25.43</v>
      </c>
      <c r="I532">
        <v>6</v>
      </c>
      <c r="J532">
        <v>7.6289999999999996</v>
      </c>
      <c r="K532">
        <v>152.58000000000001</v>
      </c>
      <c r="L532" s="1">
        <v>43772</v>
      </c>
      <c r="M532" s="2">
        <v>0.79236111111111107</v>
      </c>
      <c r="N532" t="s">
        <v>27</v>
      </c>
      <c r="O532">
        <v>152.58000000000001</v>
      </c>
      <c r="P532">
        <v>4.7619047620000003</v>
      </c>
      <c r="Q532">
        <v>0</v>
      </c>
      <c r="R532">
        <v>7</v>
      </c>
      <c r="S532">
        <v>96.173500000000004</v>
      </c>
      <c r="T532">
        <v>16.840900000000001</v>
      </c>
    </row>
    <row r="533" spans="1:20" x14ac:dyDescent="0.3">
      <c r="A533" t="s">
        <v>909</v>
      </c>
      <c r="B533" t="s">
        <v>21</v>
      </c>
      <c r="C533" t="s">
        <v>65</v>
      </c>
      <c r="D533" t="s">
        <v>23</v>
      </c>
      <c r="E533" t="s">
        <v>24</v>
      </c>
      <c r="F533" t="s">
        <v>36</v>
      </c>
      <c r="G533" t="s">
        <v>100</v>
      </c>
      <c r="H533">
        <v>86.68</v>
      </c>
      <c r="I533">
        <v>11</v>
      </c>
      <c r="J533">
        <v>47.673999999999999</v>
      </c>
      <c r="K533">
        <v>953.48</v>
      </c>
      <c r="L533" s="1">
        <v>43528</v>
      </c>
      <c r="M533" s="2">
        <v>0.75277777777777777</v>
      </c>
      <c r="N533" t="s">
        <v>37</v>
      </c>
      <c r="O533">
        <v>693.44</v>
      </c>
      <c r="P533">
        <v>4.7619047620000003</v>
      </c>
      <c r="Q533">
        <v>260.04000000000002</v>
      </c>
      <c r="R533">
        <v>7.2</v>
      </c>
      <c r="S533">
        <v>96.173500000000004</v>
      </c>
      <c r="T533">
        <v>16.840900000000001</v>
      </c>
    </row>
    <row r="534" spans="1:20" x14ac:dyDescent="0.3">
      <c r="A534" t="s">
        <v>910</v>
      </c>
      <c r="B534" t="s">
        <v>51</v>
      </c>
      <c r="C534" t="s">
        <v>629</v>
      </c>
      <c r="D534" t="s">
        <v>53</v>
      </c>
      <c r="E534" t="s">
        <v>32</v>
      </c>
      <c r="F534" t="s">
        <v>36</v>
      </c>
      <c r="G534" t="s">
        <v>60</v>
      </c>
      <c r="H534">
        <v>22.95</v>
      </c>
      <c r="I534">
        <v>14</v>
      </c>
      <c r="J534">
        <v>16.065000000000001</v>
      </c>
      <c r="K534">
        <v>321.3</v>
      </c>
      <c r="L534" s="1">
        <v>43519</v>
      </c>
      <c r="M534" s="2">
        <v>0.80555555555555558</v>
      </c>
      <c r="N534" t="s">
        <v>27</v>
      </c>
      <c r="O534">
        <v>229.5</v>
      </c>
      <c r="P534">
        <v>4.7619047620000003</v>
      </c>
      <c r="Q534">
        <v>91.8</v>
      </c>
      <c r="R534">
        <v>9.84</v>
      </c>
      <c r="S534">
        <v>96.089100000000002</v>
      </c>
      <c r="T534">
        <v>21.9588</v>
      </c>
    </row>
    <row r="535" spans="1:20" x14ac:dyDescent="0.3">
      <c r="A535" t="s">
        <v>911</v>
      </c>
      <c r="B535" t="s">
        <v>29</v>
      </c>
      <c r="C535" t="s">
        <v>109</v>
      </c>
      <c r="D535" t="s">
        <v>31</v>
      </c>
      <c r="E535" t="s">
        <v>32</v>
      </c>
      <c r="F535" t="s">
        <v>25</v>
      </c>
      <c r="G535" t="s">
        <v>63</v>
      </c>
      <c r="H535">
        <v>16.309999999999999</v>
      </c>
      <c r="I535">
        <v>11</v>
      </c>
      <c r="J535">
        <v>8.9704999999999995</v>
      </c>
      <c r="K535">
        <v>179.41</v>
      </c>
      <c r="L535" s="1">
        <v>43500</v>
      </c>
      <c r="M535" s="2">
        <v>0.43819444444444444</v>
      </c>
      <c r="N535" t="s">
        <v>27</v>
      </c>
      <c r="O535">
        <v>146.79</v>
      </c>
      <c r="P535">
        <v>4.7619047620000003</v>
      </c>
      <c r="Q535">
        <v>32.619999999999997</v>
      </c>
      <c r="R535">
        <v>8.82</v>
      </c>
      <c r="S535">
        <v>96.078500000000005</v>
      </c>
      <c r="T535">
        <v>19.763300000000001</v>
      </c>
    </row>
    <row r="536" spans="1:20" x14ac:dyDescent="0.3">
      <c r="A536" t="s">
        <v>912</v>
      </c>
      <c r="B536" t="s">
        <v>21</v>
      </c>
      <c r="C536" t="s">
        <v>913</v>
      </c>
      <c r="D536" t="s">
        <v>23</v>
      </c>
      <c r="E536" t="s">
        <v>32</v>
      </c>
      <c r="F536" t="s">
        <v>25</v>
      </c>
      <c r="G536" t="s">
        <v>77</v>
      </c>
      <c r="H536">
        <v>28.32</v>
      </c>
      <c r="I536">
        <v>5</v>
      </c>
      <c r="J536">
        <v>7.08</v>
      </c>
      <c r="K536">
        <v>141.6</v>
      </c>
      <c r="L536" s="1">
        <v>43696</v>
      </c>
      <c r="M536" s="2">
        <v>0.56111111111111112</v>
      </c>
      <c r="N536" t="s">
        <v>27</v>
      </c>
      <c r="O536">
        <v>141.6</v>
      </c>
      <c r="P536">
        <v>4.7619047620000003</v>
      </c>
      <c r="Q536">
        <v>0</v>
      </c>
      <c r="R536">
        <v>6.2</v>
      </c>
      <c r="S536">
        <v>96.173500000000004</v>
      </c>
      <c r="T536">
        <v>16.840900000000001</v>
      </c>
    </row>
    <row r="537" spans="1:20" x14ac:dyDescent="0.3">
      <c r="A537" t="s">
        <v>914</v>
      </c>
      <c r="B537" t="s">
        <v>29</v>
      </c>
      <c r="C537" t="s">
        <v>915</v>
      </c>
      <c r="D537" t="s">
        <v>31</v>
      </c>
      <c r="E537" t="s">
        <v>32</v>
      </c>
      <c r="F537" t="s">
        <v>36</v>
      </c>
      <c r="G537" t="s">
        <v>77</v>
      </c>
      <c r="H537">
        <v>16.670000000000002</v>
      </c>
      <c r="I537">
        <v>8</v>
      </c>
      <c r="J537">
        <v>6.6680000000000001</v>
      </c>
      <c r="K537">
        <v>133.36000000000001</v>
      </c>
      <c r="L537" s="1">
        <v>43753</v>
      </c>
      <c r="M537" s="2">
        <v>0.48333333333333334</v>
      </c>
      <c r="N537" t="s">
        <v>27</v>
      </c>
      <c r="O537">
        <v>116.69</v>
      </c>
      <c r="P537">
        <v>4.7619047620000003</v>
      </c>
      <c r="Q537">
        <v>16.670000000000002</v>
      </c>
      <c r="R537">
        <v>7.77</v>
      </c>
      <c r="S537">
        <v>96.078500000000005</v>
      </c>
      <c r="T537">
        <v>19.763300000000001</v>
      </c>
    </row>
    <row r="538" spans="1:20" x14ac:dyDescent="0.3">
      <c r="A538" t="s">
        <v>916</v>
      </c>
      <c r="B538" t="s">
        <v>51</v>
      </c>
      <c r="C538" t="s">
        <v>629</v>
      </c>
      <c r="D538" t="s">
        <v>53</v>
      </c>
      <c r="E538" t="s">
        <v>24</v>
      </c>
      <c r="F538" t="s">
        <v>25</v>
      </c>
      <c r="G538" t="s">
        <v>100</v>
      </c>
      <c r="H538">
        <v>73.959999999999994</v>
      </c>
      <c r="I538">
        <v>1</v>
      </c>
      <c r="J538">
        <v>3.698</v>
      </c>
      <c r="K538">
        <v>73.959999999999994</v>
      </c>
      <c r="L538" s="1">
        <v>43513</v>
      </c>
      <c r="M538" s="2">
        <v>0.48055555555555557</v>
      </c>
      <c r="N538" t="s">
        <v>37</v>
      </c>
      <c r="O538">
        <v>73.959999999999994</v>
      </c>
      <c r="P538">
        <v>4.7619047620000003</v>
      </c>
      <c r="Q538">
        <v>0</v>
      </c>
      <c r="R538">
        <v>6</v>
      </c>
      <c r="S538">
        <v>96.089100000000002</v>
      </c>
      <c r="T538">
        <v>21.9588</v>
      </c>
    </row>
    <row r="539" spans="1:20" x14ac:dyDescent="0.3">
      <c r="A539" t="s">
        <v>917</v>
      </c>
      <c r="B539" t="s">
        <v>21</v>
      </c>
      <c r="C539" t="s">
        <v>918</v>
      </c>
      <c r="D539" t="s">
        <v>23</v>
      </c>
      <c r="E539" t="s">
        <v>32</v>
      </c>
      <c r="F539" t="s">
        <v>36</v>
      </c>
      <c r="G539" t="s">
        <v>77</v>
      </c>
      <c r="H539">
        <v>97.94</v>
      </c>
      <c r="I539">
        <v>1</v>
      </c>
      <c r="J539">
        <v>4.8970000000000002</v>
      </c>
      <c r="K539">
        <v>97.94</v>
      </c>
      <c r="L539" s="1">
        <v>43468</v>
      </c>
      <c r="M539" s="2">
        <v>0.48888888888888887</v>
      </c>
      <c r="N539" t="s">
        <v>27</v>
      </c>
      <c r="O539">
        <v>97.94</v>
      </c>
      <c r="P539">
        <v>4.7619047620000003</v>
      </c>
      <c r="Q539">
        <v>0</v>
      </c>
      <c r="R539">
        <v>6.9</v>
      </c>
      <c r="S539">
        <v>96.173500000000004</v>
      </c>
      <c r="T539">
        <v>16.840900000000001</v>
      </c>
    </row>
    <row r="540" spans="1:20" x14ac:dyDescent="0.3">
      <c r="A540" t="s">
        <v>919</v>
      </c>
      <c r="B540" t="s">
        <v>21</v>
      </c>
      <c r="C540" t="s">
        <v>920</v>
      </c>
      <c r="D540" t="s">
        <v>23</v>
      </c>
      <c r="E540" t="s">
        <v>32</v>
      </c>
      <c r="F540" t="s">
        <v>25</v>
      </c>
      <c r="G540" t="s">
        <v>100</v>
      </c>
      <c r="H540">
        <v>73.05</v>
      </c>
      <c r="I540">
        <v>4</v>
      </c>
      <c r="J540">
        <v>14.61</v>
      </c>
      <c r="K540">
        <v>292.2</v>
      </c>
      <c r="L540" s="1">
        <v>43811</v>
      </c>
      <c r="M540" s="2">
        <v>0.71944444444444444</v>
      </c>
      <c r="N540" t="s">
        <v>37</v>
      </c>
      <c r="O540">
        <v>292.2</v>
      </c>
      <c r="P540">
        <v>4.7619047620000003</v>
      </c>
      <c r="Q540">
        <v>0</v>
      </c>
      <c r="R540">
        <v>4.9000000000000004</v>
      </c>
      <c r="S540">
        <v>96.173500000000004</v>
      </c>
      <c r="T540">
        <v>16.840900000000001</v>
      </c>
    </row>
    <row r="541" spans="1:20" x14ac:dyDescent="0.3">
      <c r="A541" t="s">
        <v>921</v>
      </c>
      <c r="B541" t="s">
        <v>29</v>
      </c>
      <c r="C541" t="s">
        <v>156</v>
      </c>
      <c r="D541" t="s">
        <v>31</v>
      </c>
      <c r="E541" t="s">
        <v>24</v>
      </c>
      <c r="F541" t="s">
        <v>25</v>
      </c>
      <c r="G541" t="s">
        <v>63</v>
      </c>
      <c r="H541">
        <v>87.48</v>
      </c>
      <c r="I541">
        <v>10</v>
      </c>
      <c r="J541">
        <v>43.74</v>
      </c>
      <c r="K541">
        <v>874.8</v>
      </c>
      <c r="L541" s="1">
        <v>43576</v>
      </c>
      <c r="M541" s="2">
        <v>0.77986111111111112</v>
      </c>
      <c r="N541" t="s">
        <v>27</v>
      </c>
      <c r="O541">
        <v>524.88</v>
      </c>
      <c r="P541">
        <v>4.7619047620000003</v>
      </c>
      <c r="Q541">
        <v>349.92</v>
      </c>
      <c r="R541">
        <v>5.3550000000000004</v>
      </c>
      <c r="S541">
        <v>96.078500000000005</v>
      </c>
      <c r="T541">
        <v>19.763300000000001</v>
      </c>
    </row>
    <row r="542" spans="1:20" x14ac:dyDescent="0.3">
      <c r="A542" t="s">
        <v>922</v>
      </c>
      <c r="B542" t="s">
        <v>21</v>
      </c>
      <c r="C542" t="s">
        <v>786</v>
      </c>
      <c r="D542" t="s">
        <v>23</v>
      </c>
      <c r="E542" t="s">
        <v>32</v>
      </c>
      <c r="F542" t="s">
        <v>36</v>
      </c>
      <c r="G542" t="s">
        <v>77</v>
      </c>
      <c r="H542">
        <v>30.68</v>
      </c>
      <c r="I542">
        <v>3</v>
      </c>
      <c r="J542">
        <v>4.6020000000000003</v>
      </c>
      <c r="K542">
        <v>92.04</v>
      </c>
      <c r="L542" s="1">
        <v>43717</v>
      </c>
      <c r="M542" s="2">
        <v>0.45833333333333331</v>
      </c>
      <c r="N542" t="s">
        <v>27</v>
      </c>
      <c r="O542">
        <v>92.04</v>
      </c>
      <c r="P542">
        <v>4.7619047620000003</v>
      </c>
      <c r="Q542">
        <v>0</v>
      </c>
      <c r="R542">
        <v>9.1</v>
      </c>
      <c r="S542">
        <v>96.173500000000004</v>
      </c>
      <c r="T542">
        <v>16.840900000000001</v>
      </c>
    </row>
    <row r="543" spans="1:20" x14ac:dyDescent="0.3">
      <c r="A543" t="s">
        <v>923</v>
      </c>
      <c r="B543" t="s">
        <v>29</v>
      </c>
      <c r="C543" t="s">
        <v>924</v>
      </c>
      <c r="D543" t="s">
        <v>31</v>
      </c>
      <c r="E543" t="s">
        <v>24</v>
      </c>
      <c r="F543" t="s">
        <v>36</v>
      </c>
      <c r="G543" t="s">
        <v>26</v>
      </c>
      <c r="H543">
        <v>75.88</v>
      </c>
      <c r="I543">
        <v>1</v>
      </c>
      <c r="J543">
        <v>3.794</v>
      </c>
      <c r="K543">
        <v>75.88</v>
      </c>
      <c r="L543" s="1">
        <v>43796</v>
      </c>
      <c r="M543" s="2">
        <v>0.4375</v>
      </c>
      <c r="N543" t="s">
        <v>37</v>
      </c>
      <c r="O543">
        <v>75.88</v>
      </c>
      <c r="P543">
        <v>4.7619047620000003</v>
      </c>
      <c r="Q543">
        <v>0</v>
      </c>
      <c r="R543">
        <v>7.4550000000000001</v>
      </c>
      <c r="S543">
        <v>96.078500000000005</v>
      </c>
      <c r="T543">
        <v>19.763300000000001</v>
      </c>
    </row>
    <row r="544" spans="1:20" x14ac:dyDescent="0.3">
      <c r="A544" t="s">
        <v>925</v>
      </c>
      <c r="B544" t="s">
        <v>51</v>
      </c>
      <c r="C544" t="s">
        <v>926</v>
      </c>
      <c r="D544" t="s">
        <v>53</v>
      </c>
      <c r="E544" t="s">
        <v>24</v>
      </c>
      <c r="F544" t="s">
        <v>25</v>
      </c>
      <c r="G544" t="s">
        <v>68</v>
      </c>
      <c r="H544">
        <v>20.18</v>
      </c>
      <c r="I544">
        <v>8</v>
      </c>
      <c r="J544">
        <v>8.0719999999999992</v>
      </c>
      <c r="K544">
        <v>161.44</v>
      </c>
      <c r="L544" s="1">
        <v>43656</v>
      </c>
      <c r="M544" s="2">
        <v>0.50972222222222219</v>
      </c>
      <c r="N544" t="s">
        <v>37</v>
      </c>
      <c r="O544">
        <v>80.72</v>
      </c>
      <c r="P544">
        <v>4.7619047620000003</v>
      </c>
      <c r="Q544">
        <v>80.72</v>
      </c>
      <c r="R544">
        <v>6</v>
      </c>
      <c r="S544">
        <v>96.089100000000002</v>
      </c>
      <c r="T544">
        <v>21.9588</v>
      </c>
    </row>
    <row r="545" spans="1:20" x14ac:dyDescent="0.3">
      <c r="A545" t="s">
        <v>927</v>
      </c>
      <c r="B545" t="s">
        <v>29</v>
      </c>
      <c r="C545" t="s">
        <v>209</v>
      </c>
      <c r="D545" t="s">
        <v>31</v>
      </c>
      <c r="E545" t="s">
        <v>24</v>
      </c>
      <c r="F545" t="s">
        <v>36</v>
      </c>
      <c r="G545" t="s">
        <v>60</v>
      </c>
      <c r="H545">
        <v>18.77</v>
      </c>
      <c r="I545">
        <v>10</v>
      </c>
      <c r="J545">
        <v>9.3849999999999998</v>
      </c>
      <c r="K545">
        <v>187.7</v>
      </c>
      <c r="L545" s="1">
        <v>43548</v>
      </c>
      <c r="M545" s="2">
        <v>0.69652777777777775</v>
      </c>
      <c r="N545" t="s">
        <v>37</v>
      </c>
      <c r="O545">
        <v>112.62</v>
      </c>
      <c r="P545">
        <v>4.7619047620000003</v>
      </c>
      <c r="Q545">
        <v>75.08</v>
      </c>
      <c r="R545">
        <v>5.7750000000000004</v>
      </c>
      <c r="S545">
        <v>96.078500000000005</v>
      </c>
      <c r="T545">
        <v>19.763300000000001</v>
      </c>
    </row>
    <row r="546" spans="1:20" x14ac:dyDescent="0.3">
      <c r="A546" t="s">
        <v>928</v>
      </c>
      <c r="B546" t="s">
        <v>51</v>
      </c>
      <c r="C546" t="s">
        <v>469</v>
      </c>
      <c r="D546" t="s">
        <v>53</v>
      </c>
      <c r="E546" t="s">
        <v>32</v>
      </c>
      <c r="F546" t="s">
        <v>25</v>
      </c>
      <c r="G546" t="s">
        <v>63</v>
      </c>
      <c r="H546">
        <v>71.2</v>
      </c>
      <c r="I546">
        <v>1</v>
      </c>
      <c r="J546">
        <v>3.56</v>
      </c>
      <c r="K546">
        <v>71.2</v>
      </c>
      <c r="L546" s="1">
        <v>43617</v>
      </c>
      <c r="M546" s="2">
        <v>0.86111111111111116</v>
      </c>
      <c r="N546" t="s">
        <v>37</v>
      </c>
      <c r="O546">
        <v>71.2</v>
      </c>
      <c r="P546">
        <v>4.7619047620000003</v>
      </c>
      <c r="Q546">
        <v>0</v>
      </c>
      <c r="R546">
        <v>10</v>
      </c>
      <c r="S546">
        <v>96.089100000000002</v>
      </c>
      <c r="T546">
        <v>21.9588</v>
      </c>
    </row>
    <row r="547" spans="1:20" x14ac:dyDescent="0.3">
      <c r="A547" t="s">
        <v>929</v>
      </c>
      <c r="B547" t="s">
        <v>51</v>
      </c>
      <c r="C547" t="s">
        <v>221</v>
      </c>
      <c r="D547" t="s">
        <v>53</v>
      </c>
      <c r="E547" t="s">
        <v>24</v>
      </c>
      <c r="F547" t="s">
        <v>36</v>
      </c>
      <c r="G547" t="s">
        <v>68</v>
      </c>
      <c r="H547">
        <v>38.81</v>
      </c>
      <c r="I547">
        <v>8</v>
      </c>
      <c r="J547">
        <v>15.523999999999999</v>
      </c>
      <c r="K547">
        <v>310.48</v>
      </c>
      <c r="L547" s="1">
        <v>43764</v>
      </c>
      <c r="M547" s="2">
        <v>0.56944444444444442</v>
      </c>
      <c r="N547" t="s">
        <v>27</v>
      </c>
      <c r="O547">
        <v>155.24</v>
      </c>
      <c r="P547">
        <v>4.7619047620000003</v>
      </c>
      <c r="Q547">
        <v>155.24</v>
      </c>
      <c r="R547">
        <v>5.88</v>
      </c>
      <c r="S547">
        <v>96.089100000000002</v>
      </c>
      <c r="T547">
        <v>21.9588</v>
      </c>
    </row>
    <row r="548" spans="1:20" x14ac:dyDescent="0.3">
      <c r="A548" t="s">
        <v>930</v>
      </c>
      <c r="B548" t="s">
        <v>21</v>
      </c>
      <c r="C548" t="s">
        <v>213</v>
      </c>
      <c r="D548" t="s">
        <v>23</v>
      </c>
      <c r="E548" t="s">
        <v>32</v>
      </c>
      <c r="F548" t="s">
        <v>25</v>
      </c>
      <c r="G548" t="s">
        <v>68</v>
      </c>
      <c r="H548">
        <v>29.42</v>
      </c>
      <c r="I548">
        <v>10</v>
      </c>
      <c r="J548">
        <v>14.71</v>
      </c>
      <c r="K548">
        <v>294.2</v>
      </c>
      <c r="L548" s="1">
        <v>43713</v>
      </c>
      <c r="M548" s="2">
        <v>0.68263888888888891</v>
      </c>
      <c r="N548" t="s">
        <v>27</v>
      </c>
      <c r="O548">
        <v>294.2</v>
      </c>
      <c r="P548">
        <v>4.7619047620000003</v>
      </c>
      <c r="Q548">
        <v>0</v>
      </c>
      <c r="R548">
        <v>8.9</v>
      </c>
      <c r="S548">
        <v>96.173500000000004</v>
      </c>
      <c r="T548">
        <v>16.840900000000001</v>
      </c>
    </row>
    <row r="549" spans="1:20" x14ac:dyDescent="0.3">
      <c r="A549" t="s">
        <v>931</v>
      </c>
      <c r="B549" t="s">
        <v>21</v>
      </c>
      <c r="C549" t="s">
        <v>472</v>
      </c>
      <c r="D549" t="s">
        <v>23</v>
      </c>
      <c r="E549" t="s">
        <v>32</v>
      </c>
      <c r="F549" t="s">
        <v>36</v>
      </c>
      <c r="G549" t="s">
        <v>68</v>
      </c>
      <c r="H549">
        <v>60.95</v>
      </c>
      <c r="I549">
        <v>9</v>
      </c>
      <c r="J549">
        <v>27.427499999999998</v>
      </c>
      <c r="K549">
        <v>548.54999999999995</v>
      </c>
      <c r="L549" s="1">
        <v>43674</v>
      </c>
      <c r="M549" s="2">
        <v>0.50555555555555554</v>
      </c>
      <c r="N549" t="s">
        <v>37</v>
      </c>
      <c r="O549">
        <v>548.54999999999995</v>
      </c>
      <c r="P549">
        <v>4.7619047620000003</v>
      </c>
      <c r="Q549">
        <v>0</v>
      </c>
      <c r="R549">
        <v>6</v>
      </c>
      <c r="S549">
        <v>96.173500000000004</v>
      </c>
      <c r="T549">
        <v>16.840900000000001</v>
      </c>
    </row>
    <row r="550" spans="1:20" x14ac:dyDescent="0.3">
      <c r="A550" t="s">
        <v>932</v>
      </c>
      <c r="B550" t="s">
        <v>51</v>
      </c>
      <c r="C550" t="s">
        <v>734</v>
      </c>
      <c r="D550" t="s">
        <v>53</v>
      </c>
      <c r="E550" t="s">
        <v>32</v>
      </c>
      <c r="F550" t="s">
        <v>25</v>
      </c>
      <c r="G550" t="s">
        <v>68</v>
      </c>
      <c r="H550">
        <v>51.54</v>
      </c>
      <c r="I550">
        <v>7</v>
      </c>
      <c r="J550">
        <v>18.039000000000001</v>
      </c>
      <c r="K550">
        <v>360.78</v>
      </c>
      <c r="L550" s="1">
        <v>43583</v>
      </c>
      <c r="M550" s="2">
        <v>0.73958333333333337</v>
      </c>
      <c r="N550" t="s">
        <v>33</v>
      </c>
      <c r="O550">
        <v>257.7</v>
      </c>
      <c r="P550">
        <v>4.7619047620000003</v>
      </c>
      <c r="Q550">
        <v>103.08</v>
      </c>
      <c r="R550">
        <v>5.04</v>
      </c>
      <c r="S550">
        <v>96.089100000000002</v>
      </c>
      <c r="T550">
        <v>21.9588</v>
      </c>
    </row>
    <row r="551" spans="1:20" x14ac:dyDescent="0.3">
      <c r="A551" t="s">
        <v>933</v>
      </c>
      <c r="B551" t="s">
        <v>21</v>
      </c>
      <c r="C551" t="s">
        <v>934</v>
      </c>
      <c r="D551" t="s">
        <v>23</v>
      </c>
      <c r="E551" t="s">
        <v>32</v>
      </c>
      <c r="F551" t="s">
        <v>25</v>
      </c>
      <c r="G551" t="s">
        <v>68</v>
      </c>
      <c r="H551">
        <v>66.06</v>
      </c>
      <c r="I551">
        <v>6</v>
      </c>
      <c r="J551">
        <v>19.818000000000001</v>
      </c>
      <c r="K551">
        <v>396.36</v>
      </c>
      <c r="L551" s="1">
        <v>43483</v>
      </c>
      <c r="M551" s="2">
        <v>0.43611111111111112</v>
      </c>
      <c r="N551" t="s">
        <v>33</v>
      </c>
      <c r="O551">
        <v>396.36</v>
      </c>
      <c r="P551">
        <v>4.7619047620000003</v>
      </c>
      <c r="Q551">
        <v>0</v>
      </c>
      <c r="R551">
        <v>7.3</v>
      </c>
      <c r="S551">
        <v>96.173500000000004</v>
      </c>
      <c r="T551">
        <v>16.840900000000001</v>
      </c>
    </row>
    <row r="552" spans="1:20" x14ac:dyDescent="0.3">
      <c r="A552" t="s">
        <v>935</v>
      </c>
      <c r="B552" t="s">
        <v>51</v>
      </c>
      <c r="C552" t="s">
        <v>440</v>
      </c>
      <c r="D552" t="s">
        <v>53</v>
      </c>
      <c r="E552" t="s">
        <v>32</v>
      </c>
      <c r="F552" t="s">
        <v>36</v>
      </c>
      <c r="G552" t="s">
        <v>68</v>
      </c>
      <c r="H552">
        <v>57.27</v>
      </c>
      <c r="I552">
        <v>4</v>
      </c>
      <c r="J552">
        <v>11.454000000000001</v>
      </c>
      <c r="K552">
        <v>229.08</v>
      </c>
      <c r="L552" s="1">
        <v>43512</v>
      </c>
      <c r="M552" s="2">
        <v>0.85486111111111107</v>
      </c>
      <c r="N552" t="s">
        <v>27</v>
      </c>
      <c r="O552">
        <v>171.81</v>
      </c>
      <c r="P552">
        <v>4.7619047620000003</v>
      </c>
      <c r="Q552">
        <v>57.27</v>
      </c>
      <c r="R552">
        <v>7.8</v>
      </c>
      <c r="S552">
        <v>96.089100000000002</v>
      </c>
      <c r="T552">
        <v>21.9588</v>
      </c>
    </row>
    <row r="553" spans="1:20" x14ac:dyDescent="0.3">
      <c r="A553" t="s">
        <v>936</v>
      </c>
      <c r="B553" t="s">
        <v>51</v>
      </c>
      <c r="C553" t="s">
        <v>102</v>
      </c>
      <c r="D553" t="s">
        <v>53</v>
      </c>
      <c r="E553" t="s">
        <v>32</v>
      </c>
      <c r="F553" t="s">
        <v>25</v>
      </c>
      <c r="G553" t="s">
        <v>68</v>
      </c>
      <c r="H553">
        <v>54.31</v>
      </c>
      <c r="I553">
        <v>13</v>
      </c>
      <c r="J553">
        <v>35.301499999999997</v>
      </c>
      <c r="K553">
        <v>706.03</v>
      </c>
      <c r="L553" s="1">
        <v>43738</v>
      </c>
      <c r="M553" s="2">
        <v>0.45069444444444445</v>
      </c>
      <c r="N553" t="s">
        <v>33</v>
      </c>
      <c r="O553">
        <v>488.79</v>
      </c>
      <c r="P553">
        <v>4.7619047620000003</v>
      </c>
      <c r="Q553">
        <v>217.24</v>
      </c>
      <c r="R553">
        <v>10</v>
      </c>
      <c r="S553">
        <v>96.089100000000002</v>
      </c>
      <c r="T553">
        <v>21.9588</v>
      </c>
    </row>
    <row r="554" spans="1:20" x14ac:dyDescent="0.3">
      <c r="A554" t="s">
        <v>937</v>
      </c>
      <c r="B554" t="s">
        <v>51</v>
      </c>
      <c r="C554" t="s">
        <v>343</v>
      </c>
      <c r="D554" t="s">
        <v>53</v>
      </c>
      <c r="E554" t="s">
        <v>32</v>
      </c>
      <c r="F554" t="s">
        <v>25</v>
      </c>
      <c r="G554" t="s">
        <v>68</v>
      </c>
      <c r="H554">
        <v>58.24</v>
      </c>
      <c r="I554">
        <v>13</v>
      </c>
      <c r="J554">
        <v>37.856000000000002</v>
      </c>
      <c r="K554">
        <v>757.12</v>
      </c>
      <c r="L554" s="1">
        <v>43827</v>
      </c>
      <c r="M554" s="2">
        <v>0.52361111111111114</v>
      </c>
      <c r="N554" t="s">
        <v>33</v>
      </c>
      <c r="O554">
        <v>524.16</v>
      </c>
      <c r="P554">
        <v>4.7619047620000003</v>
      </c>
      <c r="Q554">
        <v>232.96</v>
      </c>
      <c r="R554">
        <v>10</v>
      </c>
      <c r="S554">
        <v>96.089100000000002</v>
      </c>
      <c r="T554">
        <v>21.9588</v>
      </c>
    </row>
    <row r="555" spans="1:20" x14ac:dyDescent="0.3">
      <c r="A555" t="s">
        <v>938</v>
      </c>
      <c r="B555" t="s">
        <v>29</v>
      </c>
      <c r="C555" t="s">
        <v>939</v>
      </c>
      <c r="D555" t="s">
        <v>31</v>
      </c>
      <c r="E555" t="s">
        <v>32</v>
      </c>
      <c r="F555" t="s">
        <v>36</v>
      </c>
      <c r="G555" t="s">
        <v>68</v>
      </c>
      <c r="H555">
        <v>22.21</v>
      </c>
      <c r="I555">
        <v>7</v>
      </c>
      <c r="J555">
        <v>7.7735000000000003</v>
      </c>
      <c r="K555">
        <v>155.47</v>
      </c>
      <c r="L555" s="1">
        <v>43489</v>
      </c>
      <c r="M555" s="2">
        <v>0.43263888888888891</v>
      </c>
      <c r="N555" t="s">
        <v>37</v>
      </c>
      <c r="O555">
        <v>133.26</v>
      </c>
      <c r="P555">
        <v>4.7619047620000003</v>
      </c>
      <c r="Q555">
        <v>22.21</v>
      </c>
      <c r="R555">
        <v>9.0299999999999994</v>
      </c>
      <c r="S555">
        <v>96.078500000000005</v>
      </c>
      <c r="T555">
        <v>19.763300000000001</v>
      </c>
    </row>
    <row r="556" spans="1:20" x14ac:dyDescent="0.3">
      <c r="A556" t="s">
        <v>940</v>
      </c>
      <c r="B556" t="s">
        <v>21</v>
      </c>
      <c r="C556" t="s">
        <v>351</v>
      </c>
      <c r="D556" t="s">
        <v>23</v>
      </c>
      <c r="E556" t="s">
        <v>24</v>
      </c>
      <c r="F556" t="s">
        <v>36</v>
      </c>
      <c r="G556" t="s">
        <v>68</v>
      </c>
      <c r="H556">
        <v>19.32</v>
      </c>
      <c r="I556">
        <v>10</v>
      </c>
      <c r="J556">
        <v>9.66</v>
      </c>
      <c r="K556">
        <v>193.2</v>
      </c>
      <c r="L556" s="1">
        <v>43555</v>
      </c>
      <c r="M556" s="2">
        <v>0.78541666666666665</v>
      </c>
      <c r="N556" t="s">
        <v>33</v>
      </c>
      <c r="O556">
        <v>135.24</v>
      </c>
      <c r="P556">
        <v>4.7619047620000003</v>
      </c>
      <c r="Q556">
        <v>57.96</v>
      </c>
      <c r="R556">
        <v>6.9</v>
      </c>
      <c r="S556">
        <v>96.173500000000004</v>
      </c>
      <c r="T556">
        <v>16.840900000000001</v>
      </c>
    </row>
    <row r="557" spans="1:20" x14ac:dyDescent="0.3">
      <c r="A557" t="s">
        <v>941</v>
      </c>
      <c r="B557" t="s">
        <v>51</v>
      </c>
      <c r="C557" t="s">
        <v>361</v>
      </c>
      <c r="D557" t="s">
        <v>53</v>
      </c>
      <c r="E557" t="s">
        <v>32</v>
      </c>
      <c r="F557" t="s">
        <v>36</v>
      </c>
      <c r="G557" t="s">
        <v>77</v>
      </c>
      <c r="H557">
        <v>37.479999999999997</v>
      </c>
      <c r="I557">
        <v>4</v>
      </c>
      <c r="J557">
        <v>7.4960000000000004</v>
      </c>
      <c r="K557">
        <v>149.91999999999999</v>
      </c>
      <c r="L557" s="1">
        <v>43611</v>
      </c>
      <c r="M557" s="2">
        <v>0.57291666666666663</v>
      </c>
      <c r="N557" t="s">
        <v>37</v>
      </c>
      <c r="O557">
        <v>112.44</v>
      </c>
      <c r="P557">
        <v>4.7619047620000003</v>
      </c>
      <c r="Q557">
        <v>37.479999999999997</v>
      </c>
      <c r="R557">
        <v>9.24</v>
      </c>
      <c r="S557">
        <v>96.089100000000002</v>
      </c>
      <c r="T557">
        <v>21.9588</v>
      </c>
    </row>
    <row r="558" spans="1:20" x14ac:dyDescent="0.3">
      <c r="A558" t="s">
        <v>942</v>
      </c>
      <c r="B558" t="s">
        <v>51</v>
      </c>
      <c r="C558" t="s">
        <v>95</v>
      </c>
      <c r="D558" t="s">
        <v>53</v>
      </c>
      <c r="E558" t="s">
        <v>24</v>
      </c>
      <c r="F558" t="s">
        <v>25</v>
      </c>
      <c r="G558" t="s">
        <v>100</v>
      </c>
      <c r="H558">
        <v>72.040000000000006</v>
      </c>
      <c r="I558">
        <v>4</v>
      </c>
      <c r="J558">
        <v>14.407999999999999</v>
      </c>
      <c r="K558">
        <v>288.16000000000003</v>
      </c>
      <c r="L558" s="1">
        <v>43639</v>
      </c>
      <c r="M558" s="2">
        <v>0.81805555555555554</v>
      </c>
      <c r="N558" t="s">
        <v>33</v>
      </c>
      <c r="O558">
        <v>144.08000000000001</v>
      </c>
      <c r="P558">
        <v>4.7619047620000003</v>
      </c>
      <c r="Q558">
        <v>144.08000000000001</v>
      </c>
      <c r="R558">
        <v>10</v>
      </c>
      <c r="S558">
        <v>96.089100000000002</v>
      </c>
      <c r="T558">
        <v>21.9588</v>
      </c>
    </row>
    <row r="559" spans="1:20" x14ac:dyDescent="0.3">
      <c r="A559" t="s">
        <v>943</v>
      </c>
      <c r="B559" t="s">
        <v>29</v>
      </c>
      <c r="C559" t="s">
        <v>47</v>
      </c>
      <c r="D559" t="s">
        <v>31</v>
      </c>
      <c r="E559" t="s">
        <v>24</v>
      </c>
      <c r="F559" t="s">
        <v>25</v>
      </c>
      <c r="G559" t="s">
        <v>63</v>
      </c>
      <c r="H559">
        <v>98.52</v>
      </c>
      <c r="I559">
        <v>17</v>
      </c>
      <c r="J559">
        <v>83.742000000000004</v>
      </c>
      <c r="K559">
        <v>1674.84</v>
      </c>
      <c r="L559" s="1">
        <v>43512</v>
      </c>
      <c r="M559" s="2">
        <v>0.84930555555555554</v>
      </c>
      <c r="N559" t="s">
        <v>27</v>
      </c>
      <c r="O559">
        <v>985.2</v>
      </c>
      <c r="P559">
        <v>4.7619047620000003</v>
      </c>
      <c r="Q559">
        <v>689.64</v>
      </c>
      <c r="R559">
        <v>4.7249999999999996</v>
      </c>
      <c r="S559">
        <v>96.078500000000005</v>
      </c>
      <c r="T559">
        <v>19.763300000000001</v>
      </c>
    </row>
    <row r="560" spans="1:20" x14ac:dyDescent="0.3">
      <c r="A560" t="s">
        <v>944</v>
      </c>
      <c r="B560" t="s">
        <v>21</v>
      </c>
      <c r="C560" t="s">
        <v>680</v>
      </c>
      <c r="D560" t="s">
        <v>23</v>
      </c>
      <c r="E560" t="s">
        <v>24</v>
      </c>
      <c r="F560" t="s">
        <v>36</v>
      </c>
      <c r="G560" t="s">
        <v>63</v>
      </c>
      <c r="H560">
        <v>41.66</v>
      </c>
      <c r="I560">
        <v>8</v>
      </c>
      <c r="J560">
        <v>16.664000000000001</v>
      </c>
      <c r="K560">
        <v>333.28</v>
      </c>
      <c r="L560" s="1">
        <v>43564</v>
      </c>
      <c r="M560" s="2">
        <v>0.64166666666666672</v>
      </c>
      <c r="N560" t="s">
        <v>27</v>
      </c>
      <c r="O560">
        <v>249.96</v>
      </c>
      <c r="P560">
        <v>4.7619047620000003</v>
      </c>
      <c r="Q560">
        <v>83.32</v>
      </c>
      <c r="R560">
        <v>5.6</v>
      </c>
      <c r="S560">
        <v>96.173500000000004</v>
      </c>
      <c r="T560">
        <v>16.840900000000001</v>
      </c>
    </row>
    <row r="561" spans="1:20" x14ac:dyDescent="0.3">
      <c r="A561" t="s">
        <v>945</v>
      </c>
      <c r="B561" t="s">
        <v>21</v>
      </c>
      <c r="C561" t="s">
        <v>946</v>
      </c>
      <c r="D561" t="s">
        <v>23</v>
      </c>
      <c r="E561" t="s">
        <v>24</v>
      </c>
      <c r="F561" t="s">
        <v>25</v>
      </c>
      <c r="G561" t="s">
        <v>77</v>
      </c>
      <c r="H561">
        <v>72.42</v>
      </c>
      <c r="I561">
        <v>4</v>
      </c>
      <c r="J561">
        <v>14.484</v>
      </c>
      <c r="K561">
        <v>289.68</v>
      </c>
      <c r="L561" s="1">
        <v>43648</v>
      </c>
      <c r="M561" s="2">
        <v>0.70416666666666672</v>
      </c>
      <c r="N561" t="s">
        <v>27</v>
      </c>
      <c r="O561">
        <v>217.26</v>
      </c>
      <c r="P561">
        <v>4.7619047620000003</v>
      </c>
      <c r="Q561">
        <v>72.42</v>
      </c>
      <c r="R561">
        <v>8.1999999999999993</v>
      </c>
      <c r="S561">
        <v>96.173500000000004</v>
      </c>
      <c r="T561">
        <v>16.840900000000001</v>
      </c>
    </row>
    <row r="562" spans="1:20" x14ac:dyDescent="0.3">
      <c r="A562" t="s">
        <v>947</v>
      </c>
      <c r="B562" t="s">
        <v>51</v>
      </c>
      <c r="C562" t="s">
        <v>948</v>
      </c>
      <c r="D562" t="s">
        <v>53</v>
      </c>
      <c r="E562" t="s">
        <v>32</v>
      </c>
      <c r="F562" t="s">
        <v>36</v>
      </c>
      <c r="G562" t="s">
        <v>60</v>
      </c>
      <c r="H562">
        <v>21.58</v>
      </c>
      <c r="I562">
        <v>13</v>
      </c>
      <c r="J562">
        <v>14.026999999999999</v>
      </c>
      <c r="K562">
        <v>280.54000000000002</v>
      </c>
      <c r="L562" s="1">
        <v>43671</v>
      </c>
      <c r="M562" s="2">
        <v>0.52222222222222225</v>
      </c>
      <c r="N562" t="s">
        <v>33</v>
      </c>
      <c r="O562">
        <v>194.22</v>
      </c>
      <c r="P562">
        <v>4.7619047620000003</v>
      </c>
      <c r="Q562">
        <v>86.32</v>
      </c>
      <c r="R562">
        <v>8.76</v>
      </c>
      <c r="S562">
        <v>96.089100000000002</v>
      </c>
      <c r="T562">
        <v>21.9588</v>
      </c>
    </row>
    <row r="563" spans="1:20" x14ac:dyDescent="0.3">
      <c r="A563" t="s">
        <v>949</v>
      </c>
      <c r="B563" t="s">
        <v>29</v>
      </c>
      <c r="C563" t="s">
        <v>950</v>
      </c>
      <c r="D563" t="s">
        <v>31</v>
      </c>
      <c r="E563" t="s">
        <v>32</v>
      </c>
      <c r="F563" t="s">
        <v>36</v>
      </c>
      <c r="G563" t="s">
        <v>63</v>
      </c>
      <c r="H563">
        <v>89.2</v>
      </c>
      <c r="I563">
        <v>12</v>
      </c>
      <c r="J563">
        <v>53.52</v>
      </c>
      <c r="K563">
        <v>1070.4000000000001</v>
      </c>
      <c r="L563" s="1">
        <v>43722</v>
      </c>
      <c r="M563" s="2">
        <v>0.65416666666666667</v>
      </c>
      <c r="N563" t="s">
        <v>37</v>
      </c>
      <c r="O563">
        <v>892</v>
      </c>
      <c r="P563">
        <v>4.7619047620000003</v>
      </c>
      <c r="Q563">
        <v>178.4</v>
      </c>
      <c r="R563">
        <v>4.62</v>
      </c>
      <c r="S563">
        <v>96.078500000000005</v>
      </c>
      <c r="T563">
        <v>19.763300000000001</v>
      </c>
    </row>
    <row r="564" spans="1:20" x14ac:dyDescent="0.3">
      <c r="A564" t="s">
        <v>951</v>
      </c>
      <c r="B564" t="s">
        <v>51</v>
      </c>
      <c r="C564" t="s">
        <v>57</v>
      </c>
      <c r="D564" t="s">
        <v>53</v>
      </c>
      <c r="E564" t="s">
        <v>32</v>
      </c>
      <c r="F564" t="s">
        <v>25</v>
      </c>
      <c r="G564" t="s">
        <v>60</v>
      </c>
      <c r="H564">
        <v>42.42</v>
      </c>
      <c r="I564">
        <v>11</v>
      </c>
      <c r="J564">
        <v>23.331</v>
      </c>
      <c r="K564">
        <v>466.62</v>
      </c>
      <c r="L564" s="1">
        <v>43528</v>
      </c>
      <c r="M564" s="2">
        <v>0.58194444444444449</v>
      </c>
      <c r="N564" t="s">
        <v>27</v>
      </c>
      <c r="O564">
        <v>339.36</v>
      </c>
      <c r="P564">
        <v>4.7619047620000003</v>
      </c>
      <c r="Q564">
        <v>127.26</v>
      </c>
      <c r="R564">
        <v>6.84</v>
      </c>
      <c r="S564">
        <v>96.089100000000002</v>
      </c>
      <c r="T564">
        <v>21.9588</v>
      </c>
    </row>
    <row r="565" spans="1:20" x14ac:dyDescent="0.3">
      <c r="A565" t="s">
        <v>952</v>
      </c>
      <c r="B565" t="s">
        <v>21</v>
      </c>
      <c r="C565" t="s">
        <v>769</v>
      </c>
      <c r="D565" t="s">
        <v>23</v>
      </c>
      <c r="E565" t="s">
        <v>24</v>
      </c>
      <c r="F565" t="s">
        <v>36</v>
      </c>
      <c r="G565" t="s">
        <v>60</v>
      </c>
      <c r="H565">
        <v>74.510000000000005</v>
      </c>
      <c r="I565">
        <v>8</v>
      </c>
      <c r="J565">
        <v>29.803999999999998</v>
      </c>
      <c r="K565">
        <v>596.08000000000004</v>
      </c>
      <c r="L565" s="1">
        <v>43671</v>
      </c>
      <c r="M565" s="2">
        <v>0.63055555555555554</v>
      </c>
      <c r="N565" t="s">
        <v>27</v>
      </c>
      <c r="O565">
        <v>447.06</v>
      </c>
      <c r="P565">
        <v>4.7619047620000003</v>
      </c>
      <c r="Q565">
        <v>149.02000000000001</v>
      </c>
      <c r="R565">
        <v>5</v>
      </c>
      <c r="S565">
        <v>96.173500000000004</v>
      </c>
      <c r="T565">
        <v>16.840900000000001</v>
      </c>
    </row>
    <row r="566" spans="1:20" x14ac:dyDescent="0.3">
      <c r="A566" t="s">
        <v>953</v>
      </c>
      <c r="B566" t="s">
        <v>51</v>
      </c>
      <c r="C566" t="s">
        <v>954</v>
      </c>
      <c r="D566" t="s">
        <v>53</v>
      </c>
      <c r="E566" t="s">
        <v>32</v>
      </c>
      <c r="F566" t="s">
        <v>36</v>
      </c>
      <c r="G566" t="s">
        <v>100</v>
      </c>
      <c r="H566">
        <v>99.25</v>
      </c>
      <c r="I566">
        <v>3</v>
      </c>
      <c r="J566">
        <v>14.887499999999999</v>
      </c>
      <c r="K566">
        <v>297.75</v>
      </c>
      <c r="L566" s="1">
        <v>43754</v>
      </c>
      <c r="M566" s="2">
        <v>0.54305555555555551</v>
      </c>
      <c r="N566" t="s">
        <v>33</v>
      </c>
      <c r="O566">
        <v>198.5</v>
      </c>
      <c r="P566">
        <v>4.7619047620000003</v>
      </c>
      <c r="Q566">
        <v>99.25</v>
      </c>
      <c r="R566">
        <v>10</v>
      </c>
      <c r="S566">
        <v>96.089100000000002</v>
      </c>
      <c r="T566">
        <v>21.9588</v>
      </c>
    </row>
    <row r="567" spans="1:20" x14ac:dyDescent="0.3">
      <c r="A567" t="s">
        <v>955</v>
      </c>
      <c r="B567" t="s">
        <v>21</v>
      </c>
      <c r="C567" t="s">
        <v>526</v>
      </c>
      <c r="D567" t="s">
        <v>23</v>
      </c>
      <c r="E567" t="s">
        <v>32</v>
      </c>
      <c r="F567" t="s">
        <v>25</v>
      </c>
      <c r="G567" t="s">
        <v>63</v>
      </c>
      <c r="H567">
        <v>81.209999999999994</v>
      </c>
      <c r="I567">
        <v>10</v>
      </c>
      <c r="J567">
        <v>40.604999999999997</v>
      </c>
      <c r="K567">
        <v>812.1</v>
      </c>
      <c r="L567" s="1">
        <v>43564</v>
      </c>
      <c r="M567" s="2">
        <v>0.54236111111111107</v>
      </c>
      <c r="N567" t="s">
        <v>37</v>
      </c>
      <c r="O567">
        <v>812.1</v>
      </c>
      <c r="P567">
        <v>4.7619047620000003</v>
      </c>
      <c r="Q567">
        <v>0</v>
      </c>
      <c r="R567">
        <v>6.3</v>
      </c>
      <c r="S567">
        <v>96.173500000000004</v>
      </c>
      <c r="T567">
        <v>16.840900000000001</v>
      </c>
    </row>
    <row r="568" spans="1:20" x14ac:dyDescent="0.3">
      <c r="A568" t="s">
        <v>956</v>
      </c>
      <c r="B568" t="s">
        <v>29</v>
      </c>
      <c r="C568" t="s">
        <v>313</v>
      </c>
      <c r="D568" t="s">
        <v>31</v>
      </c>
      <c r="E568" t="s">
        <v>32</v>
      </c>
      <c r="F568" t="s">
        <v>25</v>
      </c>
      <c r="G568" t="s">
        <v>68</v>
      </c>
      <c r="H568">
        <v>49.33</v>
      </c>
      <c r="I568">
        <v>12</v>
      </c>
      <c r="J568">
        <v>29.597999999999999</v>
      </c>
      <c r="K568">
        <v>591.96</v>
      </c>
      <c r="L568" s="1">
        <v>43798</v>
      </c>
      <c r="M568" s="2">
        <v>0.69444444444444442</v>
      </c>
      <c r="N568" t="s">
        <v>37</v>
      </c>
      <c r="O568">
        <v>493.3</v>
      </c>
      <c r="P568">
        <v>4.7619047620000003</v>
      </c>
      <c r="Q568">
        <v>98.66</v>
      </c>
      <c r="R568">
        <v>9.8699999999999992</v>
      </c>
      <c r="S568">
        <v>96.078500000000005</v>
      </c>
      <c r="T568">
        <v>19.763300000000001</v>
      </c>
    </row>
    <row r="569" spans="1:20" x14ac:dyDescent="0.3">
      <c r="A569" t="s">
        <v>957</v>
      </c>
      <c r="B569" t="s">
        <v>21</v>
      </c>
      <c r="C569" t="s">
        <v>958</v>
      </c>
      <c r="D569" t="s">
        <v>23</v>
      </c>
      <c r="E569" t="s">
        <v>32</v>
      </c>
      <c r="F569" t="s">
        <v>25</v>
      </c>
      <c r="G569" t="s">
        <v>100</v>
      </c>
      <c r="H569">
        <v>65.739999999999995</v>
      </c>
      <c r="I569">
        <v>9</v>
      </c>
      <c r="J569">
        <v>29.582999999999998</v>
      </c>
      <c r="K569">
        <v>591.66</v>
      </c>
      <c r="L569" s="1">
        <v>43810</v>
      </c>
      <c r="M569" s="2">
        <v>0.57986111111111116</v>
      </c>
      <c r="N569" t="s">
        <v>33</v>
      </c>
      <c r="O569">
        <v>591.66</v>
      </c>
      <c r="P569">
        <v>4.7619047620000003</v>
      </c>
      <c r="Q569">
        <v>0</v>
      </c>
      <c r="R569">
        <v>7.7</v>
      </c>
      <c r="S569">
        <v>96.173500000000004</v>
      </c>
      <c r="T569">
        <v>16.840900000000001</v>
      </c>
    </row>
    <row r="570" spans="1:20" x14ac:dyDescent="0.3">
      <c r="A570" t="s">
        <v>959</v>
      </c>
      <c r="B570" t="s">
        <v>51</v>
      </c>
      <c r="C570" t="s">
        <v>333</v>
      </c>
      <c r="D570" t="s">
        <v>53</v>
      </c>
      <c r="E570" t="s">
        <v>32</v>
      </c>
      <c r="F570" t="s">
        <v>25</v>
      </c>
      <c r="G570" t="s">
        <v>100</v>
      </c>
      <c r="H570">
        <v>79.86</v>
      </c>
      <c r="I570">
        <v>10</v>
      </c>
      <c r="J570">
        <v>39.93</v>
      </c>
      <c r="K570">
        <v>798.6</v>
      </c>
      <c r="L570" s="1">
        <v>43575</v>
      </c>
      <c r="M570" s="2">
        <v>0.43958333333333333</v>
      </c>
      <c r="N570" t="s">
        <v>37</v>
      </c>
      <c r="O570">
        <v>559.02</v>
      </c>
      <c r="P570">
        <v>4.7619047620000003</v>
      </c>
      <c r="Q570">
        <v>239.58</v>
      </c>
      <c r="R570">
        <v>6.6</v>
      </c>
      <c r="S570">
        <v>96.089100000000002</v>
      </c>
      <c r="T570">
        <v>21.9588</v>
      </c>
    </row>
    <row r="571" spans="1:20" x14ac:dyDescent="0.3">
      <c r="A571" t="s">
        <v>960</v>
      </c>
      <c r="B571" t="s">
        <v>29</v>
      </c>
      <c r="C571" t="s">
        <v>190</v>
      </c>
      <c r="D571" t="s">
        <v>31</v>
      </c>
      <c r="E571" t="s">
        <v>32</v>
      </c>
      <c r="F571" t="s">
        <v>25</v>
      </c>
      <c r="G571" t="s">
        <v>68</v>
      </c>
      <c r="H571">
        <v>73.98</v>
      </c>
      <c r="I571">
        <v>8</v>
      </c>
      <c r="J571">
        <v>29.591999999999999</v>
      </c>
      <c r="K571">
        <v>591.84</v>
      </c>
      <c r="L571" s="1">
        <v>43614</v>
      </c>
      <c r="M571" s="2">
        <v>0.6958333333333333</v>
      </c>
      <c r="N571" t="s">
        <v>27</v>
      </c>
      <c r="O571">
        <v>517.86</v>
      </c>
      <c r="P571">
        <v>4.7619047620000003</v>
      </c>
      <c r="Q571">
        <v>73.98</v>
      </c>
      <c r="R571">
        <v>4.3049999999999997</v>
      </c>
      <c r="S571">
        <v>96.078500000000005</v>
      </c>
      <c r="T571">
        <v>19.763300000000001</v>
      </c>
    </row>
    <row r="572" spans="1:20" x14ac:dyDescent="0.3">
      <c r="A572" t="s">
        <v>961</v>
      </c>
      <c r="B572" t="s">
        <v>51</v>
      </c>
      <c r="C572" t="s">
        <v>859</v>
      </c>
      <c r="D572" t="s">
        <v>53</v>
      </c>
      <c r="E572" t="s">
        <v>24</v>
      </c>
      <c r="F572" t="s">
        <v>25</v>
      </c>
      <c r="G572" t="s">
        <v>77</v>
      </c>
      <c r="H572">
        <v>82.04</v>
      </c>
      <c r="I572">
        <v>10</v>
      </c>
      <c r="J572">
        <v>41.02</v>
      </c>
      <c r="K572">
        <v>820.4</v>
      </c>
      <c r="L572" s="1">
        <v>43721</v>
      </c>
      <c r="M572" s="2">
        <v>0.71944444444444444</v>
      </c>
      <c r="N572" t="s">
        <v>37</v>
      </c>
      <c r="O572">
        <v>410.2</v>
      </c>
      <c r="P572">
        <v>4.7619047620000003</v>
      </c>
      <c r="Q572">
        <v>410.2</v>
      </c>
      <c r="R572">
        <v>9.1199999999999992</v>
      </c>
      <c r="S572">
        <v>96.089100000000002</v>
      </c>
      <c r="T572">
        <v>21.9588</v>
      </c>
    </row>
    <row r="573" spans="1:20" x14ac:dyDescent="0.3">
      <c r="A573" t="s">
        <v>962</v>
      </c>
      <c r="B573" t="s">
        <v>51</v>
      </c>
      <c r="C573" t="s">
        <v>633</v>
      </c>
      <c r="D573" t="s">
        <v>53</v>
      </c>
      <c r="E573" t="s">
        <v>24</v>
      </c>
      <c r="F573" t="s">
        <v>36</v>
      </c>
      <c r="G573" t="s">
        <v>100</v>
      </c>
      <c r="H573">
        <v>26.67</v>
      </c>
      <c r="I573">
        <v>20</v>
      </c>
      <c r="J573">
        <v>26.67</v>
      </c>
      <c r="K573">
        <v>533.4</v>
      </c>
      <c r="L573" s="1">
        <v>43728</v>
      </c>
      <c r="M573" s="2">
        <v>0.49166666666666664</v>
      </c>
      <c r="N573" t="s">
        <v>33</v>
      </c>
      <c r="O573">
        <v>266.7</v>
      </c>
      <c r="P573">
        <v>4.7619047620000003</v>
      </c>
      <c r="Q573">
        <v>266.7</v>
      </c>
      <c r="R573">
        <v>10</v>
      </c>
      <c r="S573">
        <v>96.089100000000002</v>
      </c>
      <c r="T573">
        <v>21.9588</v>
      </c>
    </row>
    <row r="574" spans="1:20" x14ac:dyDescent="0.3">
      <c r="A574" t="s">
        <v>963</v>
      </c>
      <c r="B574" t="s">
        <v>21</v>
      </c>
      <c r="C574" t="s">
        <v>964</v>
      </c>
      <c r="D574" t="s">
        <v>23</v>
      </c>
      <c r="E574" t="s">
        <v>24</v>
      </c>
      <c r="F574" t="s">
        <v>36</v>
      </c>
      <c r="G574" t="s">
        <v>100</v>
      </c>
      <c r="H574">
        <v>10.130000000000001</v>
      </c>
      <c r="I574">
        <v>10</v>
      </c>
      <c r="J574">
        <v>5.0650000000000004</v>
      </c>
      <c r="K574">
        <v>101.3</v>
      </c>
      <c r="L574" s="1">
        <v>43681</v>
      </c>
      <c r="M574" s="2">
        <v>0.81597222222222221</v>
      </c>
      <c r="N574" t="s">
        <v>27</v>
      </c>
      <c r="O574">
        <v>70.91</v>
      </c>
      <c r="P574">
        <v>4.7619047620000003</v>
      </c>
      <c r="Q574">
        <v>30.39</v>
      </c>
      <c r="R574">
        <v>8.3000000000000007</v>
      </c>
      <c r="S574">
        <v>96.173500000000004</v>
      </c>
      <c r="T574">
        <v>16.840900000000001</v>
      </c>
    </row>
    <row r="575" spans="1:20" x14ac:dyDescent="0.3">
      <c r="A575" t="s">
        <v>965</v>
      </c>
      <c r="B575" t="s">
        <v>51</v>
      </c>
      <c r="C575" t="s">
        <v>791</v>
      </c>
      <c r="D575" t="s">
        <v>53</v>
      </c>
      <c r="E575" t="s">
        <v>32</v>
      </c>
      <c r="F575" t="s">
        <v>36</v>
      </c>
      <c r="G575" t="s">
        <v>100</v>
      </c>
      <c r="H575">
        <v>72.39</v>
      </c>
      <c r="I575">
        <v>3</v>
      </c>
      <c r="J575">
        <v>10.858499999999999</v>
      </c>
      <c r="K575">
        <v>217.17</v>
      </c>
      <c r="L575" s="1">
        <v>43580</v>
      </c>
      <c r="M575" s="2">
        <v>0.82986111111111116</v>
      </c>
      <c r="N575" t="s">
        <v>37</v>
      </c>
      <c r="O575">
        <v>144.78</v>
      </c>
      <c r="P575">
        <v>4.7619047620000003</v>
      </c>
      <c r="Q575">
        <v>72.39</v>
      </c>
      <c r="R575">
        <v>7.46</v>
      </c>
      <c r="S575">
        <v>96.089100000000002</v>
      </c>
      <c r="T575">
        <v>21.9588</v>
      </c>
    </row>
    <row r="576" spans="1:20" x14ac:dyDescent="0.3">
      <c r="A576" t="s">
        <v>966</v>
      </c>
      <c r="B576" t="s">
        <v>21</v>
      </c>
      <c r="C576" t="s">
        <v>504</v>
      </c>
      <c r="D576" t="s">
        <v>23</v>
      </c>
      <c r="E576" t="s">
        <v>32</v>
      </c>
      <c r="F576" t="s">
        <v>36</v>
      </c>
      <c r="G576" t="s">
        <v>100</v>
      </c>
      <c r="H576">
        <v>85.91</v>
      </c>
      <c r="I576">
        <v>5</v>
      </c>
      <c r="J576">
        <v>21.477499999999999</v>
      </c>
      <c r="K576">
        <v>429.55</v>
      </c>
      <c r="L576" s="1">
        <v>43486</v>
      </c>
      <c r="M576" s="2">
        <v>0.60624999999999996</v>
      </c>
      <c r="N576" t="s">
        <v>37</v>
      </c>
      <c r="O576">
        <v>429.55</v>
      </c>
      <c r="P576">
        <v>4.7619047620000003</v>
      </c>
      <c r="Q576">
        <v>0</v>
      </c>
      <c r="R576">
        <v>7.46</v>
      </c>
      <c r="S576">
        <v>96.173500000000004</v>
      </c>
      <c r="T576">
        <v>16.840900000000001</v>
      </c>
    </row>
    <row r="577" spans="1:20" x14ac:dyDescent="0.3">
      <c r="A577" t="s">
        <v>967</v>
      </c>
      <c r="B577" t="s">
        <v>51</v>
      </c>
      <c r="C577" t="s">
        <v>221</v>
      </c>
      <c r="D577" t="s">
        <v>53</v>
      </c>
      <c r="E577" t="s">
        <v>24</v>
      </c>
      <c r="F577" t="s">
        <v>36</v>
      </c>
      <c r="G577" t="s">
        <v>100</v>
      </c>
      <c r="H577">
        <v>81.31</v>
      </c>
      <c r="I577">
        <v>14</v>
      </c>
      <c r="J577">
        <v>56.917000000000002</v>
      </c>
      <c r="K577">
        <v>1138.3399999999999</v>
      </c>
      <c r="L577" s="1">
        <v>43815</v>
      </c>
      <c r="M577" s="2">
        <v>0.8256944444444444</v>
      </c>
      <c r="N577" t="s">
        <v>27</v>
      </c>
      <c r="O577">
        <v>569.16999999999996</v>
      </c>
      <c r="P577">
        <v>4.7619047620000003</v>
      </c>
      <c r="Q577">
        <v>569.16999999999996</v>
      </c>
      <c r="R577">
        <v>7.46</v>
      </c>
      <c r="S577">
        <v>96.089100000000002</v>
      </c>
      <c r="T577">
        <v>21.9588</v>
      </c>
    </row>
    <row r="578" spans="1:20" x14ac:dyDescent="0.3">
      <c r="A578" t="s">
        <v>968</v>
      </c>
      <c r="B578" t="s">
        <v>51</v>
      </c>
      <c r="C578" t="s">
        <v>751</v>
      </c>
      <c r="D578" t="s">
        <v>53</v>
      </c>
      <c r="E578" t="s">
        <v>32</v>
      </c>
      <c r="F578" t="s">
        <v>36</v>
      </c>
      <c r="G578" t="s">
        <v>100</v>
      </c>
      <c r="H578">
        <v>60.3</v>
      </c>
      <c r="I578">
        <v>6</v>
      </c>
      <c r="J578">
        <v>18.09</v>
      </c>
      <c r="K578">
        <v>361.8</v>
      </c>
      <c r="L578" s="1">
        <v>43635</v>
      </c>
      <c r="M578" s="2">
        <v>0.77986111111111112</v>
      </c>
      <c r="N578" t="s">
        <v>33</v>
      </c>
      <c r="O578">
        <v>241.2</v>
      </c>
      <c r="P578">
        <v>4.7619047620000003</v>
      </c>
      <c r="Q578">
        <v>120.6</v>
      </c>
      <c r="R578">
        <v>7.46</v>
      </c>
      <c r="S578">
        <v>96.089100000000002</v>
      </c>
      <c r="T578">
        <v>21.9588</v>
      </c>
    </row>
    <row r="579" spans="1:20" x14ac:dyDescent="0.3">
      <c r="A579" t="s">
        <v>969</v>
      </c>
      <c r="B579" t="s">
        <v>29</v>
      </c>
      <c r="C579" t="s">
        <v>209</v>
      </c>
      <c r="D579" t="s">
        <v>31</v>
      </c>
      <c r="E579" t="s">
        <v>32</v>
      </c>
      <c r="F579" t="s">
        <v>36</v>
      </c>
      <c r="G579" t="s">
        <v>100</v>
      </c>
      <c r="H579">
        <v>31.77</v>
      </c>
      <c r="I579">
        <v>5</v>
      </c>
      <c r="J579">
        <v>7.9424999999999999</v>
      </c>
      <c r="K579">
        <v>158.85</v>
      </c>
      <c r="L579" s="1">
        <v>43475</v>
      </c>
      <c r="M579" s="2">
        <v>0.61319444444444449</v>
      </c>
      <c r="N579" t="s">
        <v>27</v>
      </c>
      <c r="O579">
        <v>127.08</v>
      </c>
      <c r="P579">
        <v>4.7619047620000003</v>
      </c>
      <c r="Q579">
        <v>31.77</v>
      </c>
      <c r="R579">
        <v>7.46</v>
      </c>
      <c r="S579">
        <v>96.078500000000005</v>
      </c>
      <c r="T579">
        <v>19.763300000000001</v>
      </c>
    </row>
    <row r="580" spans="1:20" x14ac:dyDescent="0.3">
      <c r="A580" t="s">
        <v>970</v>
      </c>
      <c r="B580" t="s">
        <v>21</v>
      </c>
      <c r="C580" t="s">
        <v>971</v>
      </c>
      <c r="D580" t="s">
        <v>23</v>
      </c>
      <c r="E580" t="s">
        <v>32</v>
      </c>
      <c r="F580" t="s">
        <v>25</v>
      </c>
      <c r="G580" t="s">
        <v>100</v>
      </c>
      <c r="H580">
        <v>64.27</v>
      </c>
      <c r="I580">
        <v>4</v>
      </c>
      <c r="J580">
        <v>12.853999999999999</v>
      </c>
      <c r="K580">
        <v>257.08</v>
      </c>
      <c r="L580" s="1">
        <v>43811</v>
      </c>
      <c r="M580" s="2">
        <v>0.57916666666666672</v>
      </c>
      <c r="N580" t="s">
        <v>33</v>
      </c>
      <c r="O580">
        <v>257.08</v>
      </c>
      <c r="P580">
        <v>4.7619047620000003</v>
      </c>
      <c r="Q580">
        <v>0</v>
      </c>
      <c r="R580">
        <v>7.46</v>
      </c>
      <c r="S580">
        <v>96.173500000000004</v>
      </c>
      <c r="T580">
        <v>16.840900000000001</v>
      </c>
    </row>
    <row r="581" spans="1:20" x14ac:dyDescent="0.3">
      <c r="A581" t="s">
        <v>972</v>
      </c>
      <c r="B581" t="s">
        <v>51</v>
      </c>
      <c r="C581" t="s">
        <v>498</v>
      </c>
      <c r="D581" t="s">
        <v>53</v>
      </c>
      <c r="E581" t="s">
        <v>32</v>
      </c>
      <c r="F581" t="s">
        <v>36</v>
      </c>
      <c r="G581" t="s">
        <v>100</v>
      </c>
      <c r="H581">
        <v>69.510000000000005</v>
      </c>
      <c r="I581">
        <v>3</v>
      </c>
      <c r="J581">
        <v>10.426500000000001</v>
      </c>
      <c r="K581">
        <v>208.53</v>
      </c>
      <c r="L581" s="1">
        <v>43780</v>
      </c>
      <c r="M581" s="2">
        <v>0.51041666666666663</v>
      </c>
      <c r="N581" t="s">
        <v>27</v>
      </c>
      <c r="O581">
        <v>139.02000000000001</v>
      </c>
      <c r="P581">
        <v>4.7619047620000003</v>
      </c>
      <c r="Q581">
        <v>69.510000000000005</v>
      </c>
      <c r="R581">
        <v>7.46</v>
      </c>
      <c r="S581">
        <v>96.089100000000002</v>
      </c>
      <c r="T581">
        <v>21.9588</v>
      </c>
    </row>
    <row r="582" spans="1:20" x14ac:dyDescent="0.3">
      <c r="A582" t="s">
        <v>973</v>
      </c>
      <c r="B582" t="s">
        <v>29</v>
      </c>
      <c r="C582" t="s">
        <v>974</v>
      </c>
      <c r="D582" t="s">
        <v>31</v>
      </c>
      <c r="E582" t="s">
        <v>32</v>
      </c>
      <c r="F582" t="s">
        <v>36</v>
      </c>
      <c r="G582" t="s">
        <v>63</v>
      </c>
      <c r="H582">
        <v>27.22</v>
      </c>
      <c r="I582">
        <v>4</v>
      </c>
      <c r="J582">
        <v>5.444</v>
      </c>
      <c r="K582">
        <v>108.88</v>
      </c>
      <c r="L582" s="1">
        <v>43736</v>
      </c>
      <c r="M582" s="2">
        <v>0.52569444444444446</v>
      </c>
      <c r="N582" t="s">
        <v>33</v>
      </c>
      <c r="O582">
        <v>81.66</v>
      </c>
      <c r="P582">
        <v>4.7619047620000003</v>
      </c>
      <c r="Q582">
        <v>27.22</v>
      </c>
      <c r="R582">
        <v>7.46</v>
      </c>
      <c r="S582">
        <v>96.078500000000005</v>
      </c>
      <c r="T582">
        <v>19.763300000000001</v>
      </c>
    </row>
    <row r="583" spans="1:20" x14ac:dyDescent="0.3">
      <c r="A583" t="s">
        <v>975</v>
      </c>
      <c r="B583" t="s">
        <v>21</v>
      </c>
      <c r="C583" t="s">
        <v>976</v>
      </c>
      <c r="D583" t="s">
        <v>23</v>
      </c>
      <c r="E583" t="s">
        <v>24</v>
      </c>
      <c r="F583" t="s">
        <v>25</v>
      </c>
      <c r="G583" t="s">
        <v>26</v>
      </c>
      <c r="H583">
        <v>77.680000000000007</v>
      </c>
      <c r="I583">
        <v>6</v>
      </c>
      <c r="J583">
        <v>23.303999999999998</v>
      </c>
      <c r="K583">
        <v>466.08</v>
      </c>
      <c r="L583" s="1">
        <v>43602</v>
      </c>
      <c r="M583" s="2">
        <v>0.82916666666666672</v>
      </c>
      <c r="N583" t="s">
        <v>33</v>
      </c>
      <c r="O583">
        <v>310.72000000000003</v>
      </c>
      <c r="P583">
        <v>4.7619047620000003</v>
      </c>
      <c r="Q583">
        <v>155.36000000000001</v>
      </c>
      <c r="R583">
        <v>8.4</v>
      </c>
      <c r="S583">
        <v>96.173500000000004</v>
      </c>
      <c r="T583">
        <v>16.840900000000001</v>
      </c>
    </row>
    <row r="584" spans="1:20" x14ac:dyDescent="0.3">
      <c r="A584" t="s">
        <v>977</v>
      </c>
      <c r="B584" t="s">
        <v>29</v>
      </c>
      <c r="C584" t="s">
        <v>195</v>
      </c>
      <c r="D584" t="s">
        <v>31</v>
      </c>
      <c r="E584" t="s">
        <v>24</v>
      </c>
      <c r="F584" t="s">
        <v>25</v>
      </c>
      <c r="G584" t="s">
        <v>100</v>
      </c>
      <c r="H584">
        <v>92.98</v>
      </c>
      <c r="I584">
        <v>3</v>
      </c>
      <c r="J584">
        <v>13.946999999999999</v>
      </c>
      <c r="K584">
        <v>278.94</v>
      </c>
      <c r="L584" s="1">
        <v>43714</v>
      </c>
      <c r="M584" s="2">
        <v>0.62916666666666665</v>
      </c>
      <c r="N584" t="s">
        <v>37</v>
      </c>
      <c r="O584">
        <v>185.96</v>
      </c>
      <c r="P584">
        <v>4.7619047620000003</v>
      </c>
      <c r="Q584">
        <v>92.98</v>
      </c>
      <c r="R584">
        <v>8.4</v>
      </c>
      <c r="S584">
        <v>96.078500000000005</v>
      </c>
      <c r="T584">
        <v>19.763300000000001</v>
      </c>
    </row>
    <row r="585" spans="1:20" x14ac:dyDescent="0.3">
      <c r="A585" t="s">
        <v>978</v>
      </c>
      <c r="B585" t="s">
        <v>51</v>
      </c>
      <c r="C585" t="s">
        <v>132</v>
      </c>
      <c r="D585" t="s">
        <v>53</v>
      </c>
      <c r="E585" t="s">
        <v>24</v>
      </c>
      <c r="F585" t="s">
        <v>25</v>
      </c>
      <c r="G585" t="s">
        <v>68</v>
      </c>
      <c r="H585">
        <v>18.079999999999998</v>
      </c>
      <c r="I585">
        <v>8</v>
      </c>
      <c r="J585">
        <v>7.2320000000000002</v>
      </c>
      <c r="K585">
        <v>144.63999999999999</v>
      </c>
      <c r="L585" s="1">
        <v>43587</v>
      </c>
      <c r="M585" s="2">
        <v>0.75208333333333333</v>
      </c>
      <c r="N585" t="s">
        <v>37</v>
      </c>
      <c r="O585">
        <v>72.319999999999993</v>
      </c>
      <c r="P585">
        <v>4.7619047620000003</v>
      </c>
      <c r="Q585">
        <v>72.319999999999993</v>
      </c>
      <c r="R585">
        <v>10</v>
      </c>
      <c r="S585">
        <v>96.089100000000002</v>
      </c>
      <c r="T585">
        <v>21.9588</v>
      </c>
    </row>
    <row r="586" spans="1:20" x14ac:dyDescent="0.3">
      <c r="A586" t="s">
        <v>979</v>
      </c>
      <c r="B586" t="s">
        <v>51</v>
      </c>
      <c r="C586" t="s">
        <v>980</v>
      </c>
      <c r="D586" t="s">
        <v>53</v>
      </c>
      <c r="E586" t="s">
        <v>32</v>
      </c>
      <c r="F586" t="s">
        <v>36</v>
      </c>
      <c r="G586" t="s">
        <v>68</v>
      </c>
      <c r="H586">
        <v>63.06</v>
      </c>
      <c r="I586">
        <v>4</v>
      </c>
      <c r="J586">
        <v>12.612</v>
      </c>
      <c r="K586">
        <v>252.24</v>
      </c>
      <c r="L586" s="1">
        <v>43662</v>
      </c>
      <c r="M586" s="2">
        <v>0.66527777777777775</v>
      </c>
      <c r="N586" t="s">
        <v>27</v>
      </c>
      <c r="O586">
        <v>189.18</v>
      </c>
      <c r="P586">
        <v>4.7619047620000003</v>
      </c>
      <c r="Q586">
        <v>63.06</v>
      </c>
      <c r="R586">
        <v>8.4</v>
      </c>
      <c r="S586">
        <v>96.089100000000002</v>
      </c>
      <c r="T586">
        <v>21.9588</v>
      </c>
    </row>
    <row r="587" spans="1:20" x14ac:dyDescent="0.3">
      <c r="A587" t="s">
        <v>981</v>
      </c>
      <c r="B587" t="s">
        <v>21</v>
      </c>
      <c r="C587" t="s">
        <v>982</v>
      </c>
      <c r="D587" t="s">
        <v>23</v>
      </c>
      <c r="E587" t="s">
        <v>32</v>
      </c>
      <c r="F587" t="s">
        <v>36</v>
      </c>
      <c r="G587" t="s">
        <v>68</v>
      </c>
      <c r="H587">
        <v>51.71</v>
      </c>
      <c r="I587">
        <v>4</v>
      </c>
      <c r="J587">
        <v>10.342000000000001</v>
      </c>
      <c r="K587">
        <v>206.84</v>
      </c>
      <c r="L587" s="1">
        <v>43773</v>
      </c>
      <c r="M587" s="2">
        <v>0.57847222222222228</v>
      </c>
      <c r="N587" t="s">
        <v>37</v>
      </c>
      <c r="O587">
        <v>206.84</v>
      </c>
      <c r="P587">
        <v>4.7619047620000003</v>
      </c>
      <c r="Q587">
        <v>0</v>
      </c>
      <c r="R587">
        <v>9.8000000000000007</v>
      </c>
      <c r="S587">
        <v>96.173500000000004</v>
      </c>
      <c r="T587">
        <v>16.840900000000001</v>
      </c>
    </row>
    <row r="588" spans="1:20" x14ac:dyDescent="0.3">
      <c r="A588" t="s">
        <v>983</v>
      </c>
      <c r="B588" t="s">
        <v>21</v>
      </c>
      <c r="C588" t="s">
        <v>984</v>
      </c>
      <c r="D588" t="s">
        <v>23</v>
      </c>
      <c r="E588" t="s">
        <v>32</v>
      </c>
      <c r="F588" t="s">
        <v>25</v>
      </c>
      <c r="G588" t="s">
        <v>68</v>
      </c>
      <c r="H588">
        <v>52.34</v>
      </c>
      <c r="I588">
        <v>3</v>
      </c>
      <c r="J588">
        <v>7.851</v>
      </c>
      <c r="K588">
        <v>157.02000000000001</v>
      </c>
      <c r="L588" s="1">
        <v>43531</v>
      </c>
      <c r="M588" s="2">
        <v>0.5854166666666667</v>
      </c>
      <c r="N588" t="s">
        <v>33</v>
      </c>
      <c r="O588">
        <v>157.02000000000001</v>
      </c>
      <c r="P588">
        <v>4.7619047620000003</v>
      </c>
      <c r="Q588">
        <v>0</v>
      </c>
      <c r="R588">
        <v>9.1999999999999993</v>
      </c>
      <c r="S588">
        <v>96.173500000000004</v>
      </c>
      <c r="T588">
        <v>16.840900000000001</v>
      </c>
    </row>
    <row r="589" spans="1:20" x14ac:dyDescent="0.3">
      <c r="A589" t="s">
        <v>985</v>
      </c>
      <c r="B589" t="s">
        <v>21</v>
      </c>
      <c r="C589" t="s">
        <v>687</v>
      </c>
      <c r="D589" t="s">
        <v>23</v>
      </c>
      <c r="E589" t="s">
        <v>32</v>
      </c>
      <c r="F589" t="s">
        <v>25</v>
      </c>
      <c r="G589" t="s">
        <v>68</v>
      </c>
      <c r="H589">
        <v>43.06</v>
      </c>
      <c r="I589">
        <v>5</v>
      </c>
      <c r="J589">
        <v>10.765000000000001</v>
      </c>
      <c r="K589">
        <v>215.3</v>
      </c>
      <c r="L589" s="1">
        <v>43484</v>
      </c>
      <c r="M589" s="2">
        <v>0.69305555555555554</v>
      </c>
      <c r="N589" t="s">
        <v>27</v>
      </c>
      <c r="O589">
        <v>215.3</v>
      </c>
      <c r="P589">
        <v>4.7619047620000003</v>
      </c>
      <c r="Q589">
        <v>0</v>
      </c>
      <c r="R589">
        <v>7.7</v>
      </c>
      <c r="S589">
        <v>96.173500000000004</v>
      </c>
      <c r="T589">
        <v>16.840900000000001</v>
      </c>
    </row>
    <row r="590" spans="1:20" x14ac:dyDescent="0.3">
      <c r="A590" t="s">
        <v>986</v>
      </c>
      <c r="B590" t="s">
        <v>29</v>
      </c>
      <c r="C590" t="s">
        <v>506</v>
      </c>
      <c r="D590" t="s">
        <v>31</v>
      </c>
      <c r="E590" t="s">
        <v>32</v>
      </c>
      <c r="F590" t="s">
        <v>36</v>
      </c>
      <c r="G590" t="s">
        <v>68</v>
      </c>
      <c r="H590">
        <v>59.61</v>
      </c>
      <c r="I590">
        <v>12</v>
      </c>
      <c r="J590">
        <v>35.765999999999998</v>
      </c>
      <c r="K590">
        <v>715.32</v>
      </c>
      <c r="L590" s="1">
        <v>43542</v>
      </c>
      <c r="M590" s="2">
        <v>0.46319444444444446</v>
      </c>
      <c r="N590" t="s">
        <v>33</v>
      </c>
      <c r="O590">
        <v>596.1</v>
      </c>
      <c r="P590">
        <v>4.7619047620000003</v>
      </c>
      <c r="Q590">
        <v>119.22</v>
      </c>
      <c r="R590">
        <v>5.5650000000000004</v>
      </c>
      <c r="S590">
        <v>96.078500000000005</v>
      </c>
      <c r="T590">
        <v>19.763300000000001</v>
      </c>
    </row>
    <row r="591" spans="1:20" x14ac:dyDescent="0.3">
      <c r="A591" t="s">
        <v>987</v>
      </c>
      <c r="B591" t="s">
        <v>21</v>
      </c>
      <c r="C591" t="s">
        <v>988</v>
      </c>
      <c r="D591" t="s">
        <v>23</v>
      </c>
      <c r="E591" t="s">
        <v>32</v>
      </c>
      <c r="F591" t="s">
        <v>36</v>
      </c>
      <c r="G591" t="s">
        <v>68</v>
      </c>
      <c r="H591">
        <v>14.62</v>
      </c>
      <c r="I591">
        <v>5</v>
      </c>
      <c r="J591">
        <v>3.6549999999999998</v>
      </c>
      <c r="K591">
        <v>73.099999999999994</v>
      </c>
      <c r="L591" s="1">
        <v>43675</v>
      </c>
      <c r="M591" s="2">
        <v>0.51597222222222228</v>
      </c>
      <c r="N591" t="s">
        <v>33</v>
      </c>
      <c r="O591">
        <v>73.099999999999994</v>
      </c>
      <c r="P591">
        <v>4.7619047620000003</v>
      </c>
      <c r="Q591">
        <v>0</v>
      </c>
      <c r="R591">
        <v>4.4000000000000004</v>
      </c>
      <c r="S591">
        <v>96.173500000000004</v>
      </c>
      <c r="T591">
        <v>16.840900000000001</v>
      </c>
    </row>
    <row r="592" spans="1:20" x14ac:dyDescent="0.3">
      <c r="A592" t="s">
        <v>989</v>
      </c>
      <c r="B592" t="s">
        <v>29</v>
      </c>
      <c r="C592" t="s">
        <v>990</v>
      </c>
      <c r="D592" t="s">
        <v>31</v>
      </c>
      <c r="E592" t="s">
        <v>24</v>
      </c>
      <c r="F592" t="s">
        <v>36</v>
      </c>
      <c r="G592" t="s">
        <v>26</v>
      </c>
      <c r="H592">
        <v>46.53</v>
      </c>
      <c r="I592">
        <v>10</v>
      </c>
      <c r="J592">
        <v>23.265000000000001</v>
      </c>
      <c r="K592">
        <v>465.3</v>
      </c>
      <c r="L592" s="1">
        <v>43578</v>
      </c>
      <c r="M592" s="2">
        <v>0.45416666666666666</v>
      </c>
      <c r="N592" t="s">
        <v>37</v>
      </c>
      <c r="O592">
        <v>279.18</v>
      </c>
      <c r="P592">
        <v>4.7619047620000003</v>
      </c>
      <c r="Q592">
        <v>186.12</v>
      </c>
      <c r="R592">
        <v>4.5149999999999997</v>
      </c>
      <c r="S592">
        <v>96.078500000000005</v>
      </c>
      <c r="T592">
        <v>19.763300000000001</v>
      </c>
    </row>
    <row r="593" spans="1:20" x14ac:dyDescent="0.3">
      <c r="A593" t="s">
        <v>991</v>
      </c>
      <c r="B593" t="s">
        <v>29</v>
      </c>
      <c r="C593" t="s">
        <v>303</v>
      </c>
      <c r="D593" t="s">
        <v>31</v>
      </c>
      <c r="E593" t="s">
        <v>24</v>
      </c>
      <c r="F593" t="s">
        <v>25</v>
      </c>
      <c r="G593" t="s">
        <v>77</v>
      </c>
      <c r="H593">
        <v>24.24</v>
      </c>
      <c r="I593">
        <v>11</v>
      </c>
      <c r="J593">
        <v>13.332000000000001</v>
      </c>
      <c r="K593">
        <v>266.64</v>
      </c>
      <c r="L593" s="1">
        <v>43789</v>
      </c>
      <c r="M593" s="2">
        <v>0.73472222222222228</v>
      </c>
      <c r="N593" t="s">
        <v>27</v>
      </c>
      <c r="O593">
        <v>169.68</v>
      </c>
      <c r="P593">
        <v>4.7619047620000003</v>
      </c>
      <c r="Q593">
        <v>96.96</v>
      </c>
      <c r="R593">
        <v>9.8699999999999992</v>
      </c>
      <c r="S593">
        <v>96.078500000000005</v>
      </c>
      <c r="T593">
        <v>19.763300000000001</v>
      </c>
    </row>
    <row r="594" spans="1:20" x14ac:dyDescent="0.3">
      <c r="A594" t="s">
        <v>992</v>
      </c>
      <c r="B594" t="s">
        <v>21</v>
      </c>
      <c r="C594" t="s">
        <v>689</v>
      </c>
      <c r="D594" t="s">
        <v>23</v>
      </c>
      <c r="E594" t="s">
        <v>24</v>
      </c>
      <c r="F594" t="s">
        <v>25</v>
      </c>
      <c r="G594" t="s">
        <v>68</v>
      </c>
      <c r="H594">
        <v>45.58</v>
      </c>
      <c r="I594">
        <v>1</v>
      </c>
      <c r="J594">
        <v>2.2789999999999999</v>
      </c>
      <c r="K594">
        <v>45.58</v>
      </c>
      <c r="L594" s="1">
        <v>43672</v>
      </c>
      <c r="M594" s="2">
        <v>0.59236111111111112</v>
      </c>
      <c r="N594" t="s">
        <v>33</v>
      </c>
      <c r="O594">
        <v>45.58</v>
      </c>
      <c r="P594">
        <v>4.7619047620000003</v>
      </c>
      <c r="Q594">
        <v>0</v>
      </c>
      <c r="R594">
        <v>9.8000000000000007</v>
      </c>
      <c r="S594">
        <v>96.173500000000004</v>
      </c>
      <c r="T594">
        <v>16.840900000000001</v>
      </c>
    </row>
    <row r="595" spans="1:20" x14ac:dyDescent="0.3">
      <c r="A595" t="s">
        <v>993</v>
      </c>
      <c r="B595" t="s">
        <v>21</v>
      </c>
      <c r="C595" t="s">
        <v>994</v>
      </c>
      <c r="D595" t="s">
        <v>23</v>
      </c>
      <c r="E595" t="s">
        <v>24</v>
      </c>
      <c r="F595" t="s">
        <v>25</v>
      </c>
      <c r="G595" t="s">
        <v>68</v>
      </c>
      <c r="H595">
        <v>75.2</v>
      </c>
      <c r="I595">
        <v>4</v>
      </c>
      <c r="J595">
        <v>15.04</v>
      </c>
      <c r="K595">
        <v>300.8</v>
      </c>
      <c r="L595" s="1">
        <v>43536</v>
      </c>
      <c r="M595" s="2">
        <v>0.49375000000000002</v>
      </c>
      <c r="N595" t="s">
        <v>27</v>
      </c>
      <c r="O595">
        <v>225.6</v>
      </c>
      <c r="P595">
        <v>4.7619047620000003</v>
      </c>
      <c r="Q595">
        <v>75.2</v>
      </c>
      <c r="R595">
        <v>4.8</v>
      </c>
      <c r="S595">
        <v>96.173500000000004</v>
      </c>
      <c r="T595">
        <v>16.840900000000001</v>
      </c>
    </row>
    <row r="596" spans="1:20" x14ac:dyDescent="0.3">
      <c r="A596" t="s">
        <v>995</v>
      </c>
      <c r="B596" t="s">
        <v>51</v>
      </c>
      <c r="C596" t="s">
        <v>288</v>
      </c>
      <c r="D596" t="s">
        <v>53</v>
      </c>
      <c r="E596" t="s">
        <v>24</v>
      </c>
      <c r="F596" t="s">
        <v>36</v>
      </c>
      <c r="G596" t="s">
        <v>68</v>
      </c>
      <c r="H596">
        <v>96.8</v>
      </c>
      <c r="I596">
        <v>6</v>
      </c>
      <c r="J596">
        <v>29.04</v>
      </c>
      <c r="K596">
        <v>580.79999999999995</v>
      </c>
      <c r="L596" s="1">
        <v>43741</v>
      </c>
      <c r="M596" s="2">
        <v>0.54513888888888884</v>
      </c>
      <c r="N596" t="s">
        <v>33</v>
      </c>
      <c r="O596">
        <v>290.39999999999998</v>
      </c>
      <c r="P596">
        <v>4.7619047620000003</v>
      </c>
      <c r="Q596">
        <v>290.39999999999998</v>
      </c>
      <c r="R596">
        <v>6.36</v>
      </c>
      <c r="S596">
        <v>96.089100000000002</v>
      </c>
      <c r="T596">
        <v>21.9588</v>
      </c>
    </row>
    <row r="597" spans="1:20" x14ac:dyDescent="0.3">
      <c r="A597" t="s">
        <v>996</v>
      </c>
      <c r="B597" t="s">
        <v>51</v>
      </c>
      <c r="C597" t="s">
        <v>830</v>
      </c>
      <c r="D597" t="s">
        <v>53</v>
      </c>
      <c r="E597" t="s">
        <v>32</v>
      </c>
      <c r="F597" t="s">
        <v>36</v>
      </c>
      <c r="G597" t="s">
        <v>26</v>
      </c>
      <c r="H597">
        <v>14.82</v>
      </c>
      <c r="I597">
        <v>4</v>
      </c>
      <c r="J597">
        <v>2.964</v>
      </c>
      <c r="K597">
        <v>59.28</v>
      </c>
      <c r="L597" s="1">
        <v>43630</v>
      </c>
      <c r="M597" s="2">
        <v>0.47916666666666669</v>
      </c>
      <c r="N597" t="s">
        <v>37</v>
      </c>
      <c r="O597">
        <v>44.46</v>
      </c>
      <c r="P597">
        <v>4.7619047620000003</v>
      </c>
      <c r="Q597">
        <v>14.82</v>
      </c>
      <c r="R597">
        <v>10</v>
      </c>
      <c r="S597">
        <v>96.089100000000002</v>
      </c>
      <c r="T597">
        <v>21.9588</v>
      </c>
    </row>
    <row r="598" spans="1:20" x14ac:dyDescent="0.3">
      <c r="A598" t="s">
        <v>997</v>
      </c>
      <c r="B598" t="s">
        <v>21</v>
      </c>
      <c r="C598" t="s">
        <v>265</v>
      </c>
      <c r="D598" t="s">
        <v>23</v>
      </c>
      <c r="E598" t="s">
        <v>32</v>
      </c>
      <c r="F598" t="s">
        <v>36</v>
      </c>
      <c r="G598" t="s">
        <v>63</v>
      </c>
      <c r="H598">
        <v>52.2</v>
      </c>
      <c r="I598">
        <v>3</v>
      </c>
      <c r="J598">
        <v>7.83</v>
      </c>
      <c r="K598">
        <v>156.6</v>
      </c>
      <c r="L598" s="1">
        <v>43814</v>
      </c>
      <c r="M598" s="2">
        <v>0.5625</v>
      </c>
      <c r="N598" t="s">
        <v>37</v>
      </c>
      <c r="O598">
        <v>156.6</v>
      </c>
      <c r="P598">
        <v>4.7619047620000003</v>
      </c>
      <c r="Q598">
        <v>0</v>
      </c>
      <c r="R598">
        <v>9.5</v>
      </c>
      <c r="S598">
        <v>96.173500000000004</v>
      </c>
      <c r="T598">
        <v>16.840900000000001</v>
      </c>
    </row>
    <row r="599" spans="1:20" x14ac:dyDescent="0.3">
      <c r="A599" t="s">
        <v>998</v>
      </c>
      <c r="B599" t="s">
        <v>29</v>
      </c>
      <c r="C599" t="s">
        <v>999</v>
      </c>
      <c r="D599" t="s">
        <v>31</v>
      </c>
      <c r="E599" t="s">
        <v>32</v>
      </c>
      <c r="F599" t="s">
        <v>25</v>
      </c>
      <c r="G599" t="s">
        <v>68</v>
      </c>
      <c r="H599">
        <v>46.66</v>
      </c>
      <c r="I599">
        <v>11</v>
      </c>
      <c r="J599">
        <v>25.663</v>
      </c>
      <c r="K599">
        <v>513.26</v>
      </c>
      <c r="L599" s="1">
        <v>43738</v>
      </c>
      <c r="M599" s="2">
        <v>0.7993055555555556</v>
      </c>
      <c r="N599" t="s">
        <v>27</v>
      </c>
      <c r="O599">
        <v>419.94</v>
      </c>
      <c r="P599">
        <v>4.7619047620000003</v>
      </c>
      <c r="Q599">
        <v>93.32</v>
      </c>
      <c r="R599">
        <v>5.5650000000000004</v>
      </c>
      <c r="S599">
        <v>96.078500000000005</v>
      </c>
      <c r="T599">
        <v>19.763300000000001</v>
      </c>
    </row>
    <row r="600" spans="1:20" x14ac:dyDescent="0.3">
      <c r="A600" t="s">
        <v>1000</v>
      </c>
      <c r="B600" t="s">
        <v>29</v>
      </c>
      <c r="C600" t="s">
        <v>685</v>
      </c>
      <c r="D600" t="s">
        <v>31</v>
      </c>
      <c r="E600" t="s">
        <v>32</v>
      </c>
      <c r="F600" t="s">
        <v>25</v>
      </c>
      <c r="G600" t="s">
        <v>100</v>
      </c>
      <c r="H600">
        <v>36.85</v>
      </c>
      <c r="I600">
        <v>6</v>
      </c>
      <c r="J600">
        <v>11.055</v>
      </c>
      <c r="K600">
        <v>221.1</v>
      </c>
      <c r="L600" s="1">
        <v>43498</v>
      </c>
      <c r="M600" s="2">
        <v>0.78680555555555554</v>
      </c>
      <c r="N600" t="s">
        <v>33</v>
      </c>
      <c r="O600">
        <v>184.25</v>
      </c>
      <c r="P600">
        <v>4.7619047620000003</v>
      </c>
      <c r="Q600">
        <v>36.85</v>
      </c>
      <c r="R600">
        <v>9.66</v>
      </c>
      <c r="S600">
        <v>96.078500000000005</v>
      </c>
      <c r="T600">
        <v>19.763300000000001</v>
      </c>
    </row>
    <row r="601" spans="1:20" x14ac:dyDescent="0.3">
      <c r="A601" t="s">
        <v>1001</v>
      </c>
      <c r="B601" t="s">
        <v>21</v>
      </c>
      <c r="C601" t="s">
        <v>1002</v>
      </c>
      <c r="D601" t="s">
        <v>23</v>
      </c>
      <c r="E601" t="s">
        <v>24</v>
      </c>
      <c r="F601" t="s">
        <v>25</v>
      </c>
      <c r="G601" t="s">
        <v>77</v>
      </c>
      <c r="H601">
        <v>70.319999999999993</v>
      </c>
      <c r="I601">
        <v>3</v>
      </c>
      <c r="J601">
        <v>10.548</v>
      </c>
      <c r="K601">
        <v>210.96</v>
      </c>
      <c r="L601" s="1">
        <v>43613</v>
      </c>
      <c r="M601" s="2">
        <v>0.59861111111111109</v>
      </c>
      <c r="N601" t="s">
        <v>27</v>
      </c>
      <c r="O601">
        <v>140.63999999999999</v>
      </c>
      <c r="P601">
        <v>4.7619047620000003</v>
      </c>
      <c r="Q601">
        <v>70.319999999999993</v>
      </c>
      <c r="R601">
        <v>9.6</v>
      </c>
      <c r="S601">
        <v>96.173500000000004</v>
      </c>
      <c r="T601">
        <v>16.840900000000001</v>
      </c>
    </row>
    <row r="602" spans="1:20" x14ac:dyDescent="0.3">
      <c r="A602" t="s">
        <v>1003</v>
      </c>
      <c r="B602" t="s">
        <v>29</v>
      </c>
      <c r="C602" t="s">
        <v>1004</v>
      </c>
      <c r="D602" t="s">
        <v>31</v>
      </c>
      <c r="E602" t="s">
        <v>32</v>
      </c>
      <c r="F602" t="s">
        <v>36</v>
      </c>
      <c r="G602" t="s">
        <v>60</v>
      </c>
      <c r="H602">
        <v>83.08</v>
      </c>
      <c r="I602">
        <v>1</v>
      </c>
      <c r="J602">
        <v>4.1539999999999999</v>
      </c>
      <c r="K602">
        <v>83.08</v>
      </c>
      <c r="L602" s="1">
        <v>43537</v>
      </c>
      <c r="M602" s="2">
        <v>0.71944444444444444</v>
      </c>
      <c r="N602" t="s">
        <v>27</v>
      </c>
      <c r="O602">
        <v>83.08</v>
      </c>
      <c r="P602">
        <v>4.7619047620000003</v>
      </c>
      <c r="Q602">
        <v>0</v>
      </c>
      <c r="R602">
        <v>6.72</v>
      </c>
      <c r="S602">
        <v>96.078500000000005</v>
      </c>
      <c r="T602">
        <v>19.763300000000001</v>
      </c>
    </row>
    <row r="603" spans="1:20" x14ac:dyDescent="0.3">
      <c r="A603" t="s">
        <v>1005</v>
      </c>
      <c r="B603" t="s">
        <v>29</v>
      </c>
      <c r="C603" t="s">
        <v>1006</v>
      </c>
      <c r="D603" t="s">
        <v>31</v>
      </c>
      <c r="E603" t="s">
        <v>32</v>
      </c>
      <c r="F603" t="s">
        <v>25</v>
      </c>
      <c r="G603" t="s">
        <v>100</v>
      </c>
      <c r="H603">
        <v>64.989999999999995</v>
      </c>
      <c r="I603">
        <v>1</v>
      </c>
      <c r="J603">
        <v>3.2494999999999998</v>
      </c>
      <c r="K603">
        <v>64.989999999999995</v>
      </c>
      <c r="L603" s="1">
        <v>43673</v>
      </c>
      <c r="M603" s="2">
        <v>0.42083333333333334</v>
      </c>
      <c r="N603" t="s">
        <v>37</v>
      </c>
      <c r="O603">
        <v>64.989999999999995</v>
      </c>
      <c r="P603">
        <v>4.7619047620000003</v>
      </c>
      <c r="Q603">
        <v>0</v>
      </c>
      <c r="R603">
        <v>4.7249999999999996</v>
      </c>
      <c r="S603">
        <v>96.078500000000005</v>
      </c>
      <c r="T603">
        <v>19.763300000000001</v>
      </c>
    </row>
    <row r="604" spans="1:20" x14ac:dyDescent="0.3">
      <c r="A604" t="s">
        <v>1007</v>
      </c>
      <c r="B604" t="s">
        <v>29</v>
      </c>
      <c r="C604" t="s">
        <v>592</v>
      </c>
      <c r="D604" t="s">
        <v>31</v>
      </c>
      <c r="E604" t="s">
        <v>32</v>
      </c>
      <c r="F604" t="s">
        <v>36</v>
      </c>
      <c r="G604" t="s">
        <v>63</v>
      </c>
      <c r="H604">
        <v>77.56</v>
      </c>
      <c r="I604">
        <v>12</v>
      </c>
      <c r="J604">
        <v>46.536000000000001</v>
      </c>
      <c r="K604">
        <v>930.72</v>
      </c>
      <c r="L604" s="1">
        <v>43759</v>
      </c>
      <c r="M604" s="2">
        <v>0.85763888888888884</v>
      </c>
      <c r="N604" t="s">
        <v>27</v>
      </c>
      <c r="O604">
        <v>775.6</v>
      </c>
      <c r="P604">
        <v>4.7619047620000003</v>
      </c>
      <c r="Q604">
        <v>155.12</v>
      </c>
      <c r="R604">
        <v>7.2450000000000001</v>
      </c>
      <c r="S604">
        <v>96.078500000000005</v>
      </c>
      <c r="T604">
        <v>19.763300000000001</v>
      </c>
    </row>
    <row r="605" spans="1:20" x14ac:dyDescent="0.3">
      <c r="A605" t="s">
        <v>1008</v>
      </c>
      <c r="B605" t="s">
        <v>51</v>
      </c>
      <c r="C605" t="s">
        <v>119</v>
      </c>
      <c r="D605" t="s">
        <v>53</v>
      </c>
      <c r="E605" t="s">
        <v>32</v>
      </c>
      <c r="F605" t="s">
        <v>25</v>
      </c>
      <c r="G605" t="s">
        <v>68</v>
      </c>
      <c r="H605">
        <v>54.51</v>
      </c>
      <c r="I605">
        <v>8</v>
      </c>
      <c r="J605">
        <v>21.803999999999998</v>
      </c>
      <c r="K605">
        <v>436.08</v>
      </c>
      <c r="L605" s="1">
        <v>43724</v>
      </c>
      <c r="M605" s="2">
        <v>0.57916666666666672</v>
      </c>
      <c r="N605" t="s">
        <v>27</v>
      </c>
      <c r="O605">
        <v>327.06</v>
      </c>
      <c r="P605">
        <v>4.7619047620000003</v>
      </c>
      <c r="Q605">
        <v>109.02</v>
      </c>
      <c r="R605">
        <v>9.36</v>
      </c>
      <c r="S605">
        <v>96.089100000000002</v>
      </c>
      <c r="T605">
        <v>21.9588</v>
      </c>
    </row>
    <row r="606" spans="1:20" x14ac:dyDescent="0.3">
      <c r="A606" t="s">
        <v>1009</v>
      </c>
      <c r="B606" t="s">
        <v>29</v>
      </c>
      <c r="C606" t="s">
        <v>1010</v>
      </c>
      <c r="D606" t="s">
        <v>31</v>
      </c>
      <c r="E606" t="s">
        <v>24</v>
      </c>
      <c r="F606" t="s">
        <v>25</v>
      </c>
      <c r="G606" t="s">
        <v>100</v>
      </c>
      <c r="H606">
        <v>51.89</v>
      </c>
      <c r="I606">
        <v>11</v>
      </c>
      <c r="J606">
        <v>28.5395</v>
      </c>
      <c r="K606">
        <v>570.79</v>
      </c>
      <c r="L606" s="1">
        <v>43565</v>
      </c>
      <c r="M606" s="2">
        <v>0.83888888888888891</v>
      </c>
      <c r="N606" t="s">
        <v>33</v>
      </c>
      <c r="O606">
        <v>363.23</v>
      </c>
      <c r="P606">
        <v>4.7619047620000003</v>
      </c>
      <c r="Q606">
        <v>207.56</v>
      </c>
      <c r="R606">
        <v>4.7249999999999996</v>
      </c>
      <c r="S606">
        <v>96.078500000000005</v>
      </c>
      <c r="T606">
        <v>19.763300000000001</v>
      </c>
    </row>
    <row r="607" spans="1:20" x14ac:dyDescent="0.3">
      <c r="A607" t="s">
        <v>1011</v>
      </c>
      <c r="B607" t="s">
        <v>51</v>
      </c>
      <c r="C607" t="s">
        <v>104</v>
      </c>
      <c r="D607" t="s">
        <v>53</v>
      </c>
      <c r="E607" t="s">
        <v>32</v>
      </c>
      <c r="F607" t="s">
        <v>36</v>
      </c>
      <c r="G607" t="s">
        <v>77</v>
      </c>
      <c r="H607">
        <v>31.75</v>
      </c>
      <c r="I607">
        <v>6</v>
      </c>
      <c r="J607">
        <v>9.5250000000000004</v>
      </c>
      <c r="K607">
        <v>190.5</v>
      </c>
      <c r="L607" s="1">
        <v>43748</v>
      </c>
      <c r="M607" s="2">
        <v>0.6430555555555556</v>
      </c>
      <c r="N607" t="s">
        <v>33</v>
      </c>
      <c r="O607">
        <v>127</v>
      </c>
      <c r="P607">
        <v>4.7619047620000003</v>
      </c>
      <c r="Q607">
        <v>63.5</v>
      </c>
      <c r="R607">
        <v>10</v>
      </c>
      <c r="S607">
        <v>96.089100000000002</v>
      </c>
      <c r="T607">
        <v>21.9588</v>
      </c>
    </row>
    <row r="608" spans="1:20" x14ac:dyDescent="0.3">
      <c r="A608" t="s">
        <v>1012</v>
      </c>
      <c r="B608" t="s">
        <v>21</v>
      </c>
      <c r="C608" t="s">
        <v>1013</v>
      </c>
      <c r="D608" t="s">
        <v>23</v>
      </c>
      <c r="E608" t="s">
        <v>24</v>
      </c>
      <c r="F608" t="s">
        <v>25</v>
      </c>
      <c r="G608" t="s">
        <v>100</v>
      </c>
      <c r="H608">
        <v>53.65</v>
      </c>
      <c r="I608">
        <v>10</v>
      </c>
      <c r="J608">
        <v>26.824999999999999</v>
      </c>
      <c r="K608">
        <v>536.5</v>
      </c>
      <c r="L608" s="1">
        <v>43543</v>
      </c>
      <c r="M608" s="2">
        <v>0.53888888888888886</v>
      </c>
      <c r="N608" t="s">
        <v>27</v>
      </c>
      <c r="O608">
        <v>375.55</v>
      </c>
      <c r="P608">
        <v>4.7619047620000003</v>
      </c>
      <c r="Q608">
        <v>160.94999999999999</v>
      </c>
      <c r="R608">
        <v>5.2</v>
      </c>
      <c r="S608">
        <v>96.173500000000004</v>
      </c>
      <c r="T608">
        <v>16.840900000000001</v>
      </c>
    </row>
    <row r="609" spans="1:20" x14ac:dyDescent="0.3">
      <c r="A609" t="s">
        <v>1014</v>
      </c>
      <c r="B609" t="s">
        <v>29</v>
      </c>
      <c r="C609" t="s">
        <v>143</v>
      </c>
      <c r="D609" t="s">
        <v>31</v>
      </c>
      <c r="E609" t="s">
        <v>24</v>
      </c>
      <c r="F609" t="s">
        <v>25</v>
      </c>
      <c r="G609" t="s">
        <v>63</v>
      </c>
      <c r="H609">
        <v>49.79</v>
      </c>
      <c r="I609">
        <v>7</v>
      </c>
      <c r="J609">
        <v>17.426500000000001</v>
      </c>
      <c r="K609">
        <v>348.53</v>
      </c>
      <c r="L609" s="1">
        <v>43476</v>
      </c>
      <c r="M609" s="2">
        <v>0.80277777777777781</v>
      </c>
      <c r="N609" t="s">
        <v>37</v>
      </c>
      <c r="O609">
        <v>199.16</v>
      </c>
      <c r="P609">
        <v>4.7619047620000003</v>
      </c>
      <c r="Q609">
        <v>149.37</v>
      </c>
      <c r="R609">
        <v>6.72</v>
      </c>
      <c r="S609">
        <v>96.078500000000005</v>
      </c>
      <c r="T609">
        <v>19.763300000000001</v>
      </c>
    </row>
    <row r="610" spans="1:20" x14ac:dyDescent="0.3">
      <c r="A610" t="s">
        <v>1015</v>
      </c>
      <c r="B610" t="s">
        <v>21</v>
      </c>
      <c r="C610" t="s">
        <v>1016</v>
      </c>
      <c r="D610" t="s">
        <v>23</v>
      </c>
      <c r="E610" t="s">
        <v>32</v>
      </c>
      <c r="F610" t="s">
        <v>36</v>
      </c>
      <c r="G610" t="s">
        <v>100</v>
      </c>
      <c r="H610">
        <v>30.61</v>
      </c>
      <c r="I610">
        <v>1</v>
      </c>
      <c r="J610">
        <v>1.5305</v>
      </c>
      <c r="K610">
        <v>30.61</v>
      </c>
      <c r="L610" s="1">
        <v>43673</v>
      </c>
      <c r="M610" s="2">
        <v>0.51388888888888884</v>
      </c>
      <c r="N610" t="s">
        <v>27</v>
      </c>
      <c r="O610">
        <v>30.61</v>
      </c>
      <c r="P610">
        <v>4.7619047620000003</v>
      </c>
      <c r="Q610">
        <v>0</v>
      </c>
      <c r="R610">
        <v>5.2</v>
      </c>
      <c r="S610">
        <v>96.173500000000004</v>
      </c>
      <c r="T610">
        <v>16.840900000000001</v>
      </c>
    </row>
    <row r="611" spans="1:20" x14ac:dyDescent="0.3">
      <c r="A611" t="s">
        <v>1017</v>
      </c>
      <c r="B611" t="s">
        <v>51</v>
      </c>
      <c r="C611" t="s">
        <v>437</v>
      </c>
      <c r="D611" t="s">
        <v>53</v>
      </c>
      <c r="E611" t="s">
        <v>24</v>
      </c>
      <c r="F611" t="s">
        <v>36</v>
      </c>
      <c r="G611" t="s">
        <v>63</v>
      </c>
      <c r="H611">
        <v>57.89</v>
      </c>
      <c r="I611">
        <v>4</v>
      </c>
      <c r="J611">
        <v>11.577999999999999</v>
      </c>
      <c r="K611">
        <v>231.56</v>
      </c>
      <c r="L611" s="1">
        <v>43498</v>
      </c>
      <c r="M611" s="2">
        <v>0.44236111111111109</v>
      </c>
      <c r="N611" t="s">
        <v>27</v>
      </c>
      <c r="O611">
        <v>115.78</v>
      </c>
      <c r="P611">
        <v>4.7619047620000003</v>
      </c>
      <c r="Q611">
        <v>115.78</v>
      </c>
      <c r="R611">
        <v>10</v>
      </c>
      <c r="S611">
        <v>96.089100000000002</v>
      </c>
      <c r="T611">
        <v>21.9588</v>
      </c>
    </row>
    <row r="612" spans="1:20" x14ac:dyDescent="0.3">
      <c r="A612" t="s">
        <v>1018</v>
      </c>
      <c r="B612" t="s">
        <v>21</v>
      </c>
      <c r="C612" t="s">
        <v>1019</v>
      </c>
      <c r="D612" t="s">
        <v>23</v>
      </c>
      <c r="E612" t="s">
        <v>32</v>
      </c>
      <c r="F612" t="s">
        <v>25</v>
      </c>
      <c r="G612" t="s">
        <v>60</v>
      </c>
      <c r="H612">
        <v>28.96</v>
      </c>
      <c r="I612">
        <v>1</v>
      </c>
      <c r="J612">
        <v>1.448</v>
      </c>
      <c r="K612">
        <v>28.96</v>
      </c>
      <c r="L612" s="1">
        <v>43620</v>
      </c>
      <c r="M612" s="2">
        <v>0.42916666666666664</v>
      </c>
      <c r="N612" t="s">
        <v>37</v>
      </c>
      <c r="O612">
        <v>28.96</v>
      </c>
      <c r="P612">
        <v>4.7619047620000003</v>
      </c>
      <c r="Q612">
        <v>0</v>
      </c>
      <c r="R612">
        <v>6.2</v>
      </c>
      <c r="S612">
        <v>96.173500000000004</v>
      </c>
      <c r="T612">
        <v>16.840900000000001</v>
      </c>
    </row>
    <row r="613" spans="1:20" x14ac:dyDescent="0.3">
      <c r="A613" t="s">
        <v>1020</v>
      </c>
      <c r="B613" t="s">
        <v>29</v>
      </c>
      <c r="C613" t="s">
        <v>417</v>
      </c>
      <c r="D613" t="s">
        <v>31</v>
      </c>
      <c r="E613" t="s">
        <v>24</v>
      </c>
      <c r="F613" t="s">
        <v>25</v>
      </c>
      <c r="G613" t="s">
        <v>63</v>
      </c>
      <c r="H613">
        <v>98.97</v>
      </c>
      <c r="I613">
        <v>15</v>
      </c>
      <c r="J613">
        <v>74.227500000000006</v>
      </c>
      <c r="K613">
        <v>1484.55</v>
      </c>
      <c r="L613" s="1">
        <v>43655</v>
      </c>
      <c r="M613" s="2">
        <v>0.47430555555555554</v>
      </c>
      <c r="N613" t="s">
        <v>33</v>
      </c>
      <c r="O613">
        <v>890.73</v>
      </c>
      <c r="P613">
        <v>4.7619047620000003</v>
      </c>
      <c r="Q613">
        <v>593.82000000000005</v>
      </c>
      <c r="R613">
        <v>7.0350000000000001</v>
      </c>
      <c r="S613">
        <v>96.078500000000005</v>
      </c>
      <c r="T613">
        <v>19.763300000000001</v>
      </c>
    </row>
    <row r="614" spans="1:20" x14ac:dyDescent="0.3">
      <c r="A614" t="s">
        <v>1021</v>
      </c>
      <c r="B614" t="s">
        <v>51</v>
      </c>
      <c r="C614" t="s">
        <v>751</v>
      </c>
      <c r="D614" t="s">
        <v>53</v>
      </c>
      <c r="E614" t="s">
        <v>24</v>
      </c>
      <c r="F614" t="s">
        <v>36</v>
      </c>
      <c r="G614" t="s">
        <v>100</v>
      </c>
      <c r="H614">
        <v>93.22</v>
      </c>
      <c r="I614">
        <v>6</v>
      </c>
      <c r="J614">
        <v>27.966000000000001</v>
      </c>
      <c r="K614">
        <v>559.32000000000005</v>
      </c>
      <c r="L614" s="1">
        <v>43510</v>
      </c>
      <c r="M614" s="2">
        <v>0.48958333333333331</v>
      </c>
      <c r="N614" t="s">
        <v>33</v>
      </c>
      <c r="O614">
        <v>279.66000000000003</v>
      </c>
      <c r="P614">
        <v>4.7619047620000003</v>
      </c>
      <c r="Q614">
        <v>279.66000000000003</v>
      </c>
      <c r="R614">
        <v>8.64</v>
      </c>
      <c r="S614">
        <v>96.089100000000002</v>
      </c>
      <c r="T614">
        <v>21.9588</v>
      </c>
    </row>
    <row r="615" spans="1:20" x14ac:dyDescent="0.3">
      <c r="A615" t="s">
        <v>1022</v>
      </c>
      <c r="B615" t="s">
        <v>29</v>
      </c>
      <c r="C615" t="s">
        <v>243</v>
      </c>
      <c r="D615" t="s">
        <v>31</v>
      </c>
      <c r="E615" t="s">
        <v>24</v>
      </c>
      <c r="F615" t="s">
        <v>36</v>
      </c>
      <c r="G615" t="s">
        <v>68</v>
      </c>
      <c r="H615">
        <v>80.930000000000007</v>
      </c>
      <c r="I615">
        <v>1</v>
      </c>
      <c r="J615">
        <v>4.0465</v>
      </c>
      <c r="K615">
        <v>80.930000000000007</v>
      </c>
      <c r="L615" s="1">
        <v>43774</v>
      </c>
      <c r="M615" s="2">
        <v>0.67222222222222228</v>
      </c>
      <c r="N615" t="s">
        <v>37</v>
      </c>
      <c r="O615">
        <v>80.930000000000007</v>
      </c>
      <c r="P615">
        <v>4.7619047620000003</v>
      </c>
      <c r="Q615">
        <v>0</v>
      </c>
      <c r="R615">
        <v>9.4499999999999993</v>
      </c>
      <c r="S615">
        <v>96.078500000000005</v>
      </c>
      <c r="T615">
        <v>19.763300000000001</v>
      </c>
    </row>
    <row r="616" spans="1:20" x14ac:dyDescent="0.3">
      <c r="A616" t="s">
        <v>1023</v>
      </c>
      <c r="B616" t="s">
        <v>21</v>
      </c>
      <c r="C616" t="s">
        <v>1024</v>
      </c>
      <c r="D616" t="s">
        <v>23</v>
      </c>
      <c r="E616" t="s">
        <v>24</v>
      </c>
      <c r="F616" t="s">
        <v>36</v>
      </c>
      <c r="G616" t="s">
        <v>63</v>
      </c>
      <c r="H616">
        <v>67.45</v>
      </c>
      <c r="I616">
        <v>14</v>
      </c>
      <c r="J616">
        <v>47.215000000000003</v>
      </c>
      <c r="K616">
        <v>944.3</v>
      </c>
      <c r="L616" s="1">
        <v>43526</v>
      </c>
      <c r="M616" s="2">
        <v>0.47569444444444442</v>
      </c>
      <c r="N616" t="s">
        <v>27</v>
      </c>
      <c r="O616">
        <v>674.5</v>
      </c>
      <c r="P616">
        <v>4.7619047620000003</v>
      </c>
      <c r="Q616">
        <v>269.8</v>
      </c>
      <c r="R616">
        <v>4.2</v>
      </c>
      <c r="S616">
        <v>96.173500000000004</v>
      </c>
      <c r="T616">
        <v>16.840900000000001</v>
      </c>
    </row>
    <row r="617" spans="1:20" x14ac:dyDescent="0.3">
      <c r="A617" t="s">
        <v>1025</v>
      </c>
      <c r="B617" t="s">
        <v>21</v>
      </c>
      <c r="C617" t="s">
        <v>1026</v>
      </c>
      <c r="D617" t="s">
        <v>23</v>
      </c>
      <c r="E617" t="s">
        <v>24</v>
      </c>
      <c r="F617" t="s">
        <v>25</v>
      </c>
      <c r="G617" t="s">
        <v>68</v>
      </c>
      <c r="H617">
        <v>38.72</v>
      </c>
      <c r="I617">
        <v>13</v>
      </c>
      <c r="J617">
        <v>25.167999999999999</v>
      </c>
      <c r="K617">
        <v>503.36</v>
      </c>
      <c r="L617" s="1">
        <v>43486</v>
      </c>
      <c r="M617" s="2">
        <v>0.51666666666666672</v>
      </c>
      <c r="N617" t="s">
        <v>27</v>
      </c>
      <c r="O617">
        <v>348.48</v>
      </c>
      <c r="P617">
        <v>4.7619047620000003</v>
      </c>
      <c r="Q617">
        <v>154.88</v>
      </c>
      <c r="R617">
        <v>4.2</v>
      </c>
      <c r="S617">
        <v>96.173500000000004</v>
      </c>
      <c r="T617">
        <v>16.840900000000001</v>
      </c>
    </row>
    <row r="618" spans="1:20" x14ac:dyDescent="0.3">
      <c r="A618" t="s">
        <v>1027</v>
      </c>
      <c r="B618" t="s">
        <v>51</v>
      </c>
      <c r="C618" t="s">
        <v>286</v>
      </c>
      <c r="D618" t="s">
        <v>53</v>
      </c>
      <c r="E618" t="s">
        <v>24</v>
      </c>
      <c r="F618" t="s">
        <v>36</v>
      </c>
      <c r="G618" t="s">
        <v>68</v>
      </c>
      <c r="H618">
        <v>72.599999999999994</v>
      </c>
      <c r="I618">
        <v>11</v>
      </c>
      <c r="J618">
        <v>39.93</v>
      </c>
      <c r="K618">
        <v>798.6</v>
      </c>
      <c r="L618" s="1">
        <v>43711</v>
      </c>
      <c r="M618" s="2">
        <v>0.82708333333333328</v>
      </c>
      <c r="N618" t="s">
        <v>33</v>
      </c>
      <c r="O618">
        <v>435.6</v>
      </c>
      <c r="P618">
        <v>4.7619047620000003</v>
      </c>
      <c r="Q618">
        <v>363</v>
      </c>
      <c r="R618">
        <v>8.2799999999999994</v>
      </c>
      <c r="S618">
        <v>96.089100000000002</v>
      </c>
      <c r="T618">
        <v>21.9588</v>
      </c>
    </row>
    <row r="619" spans="1:20" x14ac:dyDescent="0.3">
      <c r="A619" t="s">
        <v>1028</v>
      </c>
      <c r="B619" t="s">
        <v>29</v>
      </c>
      <c r="C619" t="s">
        <v>1029</v>
      </c>
      <c r="D619" t="s">
        <v>31</v>
      </c>
      <c r="E619" t="s">
        <v>24</v>
      </c>
      <c r="F619" t="s">
        <v>36</v>
      </c>
      <c r="G619" t="s">
        <v>60</v>
      </c>
      <c r="H619">
        <v>87.91</v>
      </c>
      <c r="I619">
        <v>8</v>
      </c>
      <c r="J619">
        <v>35.164000000000001</v>
      </c>
      <c r="K619">
        <v>703.28</v>
      </c>
      <c r="L619" s="1">
        <v>43577</v>
      </c>
      <c r="M619" s="2">
        <v>0.75694444444444442</v>
      </c>
      <c r="N619" t="s">
        <v>27</v>
      </c>
      <c r="O619">
        <v>439.55</v>
      </c>
      <c r="P619">
        <v>4.7619047620000003</v>
      </c>
      <c r="Q619">
        <v>263.73</v>
      </c>
      <c r="R619">
        <v>4.62</v>
      </c>
      <c r="S619">
        <v>96.078500000000005</v>
      </c>
      <c r="T619">
        <v>19.763300000000001</v>
      </c>
    </row>
    <row r="620" spans="1:20" x14ac:dyDescent="0.3">
      <c r="A620" t="s">
        <v>1030</v>
      </c>
      <c r="B620" t="s">
        <v>21</v>
      </c>
      <c r="C620" t="s">
        <v>1031</v>
      </c>
      <c r="D620" t="s">
        <v>23</v>
      </c>
      <c r="E620" t="s">
        <v>24</v>
      </c>
      <c r="F620" t="s">
        <v>36</v>
      </c>
      <c r="G620" t="s">
        <v>63</v>
      </c>
      <c r="H620">
        <v>98.53</v>
      </c>
      <c r="I620">
        <v>8</v>
      </c>
      <c r="J620">
        <v>39.411999999999999</v>
      </c>
      <c r="K620">
        <v>788.24</v>
      </c>
      <c r="L620" s="1">
        <v>43761</v>
      </c>
      <c r="M620" s="2">
        <v>0.47361111111111109</v>
      </c>
      <c r="N620" t="s">
        <v>37</v>
      </c>
      <c r="O620">
        <v>591.17999999999995</v>
      </c>
      <c r="P620">
        <v>4.7619047620000003</v>
      </c>
      <c r="Q620">
        <v>197.06</v>
      </c>
      <c r="R620">
        <v>4</v>
      </c>
      <c r="S620">
        <v>96.173500000000004</v>
      </c>
      <c r="T620">
        <v>16.840900000000001</v>
      </c>
    </row>
    <row r="621" spans="1:20" x14ac:dyDescent="0.3">
      <c r="A621" t="s">
        <v>1032</v>
      </c>
      <c r="B621" t="s">
        <v>29</v>
      </c>
      <c r="C621" t="s">
        <v>125</v>
      </c>
      <c r="D621" t="s">
        <v>31</v>
      </c>
      <c r="E621" t="s">
        <v>24</v>
      </c>
      <c r="F621" t="s">
        <v>25</v>
      </c>
      <c r="G621" t="s">
        <v>100</v>
      </c>
      <c r="H621">
        <v>43.46</v>
      </c>
      <c r="I621">
        <v>10</v>
      </c>
      <c r="J621">
        <v>21.73</v>
      </c>
      <c r="K621">
        <v>434.6</v>
      </c>
      <c r="L621" s="1">
        <v>43817</v>
      </c>
      <c r="M621" s="2">
        <v>0.74652777777777779</v>
      </c>
      <c r="N621" t="s">
        <v>27</v>
      </c>
      <c r="O621">
        <v>260.76</v>
      </c>
      <c r="P621">
        <v>4.7619047620000003</v>
      </c>
      <c r="Q621">
        <v>173.84</v>
      </c>
      <c r="R621">
        <v>8.9250000000000007</v>
      </c>
      <c r="S621">
        <v>96.078500000000005</v>
      </c>
      <c r="T621">
        <v>19.763300000000001</v>
      </c>
    </row>
    <row r="622" spans="1:20" x14ac:dyDescent="0.3">
      <c r="A622" t="s">
        <v>1033</v>
      </c>
      <c r="B622" t="s">
        <v>21</v>
      </c>
      <c r="C622" t="s">
        <v>39</v>
      </c>
      <c r="D622" t="s">
        <v>23</v>
      </c>
      <c r="E622" t="s">
        <v>32</v>
      </c>
      <c r="F622" t="s">
        <v>25</v>
      </c>
      <c r="G622" t="s">
        <v>63</v>
      </c>
      <c r="H622">
        <v>71.680000000000007</v>
      </c>
      <c r="I622">
        <v>3</v>
      </c>
      <c r="J622">
        <v>10.752000000000001</v>
      </c>
      <c r="K622">
        <v>215.04</v>
      </c>
      <c r="L622" s="1">
        <v>43680</v>
      </c>
      <c r="M622" s="2">
        <v>0.64583333333333337</v>
      </c>
      <c r="N622" t="s">
        <v>37</v>
      </c>
      <c r="O622">
        <v>215.04</v>
      </c>
      <c r="P622">
        <v>4.7619047620000003</v>
      </c>
      <c r="Q622">
        <v>0</v>
      </c>
      <c r="R622">
        <v>9.1999999999999993</v>
      </c>
      <c r="S622">
        <v>96.173500000000004</v>
      </c>
      <c r="T622">
        <v>16.840900000000001</v>
      </c>
    </row>
    <row r="623" spans="1:20" x14ac:dyDescent="0.3">
      <c r="A623" t="s">
        <v>1034</v>
      </c>
      <c r="B623" t="s">
        <v>21</v>
      </c>
      <c r="C623" t="s">
        <v>1035</v>
      </c>
      <c r="D623" t="s">
        <v>23</v>
      </c>
      <c r="E623" t="s">
        <v>32</v>
      </c>
      <c r="F623" t="s">
        <v>25</v>
      </c>
      <c r="G623" t="s">
        <v>68</v>
      </c>
      <c r="H623">
        <v>91.61</v>
      </c>
      <c r="I623">
        <v>1</v>
      </c>
      <c r="J623">
        <v>4.5804999999999998</v>
      </c>
      <c r="K623">
        <v>91.61</v>
      </c>
      <c r="L623" s="1">
        <v>43478</v>
      </c>
      <c r="M623" s="2">
        <v>0.82222222222222219</v>
      </c>
      <c r="N623" t="s">
        <v>33</v>
      </c>
      <c r="O623">
        <v>91.61</v>
      </c>
      <c r="P623">
        <v>4.7619047620000003</v>
      </c>
      <c r="Q623">
        <v>0</v>
      </c>
      <c r="R623">
        <v>9.8000000000000007</v>
      </c>
      <c r="S623">
        <v>96.173500000000004</v>
      </c>
      <c r="T623">
        <v>16.840900000000001</v>
      </c>
    </row>
    <row r="624" spans="1:20" x14ac:dyDescent="0.3">
      <c r="A624" t="s">
        <v>1036</v>
      </c>
      <c r="B624" t="s">
        <v>51</v>
      </c>
      <c r="C624" t="s">
        <v>665</v>
      </c>
      <c r="D624" t="s">
        <v>53</v>
      </c>
      <c r="E624" t="s">
        <v>32</v>
      </c>
      <c r="F624" t="s">
        <v>25</v>
      </c>
      <c r="G624" t="s">
        <v>68</v>
      </c>
      <c r="H624">
        <v>94.59</v>
      </c>
      <c r="I624">
        <v>10</v>
      </c>
      <c r="J624">
        <v>47.295000000000002</v>
      </c>
      <c r="K624">
        <v>945.9</v>
      </c>
      <c r="L624" s="1">
        <v>43493</v>
      </c>
      <c r="M624" s="2">
        <v>0.64375000000000004</v>
      </c>
      <c r="N624" t="s">
        <v>37</v>
      </c>
      <c r="O624">
        <v>662.13</v>
      </c>
      <c r="P624">
        <v>4.7619047620000003</v>
      </c>
      <c r="Q624">
        <v>283.77</v>
      </c>
      <c r="R624">
        <v>5.88</v>
      </c>
      <c r="S624">
        <v>96.089100000000002</v>
      </c>
      <c r="T624">
        <v>21.9588</v>
      </c>
    </row>
    <row r="625" spans="1:20" x14ac:dyDescent="0.3">
      <c r="A625" t="s">
        <v>1037</v>
      </c>
      <c r="B625" t="s">
        <v>51</v>
      </c>
      <c r="C625" t="s">
        <v>440</v>
      </c>
      <c r="D625" t="s">
        <v>53</v>
      </c>
      <c r="E625" t="s">
        <v>32</v>
      </c>
      <c r="F625" t="s">
        <v>25</v>
      </c>
      <c r="G625" t="s">
        <v>68</v>
      </c>
      <c r="H625">
        <v>83.25</v>
      </c>
      <c r="I625">
        <v>14</v>
      </c>
      <c r="J625">
        <v>58.274999999999999</v>
      </c>
      <c r="K625">
        <v>1165.5</v>
      </c>
      <c r="L625" s="1">
        <v>43648</v>
      </c>
      <c r="M625" s="2">
        <v>0.47569444444444442</v>
      </c>
      <c r="N625" t="s">
        <v>37</v>
      </c>
      <c r="O625">
        <v>832.5</v>
      </c>
      <c r="P625">
        <v>4.7619047620000003</v>
      </c>
      <c r="Q625">
        <v>333</v>
      </c>
      <c r="R625">
        <v>5.28</v>
      </c>
      <c r="S625">
        <v>96.089100000000002</v>
      </c>
      <c r="T625">
        <v>21.9588</v>
      </c>
    </row>
    <row r="626" spans="1:20" x14ac:dyDescent="0.3">
      <c r="A626" t="s">
        <v>1038</v>
      </c>
      <c r="B626" t="s">
        <v>51</v>
      </c>
      <c r="C626" t="s">
        <v>980</v>
      </c>
      <c r="D626" t="s">
        <v>53</v>
      </c>
      <c r="E626" t="s">
        <v>32</v>
      </c>
      <c r="F626" t="s">
        <v>36</v>
      </c>
      <c r="G626" t="s">
        <v>68</v>
      </c>
      <c r="H626">
        <v>91.35</v>
      </c>
      <c r="I626">
        <v>1</v>
      </c>
      <c r="J626">
        <v>4.5674999999999999</v>
      </c>
      <c r="K626">
        <v>91.35</v>
      </c>
      <c r="L626" s="1">
        <v>43775</v>
      </c>
      <c r="M626" s="2">
        <v>0.65416666666666667</v>
      </c>
      <c r="N626" t="s">
        <v>33</v>
      </c>
      <c r="O626">
        <v>91.35</v>
      </c>
      <c r="P626">
        <v>4.7619047620000003</v>
      </c>
      <c r="Q626">
        <v>0</v>
      </c>
      <c r="R626">
        <v>8.16</v>
      </c>
      <c r="S626">
        <v>96.089100000000002</v>
      </c>
      <c r="T626">
        <v>21.9588</v>
      </c>
    </row>
    <row r="627" spans="1:20" x14ac:dyDescent="0.3">
      <c r="A627" t="s">
        <v>1039</v>
      </c>
      <c r="B627" t="s">
        <v>51</v>
      </c>
      <c r="C627" t="s">
        <v>458</v>
      </c>
      <c r="D627" t="s">
        <v>53</v>
      </c>
      <c r="E627" t="s">
        <v>32</v>
      </c>
      <c r="F627" t="s">
        <v>25</v>
      </c>
      <c r="G627" t="s">
        <v>68</v>
      </c>
      <c r="H627">
        <v>78.88</v>
      </c>
      <c r="I627">
        <v>3</v>
      </c>
      <c r="J627">
        <v>11.832000000000001</v>
      </c>
      <c r="K627">
        <v>236.64</v>
      </c>
      <c r="L627" s="1">
        <v>43616</v>
      </c>
      <c r="M627" s="2">
        <v>0.6694444444444444</v>
      </c>
      <c r="N627" t="s">
        <v>33</v>
      </c>
      <c r="O627">
        <v>157.76</v>
      </c>
      <c r="P627">
        <v>4.7619047620000003</v>
      </c>
      <c r="Q627">
        <v>78.88</v>
      </c>
      <c r="R627">
        <v>10</v>
      </c>
      <c r="S627">
        <v>96.089100000000002</v>
      </c>
      <c r="T627">
        <v>21.9588</v>
      </c>
    </row>
    <row r="628" spans="1:20" x14ac:dyDescent="0.3">
      <c r="A628" t="s">
        <v>1040</v>
      </c>
      <c r="B628" t="s">
        <v>21</v>
      </c>
      <c r="C628" t="s">
        <v>687</v>
      </c>
      <c r="D628" t="s">
        <v>23</v>
      </c>
      <c r="E628" t="s">
        <v>32</v>
      </c>
      <c r="F628" t="s">
        <v>36</v>
      </c>
      <c r="G628" t="s">
        <v>68</v>
      </c>
      <c r="H628">
        <v>60.87</v>
      </c>
      <c r="I628">
        <v>2</v>
      </c>
      <c r="J628">
        <v>6.0869999999999997</v>
      </c>
      <c r="K628">
        <v>121.74</v>
      </c>
      <c r="L628" s="1">
        <v>43649</v>
      </c>
      <c r="M628" s="2">
        <v>0.52569444444444446</v>
      </c>
      <c r="N628" t="s">
        <v>27</v>
      </c>
      <c r="O628">
        <v>121.74</v>
      </c>
      <c r="P628">
        <v>4.7619047620000003</v>
      </c>
      <c r="Q628">
        <v>0</v>
      </c>
      <c r="R628">
        <v>8.6999999999999993</v>
      </c>
      <c r="S628">
        <v>96.173500000000004</v>
      </c>
      <c r="T628">
        <v>16.840900000000001</v>
      </c>
    </row>
    <row r="629" spans="1:20" x14ac:dyDescent="0.3">
      <c r="A629" t="s">
        <v>1041</v>
      </c>
      <c r="B629" t="s">
        <v>51</v>
      </c>
      <c r="C629" t="s">
        <v>345</v>
      </c>
      <c r="D629" t="s">
        <v>53</v>
      </c>
      <c r="E629" t="s">
        <v>32</v>
      </c>
      <c r="F629" t="s">
        <v>36</v>
      </c>
      <c r="G629" t="s">
        <v>68</v>
      </c>
      <c r="H629">
        <v>82.58</v>
      </c>
      <c r="I629">
        <v>14</v>
      </c>
      <c r="J629">
        <v>57.805999999999997</v>
      </c>
      <c r="K629">
        <v>1156.1199999999999</v>
      </c>
      <c r="L629" s="1">
        <v>43476</v>
      </c>
      <c r="M629" s="2">
        <v>0.6118055555555556</v>
      </c>
      <c r="N629" t="s">
        <v>33</v>
      </c>
      <c r="O629">
        <v>825.8</v>
      </c>
      <c r="P629">
        <v>4.7619047620000003</v>
      </c>
      <c r="Q629">
        <v>330.32</v>
      </c>
      <c r="R629">
        <v>7.46</v>
      </c>
      <c r="S629">
        <v>96.089100000000002</v>
      </c>
      <c r="T629">
        <v>21.9588</v>
      </c>
    </row>
    <row r="630" spans="1:20" x14ac:dyDescent="0.3">
      <c r="A630" t="s">
        <v>1042</v>
      </c>
      <c r="B630" t="s">
        <v>21</v>
      </c>
      <c r="C630" t="s">
        <v>1043</v>
      </c>
      <c r="D630" t="s">
        <v>23</v>
      </c>
      <c r="E630" t="s">
        <v>32</v>
      </c>
      <c r="F630" t="s">
        <v>36</v>
      </c>
      <c r="G630" t="s">
        <v>68</v>
      </c>
      <c r="H630">
        <v>53.3</v>
      </c>
      <c r="I630">
        <v>3</v>
      </c>
      <c r="J630">
        <v>7.9950000000000001</v>
      </c>
      <c r="K630">
        <v>159.9</v>
      </c>
      <c r="L630" s="1">
        <v>43620</v>
      </c>
      <c r="M630" s="2">
        <v>0.59652777777777777</v>
      </c>
      <c r="N630" t="s">
        <v>27</v>
      </c>
      <c r="O630">
        <v>159.9</v>
      </c>
      <c r="P630">
        <v>4.7619047620000003</v>
      </c>
      <c r="Q630">
        <v>0</v>
      </c>
      <c r="R630">
        <v>7.46</v>
      </c>
      <c r="S630">
        <v>96.173500000000004</v>
      </c>
      <c r="T630">
        <v>16.840900000000001</v>
      </c>
    </row>
    <row r="631" spans="1:20" x14ac:dyDescent="0.3">
      <c r="A631" t="s">
        <v>1044</v>
      </c>
      <c r="B631" t="s">
        <v>21</v>
      </c>
      <c r="C631" t="s">
        <v>1045</v>
      </c>
      <c r="D631" t="s">
        <v>23</v>
      </c>
      <c r="E631" t="s">
        <v>32</v>
      </c>
      <c r="F631" t="s">
        <v>25</v>
      </c>
      <c r="G631" t="s">
        <v>68</v>
      </c>
      <c r="H631">
        <v>12.09</v>
      </c>
      <c r="I631">
        <v>1</v>
      </c>
      <c r="J631">
        <v>0.60450000000000004</v>
      </c>
      <c r="K631">
        <v>12.09</v>
      </c>
      <c r="L631" s="1">
        <v>43669</v>
      </c>
      <c r="M631" s="2">
        <v>0.7631944444444444</v>
      </c>
      <c r="N631" t="s">
        <v>37</v>
      </c>
      <c r="O631">
        <v>12.09</v>
      </c>
      <c r="P631">
        <v>4.7619047620000003</v>
      </c>
      <c r="Q631">
        <v>0</v>
      </c>
      <c r="R631">
        <v>7.46</v>
      </c>
      <c r="S631">
        <v>96.173500000000004</v>
      </c>
      <c r="T631">
        <v>16.840900000000001</v>
      </c>
    </row>
    <row r="632" spans="1:20" x14ac:dyDescent="0.3">
      <c r="A632" t="s">
        <v>1046</v>
      </c>
      <c r="B632" t="s">
        <v>21</v>
      </c>
      <c r="C632" t="s">
        <v>1047</v>
      </c>
      <c r="D632" t="s">
        <v>23</v>
      </c>
      <c r="E632" t="s">
        <v>32</v>
      </c>
      <c r="F632" t="s">
        <v>36</v>
      </c>
      <c r="G632" t="s">
        <v>68</v>
      </c>
      <c r="H632">
        <v>64.19</v>
      </c>
      <c r="I632">
        <v>10</v>
      </c>
      <c r="J632">
        <v>32.094999999999999</v>
      </c>
      <c r="K632">
        <v>641.9</v>
      </c>
      <c r="L632" s="1">
        <v>43536</v>
      </c>
      <c r="M632" s="2">
        <v>0.58888888888888891</v>
      </c>
      <c r="N632" t="s">
        <v>37</v>
      </c>
      <c r="O632">
        <v>641.9</v>
      </c>
      <c r="P632">
        <v>4.7619047620000003</v>
      </c>
      <c r="Q632">
        <v>0</v>
      </c>
      <c r="R632">
        <v>7.46</v>
      </c>
      <c r="S632">
        <v>96.173500000000004</v>
      </c>
      <c r="T632">
        <v>16.840900000000001</v>
      </c>
    </row>
    <row r="633" spans="1:20" x14ac:dyDescent="0.3">
      <c r="A633" t="s">
        <v>1048</v>
      </c>
      <c r="B633" t="s">
        <v>21</v>
      </c>
      <c r="C633" t="s">
        <v>354</v>
      </c>
      <c r="D633" t="s">
        <v>23</v>
      </c>
      <c r="E633" t="s">
        <v>32</v>
      </c>
      <c r="F633" t="s">
        <v>36</v>
      </c>
      <c r="G633" t="s">
        <v>60</v>
      </c>
      <c r="H633">
        <v>78.31</v>
      </c>
      <c r="I633">
        <v>3</v>
      </c>
      <c r="J633">
        <v>11.746499999999999</v>
      </c>
      <c r="K633">
        <v>234.93</v>
      </c>
      <c r="L633" s="1">
        <v>43679</v>
      </c>
      <c r="M633" s="2">
        <v>0.69305555555555554</v>
      </c>
      <c r="N633" t="s">
        <v>27</v>
      </c>
      <c r="O633">
        <v>234.93</v>
      </c>
      <c r="P633">
        <v>4.7619047620000003</v>
      </c>
      <c r="Q633">
        <v>0</v>
      </c>
      <c r="R633">
        <v>7.46</v>
      </c>
      <c r="S633">
        <v>96.173500000000004</v>
      </c>
      <c r="T633">
        <v>16.840900000000001</v>
      </c>
    </row>
    <row r="634" spans="1:20" x14ac:dyDescent="0.3">
      <c r="A634" t="s">
        <v>1049</v>
      </c>
      <c r="B634" t="s">
        <v>21</v>
      </c>
      <c r="C634" t="s">
        <v>1050</v>
      </c>
      <c r="D634" t="s">
        <v>23</v>
      </c>
      <c r="E634" t="s">
        <v>32</v>
      </c>
      <c r="F634" t="s">
        <v>36</v>
      </c>
      <c r="G634" t="s">
        <v>63</v>
      </c>
      <c r="H634">
        <v>83.77</v>
      </c>
      <c r="I634">
        <v>2</v>
      </c>
      <c r="J634">
        <v>8.3770000000000007</v>
      </c>
      <c r="K634">
        <v>167.54</v>
      </c>
      <c r="L634" s="1">
        <v>43489</v>
      </c>
      <c r="M634" s="2">
        <v>0.45416666666666666</v>
      </c>
      <c r="N634" t="s">
        <v>37</v>
      </c>
      <c r="O634">
        <v>167.54</v>
      </c>
      <c r="P634">
        <v>4.7619047620000003</v>
      </c>
      <c r="Q634">
        <v>0</v>
      </c>
      <c r="R634">
        <v>7</v>
      </c>
      <c r="S634">
        <v>96.173500000000004</v>
      </c>
      <c r="T634">
        <v>16.840900000000001</v>
      </c>
    </row>
    <row r="635" spans="1:20" x14ac:dyDescent="0.3">
      <c r="A635" t="s">
        <v>1051</v>
      </c>
      <c r="B635" t="s">
        <v>51</v>
      </c>
      <c r="C635" t="s">
        <v>1052</v>
      </c>
      <c r="D635" t="s">
        <v>53</v>
      </c>
      <c r="E635" t="s">
        <v>32</v>
      </c>
      <c r="F635" t="s">
        <v>36</v>
      </c>
      <c r="G635" t="s">
        <v>77</v>
      </c>
      <c r="H635">
        <v>99.7</v>
      </c>
      <c r="I635">
        <v>4</v>
      </c>
      <c r="J635">
        <v>19.940000000000001</v>
      </c>
      <c r="K635">
        <v>398.8</v>
      </c>
      <c r="L635" s="1">
        <v>43787</v>
      </c>
      <c r="M635" s="2">
        <v>0.47847222222222224</v>
      </c>
      <c r="N635" t="s">
        <v>27</v>
      </c>
      <c r="O635">
        <v>299.10000000000002</v>
      </c>
      <c r="P635">
        <v>4.7619047620000003</v>
      </c>
      <c r="Q635">
        <v>99.7</v>
      </c>
      <c r="R635">
        <v>5.64</v>
      </c>
      <c r="S635">
        <v>96.089100000000002</v>
      </c>
      <c r="T635">
        <v>21.9588</v>
      </c>
    </row>
    <row r="636" spans="1:20" x14ac:dyDescent="0.3">
      <c r="A636" t="s">
        <v>1053</v>
      </c>
      <c r="B636" t="s">
        <v>51</v>
      </c>
      <c r="C636" t="s">
        <v>268</v>
      </c>
      <c r="D636" t="s">
        <v>53</v>
      </c>
      <c r="E636" t="s">
        <v>32</v>
      </c>
      <c r="F636" t="s">
        <v>36</v>
      </c>
      <c r="G636" t="s">
        <v>63</v>
      </c>
      <c r="H636">
        <v>79.91</v>
      </c>
      <c r="I636">
        <v>4</v>
      </c>
      <c r="J636">
        <v>15.981999999999999</v>
      </c>
      <c r="K636">
        <v>319.64</v>
      </c>
      <c r="L636" s="1">
        <v>43781</v>
      </c>
      <c r="M636" s="2">
        <v>0.81111111111111112</v>
      </c>
      <c r="N636" t="s">
        <v>37</v>
      </c>
      <c r="O636">
        <v>239.73</v>
      </c>
      <c r="P636">
        <v>4.7619047620000003</v>
      </c>
      <c r="Q636">
        <v>79.91</v>
      </c>
      <c r="R636">
        <v>6</v>
      </c>
      <c r="S636">
        <v>96.089100000000002</v>
      </c>
      <c r="T636">
        <v>21.9588</v>
      </c>
    </row>
    <row r="637" spans="1:20" x14ac:dyDescent="0.3">
      <c r="A637" t="s">
        <v>1054</v>
      </c>
      <c r="B637" t="s">
        <v>51</v>
      </c>
      <c r="C637" t="s">
        <v>706</v>
      </c>
      <c r="D637" t="s">
        <v>53</v>
      </c>
      <c r="E637" t="s">
        <v>32</v>
      </c>
      <c r="F637" t="s">
        <v>36</v>
      </c>
      <c r="G637" t="s">
        <v>100</v>
      </c>
      <c r="H637">
        <v>66.47</v>
      </c>
      <c r="I637">
        <v>14</v>
      </c>
      <c r="J637">
        <v>46.529000000000003</v>
      </c>
      <c r="K637">
        <v>930.58</v>
      </c>
      <c r="L637" s="1">
        <v>43710</v>
      </c>
      <c r="M637" s="2">
        <v>0.62569444444444444</v>
      </c>
      <c r="N637" t="s">
        <v>37</v>
      </c>
      <c r="O637">
        <v>664.7</v>
      </c>
      <c r="P637">
        <v>4.7619047620000003</v>
      </c>
      <c r="Q637">
        <v>265.88</v>
      </c>
      <c r="R637">
        <v>6</v>
      </c>
      <c r="S637">
        <v>96.089100000000002</v>
      </c>
      <c r="T637">
        <v>21.9588</v>
      </c>
    </row>
    <row r="638" spans="1:20" x14ac:dyDescent="0.3">
      <c r="A638" t="s">
        <v>1055</v>
      </c>
      <c r="B638" t="s">
        <v>21</v>
      </c>
      <c r="C638" t="s">
        <v>150</v>
      </c>
      <c r="D638" t="s">
        <v>23</v>
      </c>
      <c r="E638" t="s">
        <v>32</v>
      </c>
      <c r="F638" t="s">
        <v>36</v>
      </c>
      <c r="G638" t="s">
        <v>100</v>
      </c>
      <c r="H638">
        <v>28.95</v>
      </c>
      <c r="I638">
        <v>7</v>
      </c>
      <c r="J638">
        <v>10.1325</v>
      </c>
      <c r="K638">
        <v>202.65</v>
      </c>
      <c r="L638" s="1">
        <v>43605</v>
      </c>
      <c r="M638" s="2">
        <v>0.85486111111111107</v>
      </c>
      <c r="N638" t="s">
        <v>37</v>
      </c>
      <c r="O638">
        <v>202.65</v>
      </c>
      <c r="P638">
        <v>4.7619047620000003</v>
      </c>
      <c r="Q638">
        <v>0</v>
      </c>
      <c r="R638">
        <v>6</v>
      </c>
      <c r="S638">
        <v>96.173500000000004</v>
      </c>
      <c r="T638">
        <v>16.840900000000001</v>
      </c>
    </row>
    <row r="639" spans="1:20" x14ac:dyDescent="0.3">
      <c r="A639" t="s">
        <v>1056</v>
      </c>
      <c r="B639" t="s">
        <v>29</v>
      </c>
      <c r="C639" t="s">
        <v>1057</v>
      </c>
      <c r="D639" t="s">
        <v>31</v>
      </c>
      <c r="E639" t="s">
        <v>32</v>
      </c>
      <c r="F639" t="s">
        <v>25</v>
      </c>
      <c r="G639" t="s">
        <v>100</v>
      </c>
      <c r="H639">
        <v>46.2</v>
      </c>
      <c r="I639">
        <v>1</v>
      </c>
      <c r="J639">
        <v>2.31</v>
      </c>
      <c r="K639">
        <v>46.2</v>
      </c>
      <c r="L639" s="1">
        <v>43615</v>
      </c>
      <c r="M639" s="2">
        <v>0.51111111111111107</v>
      </c>
      <c r="N639" t="s">
        <v>33</v>
      </c>
      <c r="O639">
        <v>46.2</v>
      </c>
      <c r="P639">
        <v>4.7619047620000003</v>
      </c>
      <c r="Q639">
        <v>0</v>
      </c>
      <c r="R639">
        <v>6.6150000000000002</v>
      </c>
      <c r="S639">
        <v>96.078500000000005</v>
      </c>
      <c r="T639">
        <v>19.763300000000001</v>
      </c>
    </row>
    <row r="640" spans="1:20" x14ac:dyDescent="0.3">
      <c r="A640" t="s">
        <v>1058</v>
      </c>
      <c r="B640" t="s">
        <v>51</v>
      </c>
      <c r="C640" t="s">
        <v>791</v>
      </c>
      <c r="D640" t="s">
        <v>53</v>
      </c>
      <c r="E640" t="s">
        <v>24</v>
      </c>
      <c r="F640" t="s">
        <v>25</v>
      </c>
      <c r="G640" t="s">
        <v>100</v>
      </c>
      <c r="H640">
        <v>17.63</v>
      </c>
      <c r="I640">
        <v>10</v>
      </c>
      <c r="J640">
        <v>8.8149999999999995</v>
      </c>
      <c r="K640">
        <v>176.3</v>
      </c>
      <c r="L640" s="1">
        <v>43587</v>
      </c>
      <c r="M640" s="2">
        <v>0.64375000000000004</v>
      </c>
      <c r="N640" t="s">
        <v>33</v>
      </c>
      <c r="O640">
        <v>88.15</v>
      </c>
      <c r="P640">
        <v>4.7619047620000003</v>
      </c>
      <c r="Q640">
        <v>88.15</v>
      </c>
      <c r="R640">
        <v>10</v>
      </c>
      <c r="S640">
        <v>96.089100000000002</v>
      </c>
      <c r="T640">
        <v>21.9588</v>
      </c>
    </row>
    <row r="641" spans="1:20" x14ac:dyDescent="0.3">
      <c r="A641" t="s">
        <v>1059</v>
      </c>
      <c r="B641" t="s">
        <v>51</v>
      </c>
      <c r="C641" t="s">
        <v>514</v>
      </c>
      <c r="D641" t="s">
        <v>53</v>
      </c>
      <c r="E641" t="s">
        <v>32</v>
      </c>
      <c r="F641" t="s">
        <v>36</v>
      </c>
      <c r="G641" t="s">
        <v>100</v>
      </c>
      <c r="H641">
        <v>52.42</v>
      </c>
      <c r="I641">
        <v>4</v>
      </c>
      <c r="J641">
        <v>10.484</v>
      </c>
      <c r="K641">
        <v>209.68</v>
      </c>
      <c r="L641" s="1">
        <v>43652</v>
      </c>
      <c r="M641" s="2">
        <v>0.73333333333333328</v>
      </c>
      <c r="N641" t="s">
        <v>27</v>
      </c>
      <c r="O641">
        <v>157.26</v>
      </c>
      <c r="P641">
        <v>4.7619047620000003</v>
      </c>
      <c r="Q641">
        <v>52.42</v>
      </c>
      <c r="R641">
        <v>9</v>
      </c>
      <c r="S641">
        <v>96.089100000000002</v>
      </c>
      <c r="T641">
        <v>21.9588</v>
      </c>
    </row>
    <row r="642" spans="1:20" x14ac:dyDescent="0.3">
      <c r="A642" t="s">
        <v>1060</v>
      </c>
      <c r="B642" t="s">
        <v>51</v>
      </c>
      <c r="C642" t="s">
        <v>895</v>
      </c>
      <c r="D642" t="s">
        <v>53</v>
      </c>
      <c r="E642" t="s">
        <v>24</v>
      </c>
      <c r="F642" t="s">
        <v>25</v>
      </c>
      <c r="G642" t="s">
        <v>100</v>
      </c>
      <c r="H642">
        <v>98.79</v>
      </c>
      <c r="I642">
        <v>6</v>
      </c>
      <c r="J642">
        <v>29.637</v>
      </c>
      <c r="K642">
        <v>592.74</v>
      </c>
      <c r="L642" s="1">
        <v>43579</v>
      </c>
      <c r="M642" s="2">
        <v>0.83333333333333337</v>
      </c>
      <c r="N642" t="s">
        <v>27</v>
      </c>
      <c r="O642">
        <v>296.37</v>
      </c>
      <c r="P642">
        <v>4.7619047620000003</v>
      </c>
      <c r="Q642">
        <v>296.37</v>
      </c>
      <c r="R642">
        <v>7.68</v>
      </c>
      <c r="S642">
        <v>96.089100000000002</v>
      </c>
      <c r="T642">
        <v>21.9588</v>
      </c>
    </row>
    <row r="643" spans="1:20" x14ac:dyDescent="0.3">
      <c r="A643" t="s">
        <v>1061</v>
      </c>
      <c r="B643" t="s">
        <v>29</v>
      </c>
      <c r="C643" t="s">
        <v>30</v>
      </c>
      <c r="D643" t="s">
        <v>31</v>
      </c>
      <c r="E643" t="s">
        <v>24</v>
      </c>
      <c r="F643" t="s">
        <v>25</v>
      </c>
      <c r="G643" t="s">
        <v>100</v>
      </c>
      <c r="H643">
        <v>88.55</v>
      </c>
      <c r="I643">
        <v>14</v>
      </c>
      <c r="J643">
        <v>61.984999999999999</v>
      </c>
      <c r="K643">
        <v>1239.7</v>
      </c>
      <c r="L643" s="1">
        <v>43698</v>
      </c>
      <c r="M643" s="2">
        <v>0.64513888888888893</v>
      </c>
      <c r="N643" t="s">
        <v>27</v>
      </c>
      <c r="O643">
        <v>708.4</v>
      </c>
      <c r="P643">
        <v>4.7619047620000003</v>
      </c>
      <c r="Q643">
        <v>531.29999999999995</v>
      </c>
      <c r="R643">
        <v>4.9349999999999996</v>
      </c>
      <c r="S643">
        <v>96.078500000000005</v>
      </c>
      <c r="T643">
        <v>19.763300000000001</v>
      </c>
    </row>
    <row r="644" spans="1:20" x14ac:dyDescent="0.3">
      <c r="A644" t="s">
        <v>1062</v>
      </c>
      <c r="B644" t="s">
        <v>51</v>
      </c>
      <c r="C644" t="s">
        <v>328</v>
      </c>
      <c r="D644" t="s">
        <v>53</v>
      </c>
      <c r="E644" t="s">
        <v>24</v>
      </c>
      <c r="F644" t="s">
        <v>36</v>
      </c>
      <c r="G644" t="s">
        <v>100</v>
      </c>
      <c r="H644">
        <v>55.67</v>
      </c>
      <c r="I644">
        <v>4</v>
      </c>
      <c r="J644">
        <v>11.134</v>
      </c>
      <c r="K644">
        <v>222.68</v>
      </c>
      <c r="L644" s="1">
        <v>43724</v>
      </c>
      <c r="M644" s="2">
        <v>0.63055555555555554</v>
      </c>
      <c r="N644" t="s">
        <v>27</v>
      </c>
      <c r="O644">
        <v>111.34</v>
      </c>
      <c r="P644">
        <v>4.7619047620000003</v>
      </c>
      <c r="Q644">
        <v>111.34</v>
      </c>
      <c r="R644">
        <v>7.2</v>
      </c>
      <c r="S644">
        <v>96.089100000000002</v>
      </c>
      <c r="T644">
        <v>21.9588</v>
      </c>
    </row>
    <row r="645" spans="1:20" x14ac:dyDescent="0.3">
      <c r="A645" t="s">
        <v>1063</v>
      </c>
      <c r="B645" t="s">
        <v>29</v>
      </c>
      <c r="C645" t="s">
        <v>1064</v>
      </c>
      <c r="D645" t="s">
        <v>31</v>
      </c>
      <c r="E645" t="s">
        <v>24</v>
      </c>
      <c r="F645" t="s">
        <v>25</v>
      </c>
      <c r="G645" t="s">
        <v>100</v>
      </c>
      <c r="H645">
        <v>72.52</v>
      </c>
      <c r="I645">
        <v>14</v>
      </c>
      <c r="J645">
        <v>50.764000000000003</v>
      </c>
      <c r="K645">
        <v>1015.28</v>
      </c>
      <c r="L645" s="1">
        <v>43780</v>
      </c>
      <c r="M645" s="2">
        <v>0.80972222222222223</v>
      </c>
      <c r="N645" t="s">
        <v>37</v>
      </c>
      <c r="O645">
        <v>580.16</v>
      </c>
      <c r="P645">
        <v>4.7619047620000003</v>
      </c>
      <c r="Q645">
        <v>435.12</v>
      </c>
      <c r="R645">
        <v>4.2</v>
      </c>
      <c r="S645">
        <v>96.078500000000005</v>
      </c>
      <c r="T645">
        <v>19.763300000000001</v>
      </c>
    </row>
    <row r="646" spans="1:20" x14ac:dyDescent="0.3">
      <c r="A646" t="s">
        <v>1065</v>
      </c>
      <c r="B646" t="s">
        <v>29</v>
      </c>
      <c r="C646" t="s">
        <v>248</v>
      </c>
      <c r="D646" t="s">
        <v>31</v>
      </c>
      <c r="E646" t="s">
        <v>24</v>
      </c>
      <c r="F646" t="s">
        <v>36</v>
      </c>
      <c r="G646" t="s">
        <v>60</v>
      </c>
      <c r="H646">
        <v>12.05</v>
      </c>
      <c r="I646">
        <v>8</v>
      </c>
      <c r="J646">
        <v>4.82</v>
      </c>
      <c r="K646">
        <v>96.4</v>
      </c>
      <c r="L646" s="1">
        <v>43599</v>
      </c>
      <c r="M646" s="2">
        <v>0.66180555555555554</v>
      </c>
      <c r="N646" t="s">
        <v>27</v>
      </c>
      <c r="O646">
        <v>60.25</v>
      </c>
      <c r="P646">
        <v>4.7619047620000003</v>
      </c>
      <c r="Q646">
        <v>36.15</v>
      </c>
      <c r="R646">
        <v>5.7750000000000004</v>
      </c>
      <c r="S646">
        <v>96.078500000000005</v>
      </c>
      <c r="T646">
        <v>19.763300000000001</v>
      </c>
    </row>
    <row r="647" spans="1:20" x14ac:dyDescent="0.3">
      <c r="A647" t="s">
        <v>1066</v>
      </c>
      <c r="B647" t="s">
        <v>21</v>
      </c>
      <c r="C647" t="s">
        <v>512</v>
      </c>
      <c r="D647" t="s">
        <v>23</v>
      </c>
      <c r="E647" t="s">
        <v>24</v>
      </c>
      <c r="F647" t="s">
        <v>36</v>
      </c>
      <c r="G647" t="s">
        <v>77</v>
      </c>
      <c r="H647">
        <v>19.36</v>
      </c>
      <c r="I647">
        <v>13</v>
      </c>
      <c r="J647">
        <v>12.584</v>
      </c>
      <c r="K647">
        <v>251.68</v>
      </c>
      <c r="L647" s="1">
        <v>43707</v>
      </c>
      <c r="M647" s="2">
        <v>0.77986111111111112</v>
      </c>
      <c r="N647" t="s">
        <v>27</v>
      </c>
      <c r="O647">
        <v>174.24</v>
      </c>
      <c r="P647">
        <v>4.7619047620000003</v>
      </c>
      <c r="Q647">
        <v>77.44</v>
      </c>
      <c r="R647">
        <v>8.6999999999999993</v>
      </c>
      <c r="S647">
        <v>96.173500000000004</v>
      </c>
      <c r="T647">
        <v>16.840900000000001</v>
      </c>
    </row>
    <row r="648" spans="1:20" x14ac:dyDescent="0.3">
      <c r="A648" t="s">
        <v>1067</v>
      </c>
      <c r="B648" t="s">
        <v>29</v>
      </c>
      <c r="C648" t="s">
        <v>254</v>
      </c>
      <c r="D648" t="s">
        <v>31</v>
      </c>
      <c r="E648" t="s">
        <v>32</v>
      </c>
      <c r="F648" t="s">
        <v>36</v>
      </c>
      <c r="G648" t="s">
        <v>26</v>
      </c>
      <c r="H648">
        <v>70.209999999999994</v>
      </c>
      <c r="I648">
        <v>7</v>
      </c>
      <c r="J648">
        <v>24.573499999999999</v>
      </c>
      <c r="K648">
        <v>491.47</v>
      </c>
      <c r="L648" s="1">
        <v>43717</v>
      </c>
      <c r="M648" s="2">
        <v>0.62361111111111112</v>
      </c>
      <c r="N648" t="s">
        <v>33</v>
      </c>
      <c r="O648">
        <v>421.26</v>
      </c>
      <c r="P648">
        <v>4.7619047620000003</v>
      </c>
      <c r="Q648">
        <v>70.209999999999994</v>
      </c>
      <c r="R648">
        <v>7.77</v>
      </c>
      <c r="S648">
        <v>96.078500000000005</v>
      </c>
      <c r="T648">
        <v>19.763300000000001</v>
      </c>
    </row>
    <row r="649" spans="1:20" x14ac:dyDescent="0.3">
      <c r="A649" t="s">
        <v>1068</v>
      </c>
      <c r="B649" t="s">
        <v>51</v>
      </c>
      <c r="C649" t="s">
        <v>469</v>
      </c>
      <c r="D649" t="s">
        <v>53</v>
      </c>
      <c r="E649" t="s">
        <v>24</v>
      </c>
      <c r="F649" t="s">
        <v>36</v>
      </c>
      <c r="G649" t="s">
        <v>100</v>
      </c>
      <c r="H649">
        <v>33.630000000000003</v>
      </c>
      <c r="I649">
        <v>1</v>
      </c>
      <c r="J649">
        <v>1.6815</v>
      </c>
      <c r="K649">
        <v>33.630000000000003</v>
      </c>
      <c r="L649" s="1">
        <v>43514</v>
      </c>
      <c r="M649" s="2">
        <v>0.82986111111111116</v>
      </c>
      <c r="N649" t="s">
        <v>33</v>
      </c>
      <c r="O649">
        <v>33.630000000000003</v>
      </c>
      <c r="P649">
        <v>4.7619047620000003</v>
      </c>
      <c r="Q649">
        <v>0</v>
      </c>
      <c r="R649">
        <v>6.72</v>
      </c>
      <c r="S649">
        <v>96.089100000000002</v>
      </c>
      <c r="T649">
        <v>21.9588</v>
      </c>
    </row>
    <row r="650" spans="1:20" x14ac:dyDescent="0.3">
      <c r="A650" t="s">
        <v>1069</v>
      </c>
      <c r="B650" t="s">
        <v>29</v>
      </c>
      <c r="C650" t="s">
        <v>675</v>
      </c>
      <c r="D650" t="s">
        <v>31</v>
      </c>
      <c r="E650" t="s">
        <v>24</v>
      </c>
      <c r="F650" t="s">
        <v>25</v>
      </c>
      <c r="G650" t="s">
        <v>68</v>
      </c>
      <c r="H650">
        <v>15.49</v>
      </c>
      <c r="I650">
        <v>3</v>
      </c>
      <c r="J650">
        <v>2.3235000000000001</v>
      </c>
      <c r="K650">
        <v>46.47</v>
      </c>
      <c r="L650" s="1">
        <v>43788</v>
      </c>
      <c r="M650" s="2">
        <v>0.63194444444444442</v>
      </c>
      <c r="N650" t="s">
        <v>33</v>
      </c>
      <c r="O650">
        <v>30.98</v>
      </c>
      <c r="P650">
        <v>4.7619047620000003</v>
      </c>
      <c r="Q650">
        <v>15.49</v>
      </c>
      <c r="R650">
        <v>6.6150000000000002</v>
      </c>
      <c r="S650">
        <v>96.078500000000005</v>
      </c>
      <c r="T650">
        <v>19.763300000000001</v>
      </c>
    </row>
    <row r="651" spans="1:20" x14ac:dyDescent="0.3">
      <c r="A651" t="s">
        <v>1070</v>
      </c>
      <c r="B651" t="s">
        <v>29</v>
      </c>
      <c r="C651" t="s">
        <v>1071</v>
      </c>
      <c r="D651" t="s">
        <v>31</v>
      </c>
      <c r="E651" t="s">
        <v>32</v>
      </c>
      <c r="F651" t="s">
        <v>36</v>
      </c>
      <c r="G651" t="s">
        <v>60</v>
      </c>
      <c r="H651">
        <v>24.74</v>
      </c>
      <c r="I651">
        <v>12</v>
      </c>
      <c r="J651">
        <v>14.843999999999999</v>
      </c>
      <c r="K651">
        <v>296.88</v>
      </c>
      <c r="L651" s="1">
        <v>43590</v>
      </c>
      <c r="M651" s="2">
        <v>0.69722222222222219</v>
      </c>
      <c r="N651" t="s">
        <v>33</v>
      </c>
      <c r="O651">
        <v>247.4</v>
      </c>
      <c r="P651">
        <v>4.7619047620000003</v>
      </c>
      <c r="Q651">
        <v>49.48</v>
      </c>
      <c r="R651">
        <v>7.4550000000000001</v>
      </c>
      <c r="S651">
        <v>96.078500000000005</v>
      </c>
      <c r="T651">
        <v>19.763300000000001</v>
      </c>
    </row>
    <row r="652" spans="1:20" x14ac:dyDescent="0.3">
      <c r="A652" t="s">
        <v>1072</v>
      </c>
      <c r="B652" t="s">
        <v>51</v>
      </c>
      <c r="C652" t="s">
        <v>454</v>
      </c>
      <c r="D652" t="s">
        <v>53</v>
      </c>
      <c r="E652" t="s">
        <v>32</v>
      </c>
      <c r="F652" t="s">
        <v>36</v>
      </c>
      <c r="G652" t="s">
        <v>60</v>
      </c>
      <c r="H652">
        <v>75.66</v>
      </c>
      <c r="I652">
        <v>7</v>
      </c>
      <c r="J652">
        <v>26.481000000000002</v>
      </c>
      <c r="K652">
        <v>529.62</v>
      </c>
      <c r="L652" s="1">
        <v>43521</v>
      </c>
      <c r="M652" s="2">
        <v>0.76527777777777772</v>
      </c>
      <c r="N652" t="s">
        <v>27</v>
      </c>
      <c r="O652">
        <v>378.3</v>
      </c>
      <c r="P652">
        <v>4.7619047620000003</v>
      </c>
      <c r="Q652">
        <v>151.32</v>
      </c>
      <c r="R652">
        <v>9.36</v>
      </c>
      <c r="S652">
        <v>96.089100000000002</v>
      </c>
      <c r="T652">
        <v>21.9588</v>
      </c>
    </row>
    <row r="653" spans="1:20" x14ac:dyDescent="0.3">
      <c r="A653" t="s">
        <v>1073</v>
      </c>
      <c r="B653" t="s">
        <v>51</v>
      </c>
      <c r="C653" t="s">
        <v>830</v>
      </c>
      <c r="D653" t="s">
        <v>53</v>
      </c>
      <c r="E653" t="s">
        <v>32</v>
      </c>
      <c r="F653" t="s">
        <v>25</v>
      </c>
      <c r="G653" t="s">
        <v>26</v>
      </c>
      <c r="H653">
        <v>55.81</v>
      </c>
      <c r="I653">
        <v>8</v>
      </c>
      <c r="J653">
        <v>22.324000000000002</v>
      </c>
      <c r="K653">
        <v>446.48</v>
      </c>
      <c r="L653" s="1">
        <v>43695</v>
      </c>
      <c r="M653" s="2">
        <v>0.49444444444444446</v>
      </c>
      <c r="N653" t="s">
        <v>33</v>
      </c>
      <c r="O653">
        <v>334.86</v>
      </c>
      <c r="P653">
        <v>4.7619047620000003</v>
      </c>
      <c r="Q653">
        <v>111.62</v>
      </c>
      <c r="R653">
        <v>10</v>
      </c>
      <c r="S653">
        <v>96.089100000000002</v>
      </c>
      <c r="T653">
        <v>21.9588</v>
      </c>
    </row>
    <row r="654" spans="1:20" x14ac:dyDescent="0.3">
      <c r="A654" t="s">
        <v>1074</v>
      </c>
      <c r="B654" t="s">
        <v>21</v>
      </c>
      <c r="C654" t="s">
        <v>35</v>
      </c>
      <c r="D654" t="s">
        <v>23</v>
      </c>
      <c r="E654" t="s">
        <v>24</v>
      </c>
      <c r="F654" t="s">
        <v>36</v>
      </c>
      <c r="G654" t="s">
        <v>77</v>
      </c>
      <c r="H654">
        <v>72.78</v>
      </c>
      <c r="I654">
        <v>14</v>
      </c>
      <c r="J654">
        <v>50.945999999999998</v>
      </c>
      <c r="K654">
        <v>1018.92</v>
      </c>
      <c r="L654" s="1">
        <v>43531</v>
      </c>
      <c r="M654" s="2">
        <v>0.72499999999999998</v>
      </c>
      <c r="N654" t="s">
        <v>33</v>
      </c>
      <c r="O654">
        <v>727.8</v>
      </c>
      <c r="P654">
        <v>4.7619047620000003</v>
      </c>
      <c r="Q654">
        <v>291.12</v>
      </c>
      <c r="R654">
        <v>7.3</v>
      </c>
      <c r="S654">
        <v>96.173500000000004</v>
      </c>
      <c r="T654">
        <v>16.840900000000001</v>
      </c>
    </row>
    <row r="655" spans="1:20" x14ac:dyDescent="0.3">
      <c r="A655" t="s">
        <v>1075</v>
      </c>
      <c r="B655" t="s">
        <v>51</v>
      </c>
      <c r="C655" t="s">
        <v>948</v>
      </c>
      <c r="D655" t="s">
        <v>53</v>
      </c>
      <c r="E655" t="s">
        <v>24</v>
      </c>
      <c r="F655" t="s">
        <v>36</v>
      </c>
      <c r="G655" t="s">
        <v>68</v>
      </c>
      <c r="H655">
        <v>37.32</v>
      </c>
      <c r="I655">
        <v>18</v>
      </c>
      <c r="J655">
        <v>33.588000000000001</v>
      </c>
      <c r="K655">
        <v>671.76</v>
      </c>
      <c r="L655" s="1">
        <v>43643</v>
      </c>
      <c r="M655" s="2">
        <v>0.64652777777777781</v>
      </c>
      <c r="N655" t="s">
        <v>27</v>
      </c>
      <c r="O655">
        <v>335.88</v>
      </c>
      <c r="P655">
        <v>4.7619047620000003</v>
      </c>
      <c r="Q655">
        <v>335.88</v>
      </c>
      <c r="R655">
        <v>6.12</v>
      </c>
      <c r="S655">
        <v>96.089100000000002</v>
      </c>
      <c r="T655">
        <v>21.9588</v>
      </c>
    </row>
    <row r="656" spans="1:20" x14ac:dyDescent="0.3">
      <c r="A656" t="s">
        <v>1076</v>
      </c>
      <c r="B656" t="s">
        <v>51</v>
      </c>
      <c r="C656" t="s">
        <v>250</v>
      </c>
      <c r="D656" t="s">
        <v>53</v>
      </c>
      <c r="E656" t="s">
        <v>24</v>
      </c>
      <c r="F656" t="s">
        <v>36</v>
      </c>
      <c r="G656" t="s">
        <v>100</v>
      </c>
      <c r="H656">
        <v>60.18</v>
      </c>
      <c r="I656">
        <v>8</v>
      </c>
      <c r="J656">
        <v>24.071999999999999</v>
      </c>
      <c r="K656">
        <v>481.44</v>
      </c>
      <c r="L656" s="1">
        <v>43772</v>
      </c>
      <c r="M656" s="2">
        <v>0.75277777777777777</v>
      </c>
      <c r="N656" t="s">
        <v>37</v>
      </c>
      <c r="O656">
        <v>240.72</v>
      </c>
      <c r="P656">
        <v>4.7619047620000003</v>
      </c>
      <c r="Q656">
        <v>240.72</v>
      </c>
      <c r="R656">
        <v>10</v>
      </c>
      <c r="S656">
        <v>96.089100000000002</v>
      </c>
      <c r="T656">
        <v>21.9588</v>
      </c>
    </row>
    <row r="657" spans="1:20" x14ac:dyDescent="0.3">
      <c r="A657" t="s">
        <v>1077</v>
      </c>
      <c r="B657" t="s">
        <v>21</v>
      </c>
      <c r="C657" t="s">
        <v>1078</v>
      </c>
      <c r="D657" t="s">
        <v>23</v>
      </c>
      <c r="E657" t="s">
        <v>32</v>
      </c>
      <c r="F657" t="s">
        <v>25</v>
      </c>
      <c r="G657" t="s">
        <v>68</v>
      </c>
      <c r="H657">
        <v>15.69</v>
      </c>
      <c r="I657">
        <v>3</v>
      </c>
      <c r="J657">
        <v>2.3534999999999999</v>
      </c>
      <c r="K657">
        <v>47.07</v>
      </c>
      <c r="L657" s="1">
        <v>43584</v>
      </c>
      <c r="M657" s="2">
        <v>0.59236111111111112</v>
      </c>
      <c r="N657" t="s">
        <v>37</v>
      </c>
      <c r="O657">
        <v>47.07</v>
      </c>
      <c r="P657">
        <v>4.7619047620000003</v>
      </c>
      <c r="Q657">
        <v>0</v>
      </c>
      <c r="R657">
        <v>5.8</v>
      </c>
      <c r="S657">
        <v>96.173500000000004</v>
      </c>
      <c r="T657">
        <v>16.840900000000001</v>
      </c>
    </row>
    <row r="658" spans="1:20" x14ac:dyDescent="0.3">
      <c r="A658" t="s">
        <v>1079</v>
      </c>
      <c r="B658" t="s">
        <v>29</v>
      </c>
      <c r="C658" t="s">
        <v>524</v>
      </c>
      <c r="D658" t="s">
        <v>31</v>
      </c>
      <c r="E658" t="s">
        <v>32</v>
      </c>
      <c r="F658" t="s">
        <v>25</v>
      </c>
      <c r="G658" t="s">
        <v>68</v>
      </c>
      <c r="H658">
        <v>99.69</v>
      </c>
      <c r="I658">
        <v>1</v>
      </c>
      <c r="J658">
        <v>4.9844999999999997</v>
      </c>
      <c r="K658">
        <v>99.69</v>
      </c>
      <c r="L658" s="1">
        <v>43681</v>
      </c>
      <c r="M658" s="2">
        <v>0.43263888888888891</v>
      </c>
      <c r="N658" t="s">
        <v>37</v>
      </c>
      <c r="O658">
        <v>99.69</v>
      </c>
      <c r="P658">
        <v>4.7619047620000003</v>
      </c>
      <c r="Q658">
        <v>0</v>
      </c>
      <c r="R658">
        <v>8.4</v>
      </c>
      <c r="S658">
        <v>96.078500000000005</v>
      </c>
      <c r="T658">
        <v>19.763300000000001</v>
      </c>
    </row>
    <row r="659" spans="1:20" x14ac:dyDescent="0.3">
      <c r="A659" t="s">
        <v>1080</v>
      </c>
      <c r="B659" t="s">
        <v>21</v>
      </c>
      <c r="C659" t="s">
        <v>1081</v>
      </c>
      <c r="D659" t="s">
        <v>23</v>
      </c>
      <c r="E659" t="s">
        <v>24</v>
      </c>
      <c r="F659" t="s">
        <v>25</v>
      </c>
      <c r="G659" t="s">
        <v>68</v>
      </c>
      <c r="H659">
        <v>88.15</v>
      </c>
      <c r="I659">
        <v>4</v>
      </c>
      <c r="J659">
        <v>17.63</v>
      </c>
      <c r="K659">
        <v>352.6</v>
      </c>
      <c r="L659" s="1">
        <v>43498</v>
      </c>
      <c r="M659" s="2">
        <v>0.42430555555555555</v>
      </c>
      <c r="N659" t="s">
        <v>27</v>
      </c>
      <c r="O659">
        <v>264.45</v>
      </c>
      <c r="P659">
        <v>4.7619047620000003</v>
      </c>
      <c r="Q659">
        <v>88.15</v>
      </c>
      <c r="R659">
        <v>7.9</v>
      </c>
      <c r="S659">
        <v>96.173500000000004</v>
      </c>
      <c r="T659">
        <v>16.840900000000001</v>
      </c>
    </row>
    <row r="660" spans="1:20" x14ac:dyDescent="0.3">
      <c r="A660" t="s">
        <v>1082</v>
      </c>
      <c r="B660" t="s">
        <v>21</v>
      </c>
      <c r="C660" t="s">
        <v>337</v>
      </c>
      <c r="D660" t="s">
        <v>23</v>
      </c>
      <c r="E660" t="s">
        <v>24</v>
      </c>
      <c r="F660" t="s">
        <v>25</v>
      </c>
      <c r="G660" t="s">
        <v>68</v>
      </c>
      <c r="H660">
        <v>27.93</v>
      </c>
      <c r="I660">
        <v>7</v>
      </c>
      <c r="J660">
        <v>9.7754999999999992</v>
      </c>
      <c r="K660">
        <v>195.51</v>
      </c>
      <c r="L660" s="1">
        <v>43626</v>
      </c>
      <c r="M660" s="2">
        <v>0.65833333333333333</v>
      </c>
      <c r="N660" t="s">
        <v>33</v>
      </c>
      <c r="O660">
        <v>139.65</v>
      </c>
      <c r="P660">
        <v>4.7619047620000003</v>
      </c>
      <c r="Q660">
        <v>55.86</v>
      </c>
      <c r="R660">
        <v>5.9</v>
      </c>
      <c r="S660">
        <v>96.173500000000004</v>
      </c>
      <c r="T660">
        <v>16.840900000000001</v>
      </c>
    </row>
    <row r="661" spans="1:20" x14ac:dyDescent="0.3">
      <c r="A661" t="s">
        <v>1083</v>
      </c>
      <c r="B661" t="s">
        <v>21</v>
      </c>
      <c r="C661" t="s">
        <v>1084</v>
      </c>
      <c r="D661" t="s">
        <v>23</v>
      </c>
      <c r="E661" t="s">
        <v>24</v>
      </c>
      <c r="F661" t="s">
        <v>36</v>
      </c>
      <c r="G661" t="s">
        <v>100</v>
      </c>
      <c r="H661">
        <v>55.45</v>
      </c>
      <c r="I661">
        <v>1</v>
      </c>
      <c r="J661">
        <v>2.7725</v>
      </c>
      <c r="K661">
        <v>55.45</v>
      </c>
      <c r="L661" s="1">
        <v>43664</v>
      </c>
      <c r="M661" s="2">
        <v>0.74027777777777781</v>
      </c>
      <c r="N661" t="s">
        <v>37</v>
      </c>
      <c r="O661">
        <v>55.45</v>
      </c>
      <c r="P661">
        <v>4.7619047620000003</v>
      </c>
      <c r="Q661">
        <v>0</v>
      </c>
      <c r="R661">
        <v>4.9000000000000004</v>
      </c>
      <c r="S661">
        <v>96.173500000000004</v>
      </c>
      <c r="T661">
        <v>16.840900000000001</v>
      </c>
    </row>
    <row r="662" spans="1:20" x14ac:dyDescent="0.3">
      <c r="A662" t="s">
        <v>1085</v>
      </c>
      <c r="B662" t="s">
        <v>21</v>
      </c>
      <c r="C662" t="s">
        <v>99</v>
      </c>
      <c r="D662" t="s">
        <v>53</v>
      </c>
      <c r="E662" t="s">
        <v>32</v>
      </c>
      <c r="F662" t="s">
        <v>25</v>
      </c>
      <c r="G662" t="s">
        <v>68</v>
      </c>
      <c r="H662">
        <v>42.97</v>
      </c>
      <c r="I662">
        <v>4</v>
      </c>
      <c r="J662">
        <v>8.5939999999999994</v>
      </c>
      <c r="K662">
        <v>171.88</v>
      </c>
      <c r="L662" s="1">
        <v>43587</v>
      </c>
      <c r="M662" s="2">
        <v>0.49027777777777776</v>
      </c>
      <c r="N662" t="s">
        <v>33</v>
      </c>
      <c r="O662">
        <v>128.91</v>
      </c>
      <c r="P662">
        <v>4.7619047620000003</v>
      </c>
      <c r="Q662">
        <v>42.97</v>
      </c>
      <c r="R662">
        <v>10</v>
      </c>
      <c r="S662">
        <v>96.089100000000002</v>
      </c>
      <c r="T662">
        <v>21.9588</v>
      </c>
    </row>
    <row r="663" spans="1:20" x14ac:dyDescent="0.3">
      <c r="A663" t="s">
        <v>1086</v>
      </c>
      <c r="B663" t="s">
        <v>21</v>
      </c>
      <c r="C663" t="s">
        <v>868</v>
      </c>
      <c r="D663" t="s">
        <v>31</v>
      </c>
      <c r="E663" t="s">
        <v>24</v>
      </c>
      <c r="F663" t="s">
        <v>36</v>
      </c>
      <c r="G663" t="s">
        <v>68</v>
      </c>
      <c r="H663">
        <v>17.14</v>
      </c>
      <c r="I663">
        <v>11</v>
      </c>
      <c r="J663">
        <v>9.4269999999999996</v>
      </c>
      <c r="K663">
        <v>188.54</v>
      </c>
      <c r="L663" s="1">
        <v>43605</v>
      </c>
      <c r="M663" s="2">
        <v>0.50486111111111109</v>
      </c>
      <c r="N663" t="s">
        <v>37</v>
      </c>
      <c r="O663">
        <v>119.98</v>
      </c>
      <c r="P663">
        <v>4.7619047620000003</v>
      </c>
      <c r="Q663">
        <v>68.56</v>
      </c>
      <c r="R663">
        <v>8.2949999999999999</v>
      </c>
      <c r="S663">
        <v>96.078500000000005</v>
      </c>
      <c r="T663">
        <v>19.763300000000001</v>
      </c>
    </row>
    <row r="664" spans="1:20" x14ac:dyDescent="0.3">
      <c r="A664" t="s">
        <v>1087</v>
      </c>
      <c r="B664" t="s">
        <v>21</v>
      </c>
      <c r="C664" t="s">
        <v>830</v>
      </c>
      <c r="D664" t="s">
        <v>53</v>
      </c>
      <c r="E664" t="s">
        <v>24</v>
      </c>
      <c r="F664" t="s">
        <v>25</v>
      </c>
      <c r="G664" t="s">
        <v>100</v>
      </c>
      <c r="H664">
        <v>58.75</v>
      </c>
      <c r="I664">
        <v>11</v>
      </c>
      <c r="J664">
        <v>32.3125</v>
      </c>
      <c r="K664">
        <v>646.25</v>
      </c>
      <c r="L664" s="1">
        <v>43510</v>
      </c>
      <c r="M664" s="2">
        <v>0.75972222222222219</v>
      </c>
      <c r="N664" t="s">
        <v>37</v>
      </c>
      <c r="O664">
        <v>352.5</v>
      </c>
      <c r="P664">
        <v>4.7619047620000003</v>
      </c>
      <c r="Q664">
        <v>293.75</v>
      </c>
      <c r="R664">
        <v>7.08</v>
      </c>
      <c r="S664">
        <v>96.089100000000002</v>
      </c>
      <c r="T664">
        <v>21.9588</v>
      </c>
    </row>
    <row r="665" spans="1:20" x14ac:dyDescent="0.3">
      <c r="A665" t="s">
        <v>1088</v>
      </c>
      <c r="B665" t="s">
        <v>29</v>
      </c>
      <c r="C665" t="s">
        <v>30</v>
      </c>
      <c r="D665" t="s">
        <v>31</v>
      </c>
      <c r="E665" t="s">
        <v>24</v>
      </c>
      <c r="F665" t="s">
        <v>25</v>
      </c>
      <c r="G665" t="s">
        <v>63</v>
      </c>
      <c r="H665">
        <v>87.1</v>
      </c>
      <c r="I665">
        <v>17</v>
      </c>
      <c r="J665">
        <v>74.034999999999997</v>
      </c>
      <c r="K665">
        <v>1480.7</v>
      </c>
      <c r="L665" s="1">
        <v>43635</v>
      </c>
      <c r="M665" s="2">
        <v>0.61458333333333337</v>
      </c>
      <c r="N665" t="s">
        <v>37</v>
      </c>
      <c r="O665">
        <v>871</v>
      </c>
      <c r="P665">
        <v>4.7619047620000003</v>
      </c>
      <c r="Q665">
        <v>609.70000000000005</v>
      </c>
      <c r="R665">
        <v>10</v>
      </c>
      <c r="S665">
        <v>96.078500000000005</v>
      </c>
      <c r="T665">
        <v>19.763300000000001</v>
      </c>
    </row>
    <row r="666" spans="1:20" x14ac:dyDescent="0.3">
      <c r="A666" t="s">
        <v>1089</v>
      </c>
      <c r="B666" t="s">
        <v>29</v>
      </c>
      <c r="C666" t="s">
        <v>1090</v>
      </c>
      <c r="D666" t="s">
        <v>31</v>
      </c>
      <c r="E666" t="s">
        <v>32</v>
      </c>
      <c r="F666" t="s">
        <v>25</v>
      </c>
      <c r="G666" t="s">
        <v>68</v>
      </c>
      <c r="H666">
        <v>98.8</v>
      </c>
      <c r="I666">
        <v>2</v>
      </c>
      <c r="J666">
        <v>9.8800000000000008</v>
      </c>
      <c r="K666">
        <v>197.6</v>
      </c>
      <c r="L666" s="1">
        <v>43531</v>
      </c>
      <c r="M666" s="2">
        <v>0.48541666666666666</v>
      </c>
      <c r="N666" t="s">
        <v>33</v>
      </c>
      <c r="O666">
        <v>197.6</v>
      </c>
      <c r="P666">
        <v>4.7619047620000003</v>
      </c>
      <c r="Q666">
        <v>0</v>
      </c>
      <c r="R666">
        <v>8.0850000000000009</v>
      </c>
      <c r="S666">
        <v>96.078500000000005</v>
      </c>
      <c r="T666">
        <v>19.763300000000001</v>
      </c>
    </row>
    <row r="667" spans="1:20" x14ac:dyDescent="0.3">
      <c r="A667" t="s">
        <v>1091</v>
      </c>
      <c r="B667" t="s">
        <v>21</v>
      </c>
      <c r="C667" t="s">
        <v>885</v>
      </c>
      <c r="D667" t="s">
        <v>23</v>
      </c>
      <c r="E667" t="s">
        <v>32</v>
      </c>
      <c r="F667" t="s">
        <v>25</v>
      </c>
      <c r="G667" t="s">
        <v>100</v>
      </c>
      <c r="H667">
        <v>48.63</v>
      </c>
      <c r="I667">
        <v>4</v>
      </c>
      <c r="J667">
        <v>9.7260000000000009</v>
      </c>
      <c r="K667">
        <v>194.52</v>
      </c>
      <c r="L667" s="1">
        <v>43559</v>
      </c>
      <c r="M667" s="2">
        <v>0.65555555555555556</v>
      </c>
      <c r="N667" t="s">
        <v>27</v>
      </c>
      <c r="O667">
        <v>194.52</v>
      </c>
      <c r="P667">
        <v>4.7619047620000003</v>
      </c>
      <c r="Q667">
        <v>0</v>
      </c>
      <c r="R667">
        <v>7.6</v>
      </c>
      <c r="S667">
        <v>96.173500000000004</v>
      </c>
      <c r="T667">
        <v>16.840900000000001</v>
      </c>
    </row>
    <row r="668" spans="1:20" x14ac:dyDescent="0.3">
      <c r="A668" t="s">
        <v>1092</v>
      </c>
      <c r="B668" t="s">
        <v>51</v>
      </c>
      <c r="C668" t="s">
        <v>123</v>
      </c>
      <c r="D668" t="s">
        <v>53</v>
      </c>
      <c r="E668" t="s">
        <v>24</v>
      </c>
      <c r="F668" t="s">
        <v>36</v>
      </c>
      <c r="G668" t="s">
        <v>63</v>
      </c>
      <c r="H668">
        <v>57.74</v>
      </c>
      <c r="I668">
        <v>6</v>
      </c>
      <c r="J668">
        <v>17.321999999999999</v>
      </c>
      <c r="K668">
        <v>346.44</v>
      </c>
      <c r="L668" s="1">
        <v>43815</v>
      </c>
      <c r="M668" s="2">
        <v>0.54583333333333328</v>
      </c>
      <c r="N668" t="s">
        <v>27</v>
      </c>
      <c r="O668">
        <v>173.22</v>
      </c>
      <c r="P668">
        <v>4.7619047620000003</v>
      </c>
      <c r="Q668">
        <v>173.22</v>
      </c>
      <c r="R668">
        <v>9.24</v>
      </c>
      <c r="S668">
        <v>96.089100000000002</v>
      </c>
      <c r="T668">
        <v>21.9588</v>
      </c>
    </row>
    <row r="669" spans="1:20" x14ac:dyDescent="0.3">
      <c r="A669" t="s">
        <v>1093</v>
      </c>
      <c r="B669" t="s">
        <v>51</v>
      </c>
      <c r="C669" t="s">
        <v>859</v>
      </c>
      <c r="D669" t="s">
        <v>53</v>
      </c>
      <c r="E669" t="s">
        <v>32</v>
      </c>
      <c r="F669" t="s">
        <v>25</v>
      </c>
      <c r="G669" t="s">
        <v>100</v>
      </c>
      <c r="H669">
        <v>17.97</v>
      </c>
      <c r="I669">
        <v>6</v>
      </c>
      <c r="J669">
        <v>5.391</v>
      </c>
      <c r="K669">
        <v>107.82</v>
      </c>
      <c r="L669" s="1">
        <v>43748</v>
      </c>
      <c r="M669" s="2">
        <v>0.86319444444444449</v>
      </c>
      <c r="N669" t="s">
        <v>27</v>
      </c>
      <c r="O669">
        <v>71.88</v>
      </c>
      <c r="P669">
        <v>4.7619047620000003</v>
      </c>
      <c r="Q669">
        <v>35.94</v>
      </c>
      <c r="R669">
        <v>7.68</v>
      </c>
      <c r="S669">
        <v>96.089100000000002</v>
      </c>
      <c r="T669">
        <v>21.9588</v>
      </c>
    </row>
    <row r="670" spans="1:20" x14ac:dyDescent="0.3">
      <c r="A670" t="s">
        <v>1094</v>
      </c>
      <c r="B670" t="s">
        <v>29</v>
      </c>
      <c r="C670" t="s">
        <v>301</v>
      </c>
      <c r="D670" t="s">
        <v>31</v>
      </c>
      <c r="E670" t="s">
        <v>24</v>
      </c>
      <c r="F670" t="s">
        <v>25</v>
      </c>
      <c r="G670" t="s">
        <v>100</v>
      </c>
      <c r="H670">
        <v>47.71</v>
      </c>
      <c r="I670">
        <v>10</v>
      </c>
      <c r="J670">
        <v>23.855</v>
      </c>
      <c r="K670">
        <v>477.1</v>
      </c>
      <c r="L670" s="1">
        <v>43588</v>
      </c>
      <c r="M670" s="2">
        <v>0.59652777777777777</v>
      </c>
      <c r="N670" t="s">
        <v>27</v>
      </c>
      <c r="O670">
        <v>286.26</v>
      </c>
      <c r="P670">
        <v>4.7619047620000003</v>
      </c>
      <c r="Q670">
        <v>190.84</v>
      </c>
      <c r="R670">
        <v>4.62</v>
      </c>
      <c r="S670">
        <v>96.078500000000005</v>
      </c>
      <c r="T670">
        <v>19.763300000000001</v>
      </c>
    </row>
    <row r="671" spans="1:20" x14ac:dyDescent="0.3">
      <c r="A671" t="s">
        <v>1095</v>
      </c>
      <c r="B671" t="s">
        <v>51</v>
      </c>
      <c r="C671" t="s">
        <v>343</v>
      </c>
      <c r="D671" t="s">
        <v>53</v>
      </c>
      <c r="E671" t="s">
        <v>32</v>
      </c>
      <c r="F671" t="s">
        <v>25</v>
      </c>
      <c r="G671" t="s">
        <v>100</v>
      </c>
      <c r="H671">
        <v>40.619999999999997</v>
      </c>
      <c r="I671">
        <v>3</v>
      </c>
      <c r="J671">
        <v>6.093</v>
      </c>
      <c r="K671">
        <v>121.86</v>
      </c>
      <c r="L671" s="1">
        <v>43568</v>
      </c>
      <c r="M671" s="2">
        <v>0.41736111111111113</v>
      </c>
      <c r="N671" t="s">
        <v>37</v>
      </c>
      <c r="O671">
        <v>81.239999999999995</v>
      </c>
      <c r="P671">
        <v>4.7619047620000003</v>
      </c>
      <c r="Q671">
        <v>40.619999999999997</v>
      </c>
      <c r="R671">
        <v>4.92</v>
      </c>
      <c r="S671">
        <v>96.089100000000002</v>
      </c>
      <c r="T671">
        <v>21.9588</v>
      </c>
    </row>
    <row r="672" spans="1:20" x14ac:dyDescent="0.3">
      <c r="A672" t="s">
        <v>1096</v>
      </c>
      <c r="B672" t="s">
        <v>21</v>
      </c>
      <c r="C672" t="s">
        <v>1081</v>
      </c>
      <c r="D672" t="s">
        <v>23</v>
      </c>
      <c r="E672" t="s">
        <v>24</v>
      </c>
      <c r="F672" t="s">
        <v>36</v>
      </c>
      <c r="G672" t="s">
        <v>100</v>
      </c>
      <c r="H672">
        <v>56.04</v>
      </c>
      <c r="I672">
        <v>14</v>
      </c>
      <c r="J672">
        <v>39.228000000000002</v>
      </c>
      <c r="K672">
        <v>784.56</v>
      </c>
      <c r="L672" s="1">
        <v>43807</v>
      </c>
      <c r="M672" s="2">
        <v>0.8125</v>
      </c>
      <c r="N672" t="s">
        <v>27</v>
      </c>
      <c r="O672">
        <v>560.4</v>
      </c>
      <c r="P672">
        <v>4.7619047620000003</v>
      </c>
      <c r="Q672">
        <v>224.16</v>
      </c>
      <c r="R672">
        <v>4.4000000000000004</v>
      </c>
      <c r="S672">
        <v>96.173500000000004</v>
      </c>
      <c r="T672">
        <v>16.840900000000001</v>
      </c>
    </row>
    <row r="673" spans="1:20" x14ac:dyDescent="0.3">
      <c r="A673" t="s">
        <v>1097</v>
      </c>
      <c r="B673" t="s">
        <v>51</v>
      </c>
      <c r="C673" t="s">
        <v>805</v>
      </c>
      <c r="D673" t="s">
        <v>53</v>
      </c>
      <c r="E673" t="s">
        <v>24</v>
      </c>
      <c r="F673" t="s">
        <v>36</v>
      </c>
      <c r="G673" t="s">
        <v>100</v>
      </c>
      <c r="H673">
        <v>93.4</v>
      </c>
      <c r="I673">
        <v>4</v>
      </c>
      <c r="J673">
        <v>18.68</v>
      </c>
      <c r="K673">
        <v>373.6</v>
      </c>
      <c r="L673" s="1">
        <v>43758</v>
      </c>
      <c r="M673" s="2">
        <v>0.69027777777777777</v>
      </c>
      <c r="N673" t="s">
        <v>33</v>
      </c>
      <c r="O673">
        <v>186.8</v>
      </c>
      <c r="P673">
        <v>4.7619047620000003</v>
      </c>
      <c r="Q673">
        <v>186.8</v>
      </c>
      <c r="R673">
        <v>6.6</v>
      </c>
      <c r="S673">
        <v>96.089100000000002</v>
      </c>
      <c r="T673">
        <v>21.9588</v>
      </c>
    </row>
    <row r="674" spans="1:20" x14ac:dyDescent="0.3">
      <c r="A674" t="s">
        <v>1098</v>
      </c>
      <c r="B674" t="s">
        <v>51</v>
      </c>
      <c r="C674" t="s">
        <v>498</v>
      </c>
      <c r="D674" t="s">
        <v>53</v>
      </c>
      <c r="E674" t="s">
        <v>32</v>
      </c>
      <c r="F674" t="s">
        <v>25</v>
      </c>
      <c r="G674" t="s">
        <v>100</v>
      </c>
      <c r="H674">
        <v>73.41</v>
      </c>
      <c r="I674">
        <v>4</v>
      </c>
      <c r="J674">
        <v>14.682</v>
      </c>
      <c r="K674">
        <v>293.64</v>
      </c>
      <c r="L674" s="1">
        <v>43537</v>
      </c>
      <c r="M674" s="2">
        <v>0.54861111111111116</v>
      </c>
      <c r="N674" t="s">
        <v>27</v>
      </c>
      <c r="O674">
        <v>220.23</v>
      </c>
      <c r="P674">
        <v>4.7619047620000003</v>
      </c>
      <c r="Q674">
        <v>73.41</v>
      </c>
      <c r="R674">
        <v>4.8</v>
      </c>
      <c r="S674">
        <v>96.089100000000002</v>
      </c>
      <c r="T674">
        <v>21.9588</v>
      </c>
    </row>
    <row r="675" spans="1:20" x14ac:dyDescent="0.3">
      <c r="A675" t="s">
        <v>1099</v>
      </c>
      <c r="B675" t="s">
        <v>29</v>
      </c>
      <c r="C675" t="s">
        <v>506</v>
      </c>
      <c r="D675" t="s">
        <v>31</v>
      </c>
      <c r="E675" t="s">
        <v>32</v>
      </c>
      <c r="F675" t="s">
        <v>36</v>
      </c>
      <c r="G675" t="s">
        <v>26</v>
      </c>
      <c r="H675">
        <v>33.64</v>
      </c>
      <c r="I675">
        <v>10</v>
      </c>
      <c r="J675">
        <v>16.82</v>
      </c>
      <c r="K675">
        <v>336.4</v>
      </c>
      <c r="L675" s="1">
        <v>43511</v>
      </c>
      <c r="M675" s="2">
        <v>0.71527777777777779</v>
      </c>
      <c r="N675" t="s">
        <v>37</v>
      </c>
      <c r="O675">
        <v>269.12</v>
      </c>
      <c r="P675">
        <v>4.7619047620000003</v>
      </c>
      <c r="Q675">
        <v>67.28</v>
      </c>
      <c r="R675">
        <v>9.7650000000000006</v>
      </c>
      <c r="S675">
        <v>96.078500000000005</v>
      </c>
      <c r="T675">
        <v>19.763300000000001</v>
      </c>
    </row>
    <row r="676" spans="1:20" x14ac:dyDescent="0.3">
      <c r="A676" t="s">
        <v>1100</v>
      </c>
      <c r="B676" t="s">
        <v>21</v>
      </c>
      <c r="C676" t="s">
        <v>1101</v>
      </c>
      <c r="D676" t="s">
        <v>23</v>
      </c>
      <c r="E676" t="s">
        <v>32</v>
      </c>
      <c r="F676" t="s">
        <v>25</v>
      </c>
      <c r="G676" t="s">
        <v>60</v>
      </c>
      <c r="H676">
        <v>45.48</v>
      </c>
      <c r="I676">
        <v>10</v>
      </c>
      <c r="J676">
        <v>22.74</v>
      </c>
      <c r="K676">
        <v>454.8</v>
      </c>
      <c r="L676" s="1">
        <v>43730</v>
      </c>
      <c r="M676" s="2">
        <v>0.43194444444444446</v>
      </c>
      <c r="N676" t="s">
        <v>37</v>
      </c>
      <c r="O676">
        <v>454.8</v>
      </c>
      <c r="P676">
        <v>4.7619047620000003</v>
      </c>
      <c r="Q676">
        <v>0</v>
      </c>
      <c r="R676">
        <v>4.8</v>
      </c>
      <c r="S676">
        <v>96.173500000000004</v>
      </c>
      <c r="T676">
        <v>16.840900000000001</v>
      </c>
    </row>
    <row r="677" spans="1:20" x14ac:dyDescent="0.3">
      <c r="A677" t="s">
        <v>1102</v>
      </c>
      <c r="B677" t="s">
        <v>51</v>
      </c>
      <c r="C677" t="s">
        <v>636</v>
      </c>
      <c r="D677" t="s">
        <v>53</v>
      </c>
      <c r="E677" t="s">
        <v>24</v>
      </c>
      <c r="F677" t="s">
        <v>36</v>
      </c>
      <c r="G677" t="s">
        <v>100</v>
      </c>
      <c r="H677">
        <v>83.77</v>
      </c>
      <c r="I677">
        <v>4</v>
      </c>
      <c r="J677">
        <v>16.754000000000001</v>
      </c>
      <c r="K677">
        <v>335.08</v>
      </c>
      <c r="L677" s="1">
        <v>43494</v>
      </c>
      <c r="M677" s="2">
        <v>0.83125000000000004</v>
      </c>
      <c r="N677" t="s">
        <v>33</v>
      </c>
      <c r="O677">
        <v>167.54</v>
      </c>
      <c r="P677">
        <v>4.7619047620000003</v>
      </c>
      <c r="Q677">
        <v>167.54</v>
      </c>
      <c r="R677">
        <v>7.46</v>
      </c>
      <c r="S677">
        <v>96.089100000000002</v>
      </c>
      <c r="T677">
        <v>21.9588</v>
      </c>
    </row>
    <row r="678" spans="1:20" x14ac:dyDescent="0.3">
      <c r="A678" t="s">
        <v>1103</v>
      </c>
      <c r="B678" t="s">
        <v>51</v>
      </c>
      <c r="C678" t="s">
        <v>328</v>
      </c>
      <c r="D678" t="s">
        <v>53</v>
      </c>
      <c r="E678" t="s">
        <v>24</v>
      </c>
      <c r="F678" t="s">
        <v>25</v>
      </c>
      <c r="G678" t="s">
        <v>68</v>
      </c>
      <c r="H678">
        <v>64.08</v>
      </c>
      <c r="I678">
        <v>14</v>
      </c>
      <c r="J678">
        <v>44.856000000000002</v>
      </c>
      <c r="K678">
        <v>897.12</v>
      </c>
      <c r="L678" s="1">
        <v>43748</v>
      </c>
      <c r="M678" s="2">
        <v>0.81180555555555556</v>
      </c>
      <c r="N678" t="s">
        <v>37</v>
      </c>
      <c r="O678">
        <v>448.56</v>
      </c>
      <c r="P678">
        <v>4.7619047620000003</v>
      </c>
      <c r="Q678">
        <v>448.56</v>
      </c>
      <c r="R678">
        <v>7.46</v>
      </c>
      <c r="S678">
        <v>96.089100000000002</v>
      </c>
      <c r="T678">
        <v>21.9588</v>
      </c>
    </row>
    <row r="679" spans="1:20" x14ac:dyDescent="0.3">
      <c r="A679" t="s">
        <v>1104</v>
      </c>
      <c r="B679" t="s">
        <v>21</v>
      </c>
      <c r="C679" t="s">
        <v>1105</v>
      </c>
      <c r="D679" t="s">
        <v>23</v>
      </c>
      <c r="E679" t="s">
        <v>24</v>
      </c>
      <c r="F679" t="s">
        <v>25</v>
      </c>
      <c r="G679" t="s">
        <v>63</v>
      </c>
      <c r="H679">
        <v>73.47</v>
      </c>
      <c r="I679">
        <v>6</v>
      </c>
      <c r="J679">
        <v>22.041</v>
      </c>
      <c r="K679">
        <v>440.82</v>
      </c>
      <c r="L679" s="1">
        <v>43585</v>
      </c>
      <c r="M679" s="2">
        <v>0.77083333333333337</v>
      </c>
      <c r="N679" t="s">
        <v>33</v>
      </c>
      <c r="O679">
        <v>293.88</v>
      </c>
      <c r="P679">
        <v>4.7619047620000003</v>
      </c>
      <c r="Q679">
        <v>146.94</v>
      </c>
      <c r="R679">
        <v>7.46</v>
      </c>
      <c r="S679">
        <v>96.173500000000004</v>
      </c>
      <c r="T679">
        <v>16.840900000000001</v>
      </c>
    </row>
    <row r="680" spans="1:20" x14ac:dyDescent="0.3">
      <c r="A680" t="s">
        <v>1106</v>
      </c>
      <c r="B680" t="s">
        <v>29</v>
      </c>
      <c r="C680" t="s">
        <v>594</v>
      </c>
      <c r="D680" t="s">
        <v>31</v>
      </c>
      <c r="E680" t="s">
        <v>32</v>
      </c>
      <c r="F680" t="s">
        <v>36</v>
      </c>
      <c r="G680" t="s">
        <v>26</v>
      </c>
      <c r="H680">
        <v>58.95</v>
      </c>
      <c r="I680">
        <v>12</v>
      </c>
      <c r="J680">
        <v>35.369999999999997</v>
      </c>
      <c r="K680">
        <v>707.4</v>
      </c>
      <c r="L680" s="1">
        <v>43510</v>
      </c>
      <c r="M680" s="2">
        <v>0.6020833333333333</v>
      </c>
      <c r="N680" t="s">
        <v>27</v>
      </c>
      <c r="O680">
        <v>589.5</v>
      </c>
      <c r="P680">
        <v>4.7619047620000003</v>
      </c>
      <c r="Q680">
        <v>117.9</v>
      </c>
      <c r="R680">
        <v>7.46</v>
      </c>
      <c r="S680">
        <v>96.078500000000005</v>
      </c>
      <c r="T680">
        <v>19.763300000000001</v>
      </c>
    </row>
    <row r="681" spans="1:20" x14ac:dyDescent="0.3">
      <c r="A681" t="s">
        <v>1107</v>
      </c>
      <c r="B681" t="s">
        <v>21</v>
      </c>
      <c r="C681" t="s">
        <v>1108</v>
      </c>
      <c r="D681" t="s">
        <v>23</v>
      </c>
      <c r="E681" t="s">
        <v>24</v>
      </c>
      <c r="F681" t="s">
        <v>36</v>
      </c>
      <c r="G681" t="s">
        <v>63</v>
      </c>
      <c r="H681">
        <v>48.5</v>
      </c>
      <c r="I681">
        <v>8</v>
      </c>
      <c r="J681">
        <v>19.399999999999999</v>
      </c>
      <c r="K681">
        <v>388</v>
      </c>
      <c r="L681" s="1">
        <v>43692</v>
      </c>
      <c r="M681" s="2">
        <v>0.58125000000000004</v>
      </c>
      <c r="N681" t="s">
        <v>27</v>
      </c>
      <c r="O681">
        <v>291</v>
      </c>
      <c r="P681">
        <v>4.7619047620000003</v>
      </c>
      <c r="Q681">
        <v>97</v>
      </c>
      <c r="R681">
        <v>7.46</v>
      </c>
      <c r="S681">
        <v>96.173500000000004</v>
      </c>
      <c r="T681">
        <v>16.840900000000001</v>
      </c>
    </row>
    <row r="682" spans="1:20" x14ac:dyDescent="0.3">
      <c r="A682" t="s">
        <v>1109</v>
      </c>
      <c r="B682" t="s">
        <v>51</v>
      </c>
      <c r="C682" t="s">
        <v>145</v>
      </c>
      <c r="D682" t="s">
        <v>53</v>
      </c>
      <c r="E682" t="s">
        <v>24</v>
      </c>
      <c r="F682" t="s">
        <v>25</v>
      </c>
      <c r="G682" t="s">
        <v>60</v>
      </c>
      <c r="H682">
        <v>39.479999999999997</v>
      </c>
      <c r="I682">
        <v>1</v>
      </c>
      <c r="J682">
        <v>1.974</v>
      </c>
      <c r="K682">
        <v>39.479999999999997</v>
      </c>
      <c r="L682" s="1">
        <v>43515</v>
      </c>
      <c r="M682" s="2">
        <v>0.82152777777777775</v>
      </c>
      <c r="N682" t="s">
        <v>33</v>
      </c>
      <c r="O682">
        <v>39.479999999999997</v>
      </c>
      <c r="P682">
        <v>4.7619047620000003</v>
      </c>
      <c r="Q682">
        <v>0</v>
      </c>
      <c r="R682">
        <v>7.46</v>
      </c>
      <c r="S682">
        <v>96.089100000000002</v>
      </c>
      <c r="T682">
        <v>21.9588</v>
      </c>
    </row>
    <row r="683" spans="1:20" x14ac:dyDescent="0.3">
      <c r="A683" t="s">
        <v>1110</v>
      </c>
      <c r="B683" t="s">
        <v>51</v>
      </c>
      <c r="C683" t="s">
        <v>129</v>
      </c>
      <c r="D683" t="s">
        <v>53</v>
      </c>
      <c r="E683" t="s">
        <v>32</v>
      </c>
      <c r="F683" t="s">
        <v>25</v>
      </c>
      <c r="G683" t="s">
        <v>68</v>
      </c>
      <c r="H683">
        <v>34.81</v>
      </c>
      <c r="I683">
        <v>1</v>
      </c>
      <c r="J683">
        <v>1.7404999999999999</v>
      </c>
      <c r="K683">
        <v>34.81</v>
      </c>
      <c r="L683" s="1">
        <v>43828</v>
      </c>
      <c r="M683" s="2">
        <v>0.42430555555555555</v>
      </c>
      <c r="N683" t="s">
        <v>37</v>
      </c>
      <c r="O683">
        <v>34.81</v>
      </c>
      <c r="P683">
        <v>4.7619047620000003</v>
      </c>
      <c r="Q683">
        <v>0</v>
      </c>
      <c r="R683">
        <v>7.46</v>
      </c>
      <c r="S683">
        <v>96.089100000000002</v>
      </c>
      <c r="T683">
        <v>21.9588</v>
      </c>
    </row>
    <row r="684" spans="1:20" x14ac:dyDescent="0.3">
      <c r="A684" t="s">
        <v>1111</v>
      </c>
      <c r="B684" t="s">
        <v>29</v>
      </c>
      <c r="C684" t="s">
        <v>79</v>
      </c>
      <c r="D684" t="s">
        <v>31</v>
      </c>
      <c r="E684" t="s">
        <v>32</v>
      </c>
      <c r="F684" t="s">
        <v>25</v>
      </c>
      <c r="G684" t="s">
        <v>100</v>
      </c>
      <c r="H684">
        <v>49.32</v>
      </c>
      <c r="I684">
        <v>7</v>
      </c>
      <c r="J684">
        <v>17.262</v>
      </c>
      <c r="K684">
        <v>345.24</v>
      </c>
      <c r="L684" s="1">
        <v>43817</v>
      </c>
      <c r="M684" s="2">
        <v>0.57361111111111107</v>
      </c>
      <c r="N684" t="s">
        <v>27</v>
      </c>
      <c r="O684">
        <v>295.92</v>
      </c>
      <c r="P684">
        <v>4.7619047620000003</v>
      </c>
      <c r="Q684">
        <v>49.32</v>
      </c>
      <c r="R684">
        <v>7.4550000000000001</v>
      </c>
      <c r="S684">
        <v>96.078500000000005</v>
      </c>
      <c r="T684">
        <v>19.763300000000001</v>
      </c>
    </row>
    <row r="685" spans="1:20" x14ac:dyDescent="0.3">
      <c r="A685" t="s">
        <v>1112</v>
      </c>
      <c r="B685" t="s">
        <v>21</v>
      </c>
      <c r="C685" t="s">
        <v>179</v>
      </c>
      <c r="D685" t="s">
        <v>23</v>
      </c>
      <c r="E685" t="s">
        <v>24</v>
      </c>
      <c r="F685" t="s">
        <v>36</v>
      </c>
      <c r="G685" t="s">
        <v>100</v>
      </c>
      <c r="H685">
        <v>21.48</v>
      </c>
      <c r="I685">
        <v>3</v>
      </c>
      <c r="J685">
        <v>3.222</v>
      </c>
      <c r="K685">
        <v>64.44</v>
      </c>
      <c r="L685" s="1">
        <v>43468</v>
      </c>
      <c r="M685" s="2">
        <v>0.51527777777777772</v>
      </c>
      <c r="N685" t="s">
        <v>27</v>
      </c>
      <c r="O685">
        <v>42.96</v>
      </c>
      <c r="P685">
        <v>4.7619047620000003</v>
      </c>
      <c r="Q685">
        <v>21.48</v>
      </c>
      <c r="R685">
        <v>6.6</v>
      </c>
      <c r="S685">
        <v>96.173500000000004</v>
      </c>
      <c r="T685">
        <v>16.840900000000001</v>
      </c>
    </row>
    <row r="686" spans="1:20" x14ac:dyDescent="0.3">
      <c r="A686" t="s">
        <v>1113</v>
      </c>
      <c r="B686" t="s">
        <v>51</v>
      </c>
      <c r="C686" t="s">
        <v>649</v>
      </c>
      <c r="D686" t="s">
        <v>53</v>
      </c>
      <c r="E686" t="s">
        <v>24</v>
      </c>
      <c r="F686" t="s">
        <v>25</v>
      </c>
      <c r="G686" t="s">
        <v>68</v>
      </c>
      <c r="H686">
        <v>23.08</v>
      </c>
      <c r="I686">
        <v>11</v>
      </c>
      <c r="J686">
        <v>12.694000000000001</v>
      </c>
      <c r="K686">
        <v>253.88</v>
      </c>
      <c r="L686" s="1">
        <v>43681</v>
      </c>
      <c r="M686" s="2">
        <v>0.80555555555555558</v>
      </c>
      <c r="N686" t="s">
        <v>27</v>
      </c>
      <c r="O686">
        <v>138.47999999999999</v>
      </c>
      <c r="P686">
        <v>4.7619047620000003</v>
      </c>
      <c r="Q686">
        <v>115.4</v>
      </c>
      <c r="R686">
        <v>5.88</v>
      </c>
      <c r="S686">
        <v>96.089100000000002</v>
      </c>
      <c r="T686">
        <v>21.9588</v>
      </c>
    </row>
    <row r="687" spans="1:20" x14ac:dyDescent="0.3">
      <c r="A687" t="s">
        <v>1114</v>
      </c>
      <c r="B687" t="s">
        <v>51</v>
      </c>
      <c r="C687" t="s">
        <v>227</v>
      </c>
      <c r="D687" t="s">
        <v>53</v>
      </c>
      <c r="E687" t="s">
        <v>24</v>
      </c>
      <c r="F687" t="s">
        <v>25</v>
      </c>
      <c r="G687" t="s">
        <v>77</v>
      </c>
      <c r="H687">
        <v>49.1</v>
      </c>
      <c r="I687">
        <v>4</v>
      </c>
      <c r="J687">
        <v>9.82</v>
      </c>
      <c r="K687">
        <v>196.4</v>
      </c>
      <c r="L687" s="1">
        <v>43801</v>
      </c>
      <c r="M687" s="2">
        <v>0.54027777777777775</v>
      </c>
      <c r="N687" t="s">
        <v>37</v>
      </c>
      <c r="O687">
        <v>98.2</v>
      </c>
      <c r="P687">
        <v>4.7619047620000003</v>
      </c>
      <c r="Q687">
        <v>98.2</v>
      </c>
      <c r="R687">
        <v>7.68</v>
      </c>
      <c r="S687">
        <v>96.089100000000002</v>
      </c>
      <c r="T687">
        <v>21.9588</v>
      </c>
    </row>
    <row r="688" spans="1:20" x14ac:dyDescent="0.3">
      <c r="A688" t="s">
        <v>1115</v>
      </c>
      <c r="B688" t="s">
        <v>51</v>
      </c>
      <c r="C688" t="s">
        <v>649</v>
      </c>
      <c r="D688" t="s">
        <v>53</v>
      </c>
      <c r="E688" t="s">
        <v>24</v>
      </c>
      <c r="F688" t="s">
        <v>25</v>
      </c>
      <c r="G688" t="s">
        <v>68</v>
      </c>
      <c r="H688">
        <v>64.83</v>
      </c>
      <c r="I688">
        <v>4</v>
      </c>
      <c r="J688">
        <v>12.965999999999999</v>
      </c>
      <c r="K688">
        <v>259.32</v>
      </c>
      <c r="L688" s="1">
        <v>43622</v>
      </c>
      <c r="M688" s="2">
        <v>0.49930555555555556</v>
      </c>
      <c r="N688" t="s">
        <v>37</v>
      </c>
      <c r="O688">
        <v>129.66</v>
      </c>
      <c r="P688">
        <v>4.7619047620000003</v>
      </c>
      <c r="Q688">
        <v>129.66</v>
      </c>
      <c r="R688">
        <v>9.6</v>
      </c>
      <c r="S688">
        <v>96.089100000000002</v>
      </c>
      <c r="T688">
        <v>21.9588</v>
      </c>
    </row>
    <row r="689" spans="1:20" x14ac:dyDescent="0.3">
      <c r="A689" t="s">
        <v>1116</v>
      </c>
      <c r="B689" t="s">
        <v>21</v>
      </c>
      <c r="C689" t="s">
        <v>557</v>
      </c>
      <c r="D689" t="s">
        <v>23</v>
      </c>
      <c r="E689" t="s">
        <v>24</v>
      </c>
      <c r="F689" t="s">
        <v>36</v>
      </c>
      <c r="G689" t="s">
        <v>68</v>
      </c>
      <c r="H689">
        <v>63.56</v>
      </c>
      <c r="I689">
        <v>14</v>
      </c>
      <c r="J689">
        <v>44.491999999999997</v>
      </c>
      <c r="K689">
        <v>889.84</v>
      </c>
      <c r="L689" s="1">
        <v>43522</v>
      </c>
      <c r="M689" s="2">
        <v>0.74930555555555556</v>
      </c>
      <c r="N689" t="s">
        <v>33</v>
      </c>
      <c r="O689">
        <v>635.6</v>
      </c>
      <c r="P689">
        <v>4.7619047620000003</v>
      </c>
      <c r="Q689">
        <v>254.24</v>
      </c>
      <c r="R689">
        <v>4.3</v>
      </c>
      <c r="S689">
        <v>96.173500000000004</v>
      </c>
      <c r="T689">
        <v>16.840900000000001</v>
      </c>
    </row>
    <row r="690" spans="1:20" x14ac:dyDescent="0.3">
      <c r="A690" t="s">
        <v>1117</v>
      </c>
      <c r="B690" t="s">
        <v>29</v>
      </c>
      <c r="C690" t="s">
        <v>1118</v>
      </c>
      <c r="D690" t="s">
        <v>31</v>
      </c>
      <c r="E690" t="s">
        <v>24</v>
      </c>
      <c r="F690" t="s">
        <v>36</v>
      </c>
      <c r="G690" t="s">
        <v>68</v>
      </c>
      <c r="H690">
        <v>72.88</v>
      </c>
      <c r="I690">
        <v>3</v>
      </c>
      <c r="J690">
        <v>10.932</v>
      </c>
      <c r="K690">
        <v>218.64</v>
      </c>
      <c r="L690" s="1">
        <v>43564</v>
      </c>
      <c r="M690" s="2">
        <v>0.53541666666666665</v>
      </c>
      <c r="N690" t="s">
        <v>33</v>
      </c>
      <c r="O690">
        <v>145.76</v>
      </c>
      <c r="P690">
        <v>4.7619047620000003</v>
      </c>
      <c r="Q690">
        <v>72.88</v>
      </c>
      <c r="R690">
        <v>6.4050000000000002</v>
      </c>
      <c r="S690">
        <v>96.078500000000005</v>
      </c>
      <c r="T690">
        <v>19.763300000000001</v>
      </c>
    </row>
    <row r="691" spans="1:20" x14ac:dyDescent="0.3">
      <c r="A691" t="s">
        <v>1119</v>
      </c>
      <c r="B691" t="s">
        <v>21</v>
      </c>
      <c r="C691" t="s">
        <v>1026</v>
      </c>
      <c r="D691" t="s">
        <v>23</v>
      </c>
      <c r="E691" t="s">
        <v>32</v>
      </c>
      <c r="F691" t="s">
        <v>25</v>
      </c>
      <c r="G691" t="s">
        <v>68</v>
      </c>
      <c r="H691">
        <v>67.099999999999994</v>
      </c>
      <c r="I691">
        <v>3</v>
      </c>
      <c r="J691">
        <v>10.065</v>
      </c>
      <c r="K691">
        <v>201.3</v>
      </c>
      <c r="L691" s="1">
        <v>43810</v>
      </c>
      <c r="M691" s="2">
        <v>0.44166666666666665</v>
      </c>
      <c r="N691" t="s">
        <v>33</v>
      </c>
      <c r="O691">
        <v>201.3</v>
      </c>
      <c r="P691">
        <v>4.7619047620000003</v>
      </c>
      <c r="Q691">
        <v>0</v>
      </c>
      <c r="R691">
        <v>7.5</v>
      </c>
      <c r="S691">
        <v>96.173500000000004</v>
      </c>
      <c r="T691">
        <v>16.840900000000001</v>
      </c>
    </row>
    <row r="692" spans="1:20" x14ac:dyDescent="0.3">
      <c r="A692" t="s">
        <v>1120</v>
      </c>
      <c r="B692" t="s">
        <v>29</v>
      </c>
      <c r="C692" t="s">
        <v>181</v>
      </c>
      <c r="D692" t="s">
        <v>31</v>
      </c>
      <c r="E692" t="s">
        <v>24</v>
      </c>
      <c r="F692" t="s">
        <v>25</v>
      </c>
      <c r="G692" t="s">
        <v>68</v>
      </c>
      <c r="H692">
        <v>70.19</v>
      </c>
      <c r="I692">
        <v>15</v>
      </c>
      <c r="J692">
        <v>52.642499999999998</v>
      </c>
      <c r="K692">
        <v>1052.8499999999999</v>
      </c>
      <c r="L692" s="1">
        <v>43710</v>
      </c>
      <c r="M692" s="2">
        <v>0.56805555555555554</v>
      </c>
      <c r="N692" t="s">
        <v>33</v>
      </c>
      <c r="O692">
        <v>631.71</v>
      </c>
      <c r="P692">
        <v>4.7619047620000003</v>
      </c>
      <c r="Q692">
        <v>421.14</v>
      </c>
      <c r="R692">
        <v>7.0350000000000001</v>
      </c>
      <c r="S692">
        <v>96.078500000000005</v>
      </c>
      <c r="T692">
        <v>19.763300000000001</v>
      </c>
    </row>
    <row r="693" spans="1:20" x14ac:dyDescent="0.3">
      <c r="A693" t="s">
        <v>1121</v>
      </c>
      <c r="B693" t="s">
        <v>29</v>
      </c>
      <c r="C693" t="s">
        <v>1122</v>
      </c>
      <c r="D693" t="s">
        <v>31</v>
      </c>
      <c r="E693" t="s">
        <v>24</v>
      </c>
      <c r="F693" t="s">
        <v>36</v>
      </c>
      <c r="G693" t="s">
        <v>68</v>
      </c>
      <c r="H693">
        <v>55.04</v>
      </c>
      <c r="I693">
        <v>11</v>
      </c>
      <c r="J693">
        <v>30.271999999999998</v>
      </c>
      <c r="K693">
        <v>605.44000000000005</v>
      </c>
      <c r="L693" s="1">
        <v>43732</v>
      </c>
      <c r="M693" s="2">
        <v>0.81874999999999998</v>
      </c>
      <c r="N693" t="s">
        <v>27</v>
      </c>
      <c r="O693">
        <v>385.28</v>
      </c>
      <c r="P693">
        <v>4.7619047620000003</v>
      </c>
      <c r="Q693">
        <v>220.16</v>
      </c>
      <c r="R693">
        <v>5.46</v>
      </c>
      <c r="S693">
        <v>96.078500000000005</v>
      </c>
      <c r="T693">
        <v>19.763300000000001</v>
      </c>
    </row>
    <row r="694" spans="1:20" x14ac:dyDescent="0.3">
      <c r="A694" t="s">
        <v>1123</v>
      </c>
      <c r="B694" t="s">
        <v>21</v>
      </c>
      <c r="C694" t="s">
        <v>958</v>
      </c>
      <c r="D694" t="s">
        <v>23</v>
      </c>
      <c r="E694" t="s">
        <v>24</v>
      </c>
      <c r="F694" t="s">
        <v>36</v>
      </c>
      <c r="G694" t="s">
        <v>68</v>
      </c>
      <c r="H694">
        <v>48.63</v>
      </c>
      <c r="I694">
        <v>14</v>
      </c>
      <c r="J694">
        <v>34.040999999999997</v>
      </c>
      <c r="K694">
        <v>680.82</v>
      </c>
      <c r="L694" s="1">
        <v>43817</v>
      </c>
      <c r="M694" s="2">
        <v>0.53055555555555556</v>
      </c>
      <c r="N694" t="s">
        <v>33</v>
      </c>
      <c r="O694">
        <v>486.3</v>
      </c>
      <c r="P694">
        <v>4.7619047620000003</v>
      </c>
      <c r="Q694">
        <v>194.52</v>
      </c>
      <c r="R694">
        <v>8.8000000000000007</v>
      </c>
      <c r="S694">
        <v>96.173500000000004</v>
      </c>
      <c r="T694">
        <v>16.840900000000001</v>
      </c>
    </row>
    <row r="695" spans="1:20" x14ac:dyDescent="0.3">
      <c r="A695" t="s">
        <v>1124</v>
      </c>
      <c r="B695" t="s">
        <v>29</v>
      </c>
      <c r="C695" t="s">
        <v>1125</v>
      </c>
      <c r="D695" t="s">
        <v>31</v>
      </c>
      <c r="E695" t="s">
        <v>24</v>
      </c>
      <c r="F695" t="s">
        <v>25</v>
      </c>
      <c r="G695" t="s">
        <v>100</v>
      </c>
      <c r="H695">
        <v>73.38</v>
      </c>
      <c r="I695">
        <v>11</v>
      </c>
      <c r="J695">
        <v>40.359000000000002</v>
      </c>
      <c r="K695">
        <v>807.18</v>
      </c>
      <c r="L695" s="1">
        <v>43560</v>
      </c>
      <c r="M695" s="2">
        <v>0.5805555555555556</v>
      </c>
      <c r="N695" t="s">
        <v>33</v>
      </c>
      <c r="O695">
        <v>513.66</v>
      </c>
      <c r="P695">
        <v>4.7619047620000003</v>
      </c>
      <c r="Q695">
        <v>293.52</v>
      </c>
      <c r="R695">
        <v>9.9749999999999996</v>
      </c>
      <c r="S695">
        <v>96.078500000000005</v>
      </c>
      <c r="T695">
        <v>19.763300000000001</v>
      </c>
    </row>
    <row r="696" spans="1:20" x14ac:dyDescent="0.3">
      <c r="A696" t="s">
        <v>1126</v>
      </c>
      <c r="B696" t="s">
        <v>29</v>
      </c>
      <c r="C696" t="s">
        <v>389</v>
      </c>
      <c r="D696" t="s">
        <v>31</v>
      </c>
      <c r="E696" t="s">
        <v>32</v>
      </c>
      <c r="F696" t="s">
        <v>25</v>
      </c>
      <c r="G696" t="s">
        <v>63</v>
      </c>
      <c r="H696">
        <v>52.6</v>
      </c>
      <c r="I696">
        <v>11</v>
      </c>
      <c r="J696">
        <v>28.93</v>
      </c>
      <c r="K696">
        <v>578.6</v>
      </c>
      <c r="L696" s="1">
        <v>43605</v>
      </c>
      <c r="M696" s="2">
        <v>0.61250000000000004</v>
      </c>
      <c r="N696" t="s">
        <v>33</v>
      </c>
      <c r="O696">
        <v>473.4</v>
      </c>
      <c r="P696">
        <v>4.7619047620000003</v>
      </c>
      <c r="Q696">
        <v>105.2</v>
      </c>
      <c r="R696">
        <v>7.98</v>
      </c>
      <c r="S696">
        <v>96.078500000000005</v>
      </c>
      <c r="T696">
        <v>19.763300000000001</v>
      </c>
    </row>
    <row r="697" spans="1:20" x14ac:dyDescent="0.3">
      <c r="A697" t="s">
        <v>1127</v>
      </c>
      <c r="B697" t="s">
        <v>21</v>
      </c>
      <c r="C697" t="s">
        <v>185</v>
      </c>
      <c r="D697" t="s">
        <v>23</v>
      </c>
      <c r="E697" t="s">
        <v>24</v>
      </c>
      <c r="F697" t="s">
        <v>25</v>
      </c>
      <c r="G697" t="s">
        <v>77</v>
      </c>
      <c r="H697">
        <v>87.37</v>
      </c>
      <c r="I697">
        <v>7</v>
      </c>
      <c r="J697">
        <v>30.579499999999999</v>
      </c>
      <c r="K697">
        <v>611.59</v>
      </c>
      <c r="L697" s="1">
        <v>43646</v>
      </c>
      <c r="M697" s="2">
        <v>0.82291666666666663</v>
      </c>
      <c r="N697" t="s">
        <v>33</v>
      </c>
      <c r="O697">
        <v>436.85</v>
      </c>
      <c r="P697">
        <v>4.7619047620000003</v>
      </c>
      <c r="Q697">
        <v>174.74</v>
      </c>
      <c r="R697">
        <v>6.6</v>
      </c>
      <c r="S697">
        <v>96.173500000000004</v>
      </c>
      <c r="T697">
        <v>16.840900000000001</v>
      </c>
    </row>
    <row r="698" spans="1:20" x14ac:dyDescent="0.3">
      <c r="A698" t="s">
        <v>1128</v>
      </c>
      <c r="B698" t="s">
        <v>21</v>
      </c>
      <c r="C698" t="s">
        <v>1129</v>
      </c>
      <c r="D698" t="s">
        <v>23</v>
      </c>
      <c r="E698" t="s">
        <v>24</v>
      </c>
      <c r="F698" t="s">
        <v>25</v>
      </c>
      <c r="G698" t="s">
        <v>68</v>
      </c>
      <c r="H698">
        <v>27.04</v>
      </c>
      <c r="I698">
        <v>6</v>
      </c>
      <c r="J698">
        <v>8.1120000000000001</v>
      </c>
      <c r="K698">
        <v>162.24</v>
      </c>
      <c r="L698" s="1">
        <v>43790</v>
      </c>
      <c r="M698" s="2">
        <v>0.85138888888888886</v>
      </c>
      <c r="N698" t="s">
        <v>27</v>
      </c>
      <c r="O698">
        <v>108.16</v>
      </c>
      <c r="P698">
        <v>4.7619047620000003</v>
      </c>
      <c r="Q698">
        <v>54.08</v>
      </c>
      <c r="R698">
        <v>6.9</v>
      </c>
      <c r="S698">
        <v>96.173500000000004</v>
      </c>
      <c r="T698">
        <v>16.840900000000001</v>
      </c>
    </row>
    <row r="699" spans="1:20" x14ac:dyDescent="0.3">
      <c r="A699" t="s">
        <v>1130</v>
      </c>
      <c r="B699" t="s">
        <v>51</v>
      </c>
      <c r="C699" t="s">
        <v>853</v>
      </c>
      <c r="D699" t="s">
        <v>53</v>
      </c>
      <c r="E699" t="s">
        <v>32</v>
      </c>
      <c r="F699" t="s">
        <v>36</v>
      </c>
      <c r="G699" t="s">
        <v>77</v>
      </c>
      <c r="H699">
        <v>62.19</v>
      </c>
      <c r="I699">
        <v>6</v>
      </c>
      <c r="J699">
        <v>18.657</v>
      </c>
      <c r="K699">
        <v>373.14</v>
      </c>
      <c r="L699" s="1">
        <v>43783</v>
      </c>
      <c r="M699" s="2">
        <v>0.82361111111111107</v>
      </c>
      <c r="N699" t="s">
        <v>27</v>
      </c>
      <c r="O699">
        <v>248.76</v>
      </c>
      <c r="P699">
        <v>4.7619047620000003</v>
      </c>
      <c r="Q699">
        <v>124.38</v>
      </c>
      <c r="R699">
        <v>5.16</v>
      </c>
      <c r="S699">
        <v>96.089100000000002</v>
      </c>
      <c r="T699">
        <v>21.9588</v>
      </c>
    </row>
    <row r="700" spans="1:20" x14ac:dyDescent="0.3">
      <c r="A700" t="s">
        <v>1131</v>
      </c>
      <c r="B700" t="s">
        <v>21</v>
      </c>
      <c r="C700" t="s">
        <v>1132</v>
      </c>
      <c r="D700" t="s">
        <v>23</v>
      </c>
      <c r="E700" t="s">
        <v>24</v>
      </c>
      <c r="F700" t="s">
        <v>36</v>
      </c>
      <c r="G700" t="s">
        <v>60</v>
      </c>
      <c r="H700">
        <v>69.58</v>
      </c>
      <c r="I700">
        <v>13</v>
      </c>
      <c r="J700">
        <v>45.226999999999997</v>
      </c>
      <c r="K700">
        <v>904.54</v>
      </c>
      <c r="L700" s="1">
        <v>43753</v>
      </c>
      <c r="M700" s="2">
        <v>0.81805555555555554</v>
      </c>
      <c r="N700" t="s">
        <v>37</v>
      </c>
      <c r="O700">
        <v>626.22</v>
      </c>
      <c r="P700">
        <v>4.7619047620000003</v>
      </c>
      <c r="Q700">
        <v>278.32</v>
      </c>
      <c r="R700">
        <v>7.8</v>
      </c>
      <c r="S700">
        <v>96.173500000000004</v>
      </c>
      <c r="T700">
        <v>16.840900000000001</v>
      </c>
    </row>
    <row r="701" spans="1:20" x14ac:dyDescent="0.3">
      <c r="A701" t="s">
        <v>1133</v>
      </c>
      <c r="B701" t="s">
        <v>29</v>
      </c>
      <c r="C701" t="s">
        <v>466</v>
      </c>
      <c r="D701" t="s">
        <v>31</v>
      </c>
      <c r="E701" t="s">
        <v>32</v>
      </c>
      <c r="F701" t="s">
        <v>36</v>
      </c>
      <c r="G701" t="s">
        <v>77</v>
      </c>
      <c r="H701">
        <v>97.5</v>
      </c>
      <c r="I701">
        <v>12</v>
      </c>
      <c r="J701">
        <v>58.5</v>
      </c>
      <c r="K701">
        <v>1170</v>
      </c>
      <c r="L701" s="1">
        <v>43613</v>
      </c>
      <c r="M701" s="2">
        <v>0.6791666666666667</v>
      </c>
      <c r="N701" t="s">
        <v>27</v>
      </c>
      <c r="O701">
        <v>975</v>
      </c>
      <c r="P701">
        <v>4.7619047620000003</v>
      </c>
      <c r="Q701">
        <v>195</v>
      </c>
      <c r="R701">
        <v>8.4</v>
      </c>
      <c r="S701">
        <v>96.078500000000005</v>
      </c>
      <c r="T701">
        <v>19.763300000000001</v>
      </c>
    </row>
    <row r="702" spans="1:20" x14ac:dyDescent="0.3">
      <c r="A702" t="s">
        <v>1134</v>
      </c>
      <c r="B702" t="s">
        <v>29</v>
      </c>
      <c r="C702" t="s">
        <v>1135</v>
      </c>
      <c r="D702" t="s">
        <v>31</v>
      </c>
      <c r="E702" t="s">
        <v>32</v>
      </c>
      <c r="F702" t="s">
        <v>25</v>
      </c>
      <c r="G702" t="s">
        <v>100</v>
      </c>
      <c r="H702">
        <v>60.41</v>
      </c>
      <c r="I702">
        <v>10</v>
      </c>
      <c r="J702">
        <v>30.204999999999998</v>
      </c>
      <c r="K702">
        <v>604.1</v>
      </c>
      <c r="L702" s="1">
        <v>43708</v>
      </c>
      <c r="M702" s="2">
        <v>0.51597222222222228</v>
      </c>
      <c r="N702" t="s">
        <v>27</v>
      </c>
      <c r="O702">
        <v>483.28</v>
      </c>
      <c r="P702">
        <v>4.7619047620000003</v>
      </c>
      <c r="Q702">
        <v>120.82</v>
      </c>
      <c r="R702">
        <v>10</v>
      </c>
      <c r="S702">
        <v>96.078500000000005</v>
      </c>
      <c r="T702">
        <v>19.763300000000001</v>
      </c>
    </row>
    <row r="703" spans="1:20" x14ac:dyDescent="0.3">
      <c r="A703" t="s">
        <v>1136</v>
      </c>
      <c r="B703" t="s">
        <v>51</v>
      </c>
      <c r="C703" t="s">
        <v>280</v>
      </c>
      <c r="D703" t="s">
        <v>53</v>
      </c>
      <c r="E703" t="s">
        <v>32</v>
      </c>
      <c r="F703" t="s">
        <v>36</v>
      </c>
      <c r="G703" t="s">
        <v>63</v>
      </c>
      <c r="H703">
        <v>32.32</v>
      </c>
      <c r="I703">
        <v>4</v>
      </c>
      <c r="J703">
        <v>6.4640000000000004</v>
      </c>
      <c r="K703">
        <v>129.28</v>
      </c>
      <c r="L703" s="1">
        <v>43508</v>
      </c>
      <c r="M703" s="2">
        <v>0.7993055555555556</v>
      </c>
      <c r="N703" t="s">
        <v>37</v>
      </c>
      <c r="O703">
        <v>96.96</v>
      </c>
      <c r="P703">
        <v>4.7619047620000003</v>
      </c>
      <c r="Q703">
        <v>32.32</v>
      </c>
      <c r="R703">
        <v>5.16</v>
      </c>
      <c r="S703">
        <v>96.089100000000002</v>
      </c>
      <c r="T703">
        <v>21.9588</v>
      </c>
    </row>
    <row r="704" spans="1:20" x14ac:dyDescent="0.3">
      <c r="A704" t="s">
        <v>1137</v>
      </c>
      <c r="B704" t="s">
        <v>51</v>
      </c>
      <c r="C704" t="s">
        <v>258</v>
      </c>
      <c r="D704" t="s">
        <v>53</v>
      </c>
      <c r="E704" t="s">
        <v>24</v>
      </c>
      <c r="F704" t="s">
        <v>25</v>
      </c>
      <c r="G704" t="s">
        <v>100</v>
      </c>
      <c r="H704">
        <v>19.77</v>
      </c>
      <c r="I704">
        <v>20</v>
      </c>
      <c r="J704">
        <v>19.77</v>
      </c>
      <c r="K704">
        <v>395.4</v>
      </c>
      <c r="L704" s="1">
        <v>43709</v>
      </c>
      <c r="M704" s="2">
        <v>0.7895833333333333</v>
      </c>
      <c r="N704" t="s">
        <v>37</v>
      </c>
      <c r="O704">
        <v>197.7</v>
      </c>
      <c r="P704">
        <v>4.7619047620000003</v>
      </c>
      <c r="Q704">
        <v>197.7</v>
      </c>
      <c r="R704">
        <v>6</v>
      </c>
      <c r="S704">
        <v>96.089100000000002</v>
      </c>
      <c r="T704">
        <v>21.9588</v>
      </c>
    </row>
    <row r="705" spans="1:20" x14ac:dyDescent="0.3">
      <c r="A705" t="s">
        <v>1138</v>
      </c>
      <c r="B705" t="s">
        <v>51</v>
      </c>
      <c r="C705" t="s">
        <v>382</v>
      </c>
      <c r="D705" t="s">
        <v>53</v>
      </c>
      <c r="E705" t="s">
        <v>24</v>
      </c>
      <c r="F705" t="s">
        <v>36</v>
      </c>
      <c r="G705" t="s">
        <v>26</v>
      </c>
      <c r="H705">
        <v>80.47</v>
      </c>
      <c r="I705">
        <v>18</v>
      </c>
      <c r="J705">
        <v>72.423000000000002</v>
      </c>
      <c r="K705">
        <v>1448.46</v>
      </c>
      <c r="L705" s="1">
        <v>43501</v>
      </c>
      <c r="M705" s="2">
        <v>0.47083333333333333</v>
      </c>
      <c r="N705" t="s">
        <v>33</v>
      </c>
      <c r="O705">
        <v>724.23</v>
      </c>
      <c r="P705">
        <v>4.7619047620000003</v>
      </c>
      <c r="Q705">
        <v>724.23</v>
      </c>
      <c r="R705">
        <v>10</v>
      </c>
      <c r="S705">
        <v>96.089100000000002</v>
      </c>
      <c r="T705">
        <v>21.9588</v>
      </c>
    </row>
    <row r="706" spans="1:20" x14ac:dyDescent="0.3">
      <c r="A706" t="s">
        <v>1139</v>
      </c>
      <c r="B706" t="s">
        <v>51</v>
      </c>
      <c r="C706" t="s">
        <v>771</v>
      </c>
      <c r="D706" t="s">
        <v>53</v>
      </c>
      <c r="E706" t="s">
        <v>24</v>
      </c>
      <c r="F706" t="s">
        <v>25</v>
      </c>
      <c r="G706" t="s">
        <v>77</v>
      </c>
      <c r="H706">
        <v>88.39</v>
      </c>
      <c r="I706">
        <v>18</v>
      </c>
      <c r="J706">
        <v>79.551000000000002</v>
      </c>
      <c r="K706">
        <v>1591.02</v>
      </c>
      <c r="L706" s="1">
        <v>43666</v>
      </c>
      <c r="M706" s="2">
        <v>0.52777777777777779</v>
      </c>
      <c r="N706" t="s">
        <v>33</v>
      </c>
      <c r="O706">
        <v>795.51</v>
      </c>
      <c r="P706">
        <v>4.7619047620000003</v>
      </c>
      <c r="Q706">
        <v>795.51</v>
      </c>
      <c r="R706">
        <v>7.56</v>
      </c>
      <c r="S706">
        <v>96.089100000000002</v>
      </c>
      <c r="T706">
        <v>21.9588</v>
      </c>
    </row>
    <row r="707" spans="1:20" x14ac:dyDescent="0.3">
      <c r="A707" t="s">
        <v>1140</v>
      </c>
      <c r="B707" t="s">
        <v>51</v>
      </c>
      <c r="C707" t="s">
        <v>67</v>
      </c>
      <c r="D707" t="s">
        <v>53</v>
      </c>
      <c r="E707" t="s">
        <v>32</v>
      </c>
      <c r="F707" t="s">
        <v>36</v>
      </c>
      <c r="G707" t="s">
        <v>26</v>
      </c>
      <c r="H707">
        <v>71.77</v>
      </c>
      <c r="I707">
        <v>10</v>
      </c>
      <c r="J707">
        <v>35.884999999999998</v>
      </c>
      <c r="K707">
        <v>717.7</v>
      </c>
      <c r="L707" s="1">
        <v>43487</v>
      </c>
      <c r="M707" s="2">
        <v>0.58750000000000002</v>
      </c>
      <c r="N707" t="s">
        <v>33</v>
      </c>
      <c r="O707">
        <v>502.39</v>
      </c>
      <c r="P707">
        <v>4.7619047620000003</v>
      </c>
      <c r="Q707">
        <v>215.31</v>
      </c>
      <c r="R707">
        <v>10</v>
      </c>
      <c r="S707">
        <v>96.089100000000002</v>
      </c>
      <c r="T707">
        <v>21.9588</v>
      </c>
    </row>
    <row r="708" spans="1:20" x14ac:dyDescent="0.3">
      <c r="A708" t="s">
        <v>1141</v>
      </c>
      <c r="B708" t="s">
        <v>51</v>
      </c>
      <c r="C708" t="s">
        <v>458</v>
      </c>
      <c r="D708" t="s">
        <v>53</v>
      </c>
      <c r="E708" t="s">
        <v>32</v>
      </c>
      <c r="F708" t="s">
        <v>25</v>
      </c>
      <c r="G708" t="s">
        <v>60</v>
      </c>
      <c r="H708">
        <v>43</v>
      </c>
      <c r="I708">
        <v>6</v>
      </c>
      <c r="J708">
        <v>12.9</v>
      </c>
      <c r="K708">
        <v>258</v>
      </c>
      <c r="L708" s="1">
        <v>43727</v>
      </c>
      <c r="M708" s="2">
        <v>0.8666666666666667</v>
      </c>
      <c r="N708" t="s">
        <v>27</v>
      </c>
      <c r="O708">
        <v>172</v>
      </c>
      <c r="P708">
        <v>4.7619047620000003</v>
      </c>
      <c r="Q708">
        <v>86</v>
      </c>
      <c r="R708">
        <v>9.1199999999999992</v>
      </c>
      <c r="S708">
        <v>96.089100000000002</v>
      </c>
      <c r="T708">
        <v>21.9588</v>
      </c>
    </row>
    <row r="709" spans="1:20" x14ac:dyDescent="0.3">
      <c r="A709" t="s">
        <v>1142</v>
      </c>
      <c r="B709" t="s">
        <v>29</v>
      </c>
      <c r="C709" t="s">
        <v>1006</v>
      </c>
      <c r="D709" t="s">
        <v>31</v>
      </c>
      <c r="E709" t="s">
        <v>24</v>
      </c>
      <c r="F709" t="s">
        <v>36</v>
      </c>
      <c r="G709" t="s">
        <v>100</v>
      </c>
      <c r="H709">
        <v>68.98</v>
      </c>
      <c r="I709">
        <v>1</v>
      </c>
      <c r="J709">
        <v>3.4489999999999998</v>
      </c>
      <c r="K709">
        <v>68.98</v>
      </c>
      <c r="L709" s="1">
        <v>43529</v>
      </c>
      <c r="M709" s="2">
        <v>0.84236111111111112</v>
      </c>
      <c r="N709" t="s">
        <v>33</v>
      </c>
      <c r="O709">
        <v>68.98</v>
      </c>
      <c r="P709">
        <v>4.7619047620000003</v>
      </c>
      <c r="Q709">
        <v>0</v>
      </c>
      <c r="R709">
        <v>5.04</v>
      </c>
      <c r="S709">
        <v>96.078500000000005</v>
      </c>
      <c r="T709">
        <v>19.763300000000001</v>
      </c>
    </row>
    <row r="710" spans="1:20" x14ac:dyDescent="0.3">
      <c r="A710" t="s">
        <v>1143</v>
      </c>
      <c r="B710" t="s">
        <v>29</v>
      </c>
      <c r="C710" t="s">
        <v>1144</v>
      </c>
      <c r="D710" t="s">
        <v>31</v>
      </c>
      <c r="E710" t="s">
        <v>32</v>
      </c>
      <c r="F710" t="s">
        <v>36</v>
      </c>
      <c r="G710" t="s">
        <v>100</v>
      </c>
      <c r="H710">
        <v>15.62</v>
      </c>
      <c r="I710">
        <v>10</v>
      </c>
      <c r="J710">
        <v>7.81</v>
      </c>
      <c r="K710">
        <v>156.19999999999999</v>
      </c>
      <c r="L710" s="1">
        <v>43667</v>
      </c>
      <c r="M710" s="2">
        <v>0.85902777777777772</v>
      </c>
      <c r="N710" t="s">
        <v>27</v>
      </c>
      <c r="O710">
        <v>124.96</v>
      </c>
      <c r="P710">
        <v>4.7619047620000003</v>
      </c>
      <c r="Q710">
        <v>31.24</v>
      </c>
      <c r="R710">
        <v>9.5549999999999997</v>
      </c>
      <c r="S710">
        <v>96.078500000000005</v>
      </c>
      <c r="T710">
        <v>19.763300000000001</v>
      </c>
    </row>
    <row r="711" spans="1:20" x14ac:dyDescent="0.3">
      <c r="A711" t="s">
        <v>1145</v>
      </c>
      <c r="B711" t="s">
        <v>21</v>
      </c>
      <c r="C711" t="s">
        <v>1146</v>
      </c>
      <c r="D711" t="s">
        <v>23</v>
      </c>
      <c r="E711" t="s">
        <v>32</v>
      </c>
      <c r="F711" t="s">
        <v>36</v>
      </c>
      <c r="G711" t="s">
        <v>100</v>
      </c>
      <c r="H711">
        <v>25.7</v>
      </c>
      <c r="I711">
        <v>3</v>
      </c>
      <c r="J711">
        <v>3.855</v>
      </c>
      <c r="K711">
        <v>77.099999999999994</v>
      </c>
      <c r="L711" s="1">
        <v>43788</v>
      </c>
      <c r="M711" s="2">
        <v>0.74930555555555556</v>
      </c>
      <c r="N711" t="s">
        <v>27</v>
      </c>
      <c r="O711">
        <v>77.099999999999994</v>
      </c>
      <c r="P711">
        <v>4.7619047620000003</v>
      </c>
      <c r="Q711">
        <v>0</v>
      </c>
      <c r="R711">
        <v>6.1</v>
      </c>
      <c r="S711">
        <v>96.173500000000004</v>
      </c>
      <c r="T711">
        <v>16.840900000000001</v>
      </c>
    </row>
    <row r="712" spans="1:20" x14ac:dyDescent="0.3">
      <c r="A712" t="s">
        <v>1147</v>
      </c>
      <c r="B712" t="s">
        <v>21</v>
      </c>
      <c r="C712" t="s">
        <v>1148</v>
      </c>
      <c r="D712" t="s">
        <v>23</v>
      </c>
      <c r="E712" t="s">
        <v>24</v>
      </c>
      <c r="F712" t="s">
        <v>36</v>
      </c>
      <c r="G712" t="s">
        <v>100</v>
      </c>
      <c r="H712">
        <v>80.62</v>
      </c>
      <c r="I712">
        <v>8</v>
      </c>
      <c r="J712">
        <v>32.247999999999998</v>
      </c>
      <c r="K712">
        <v>644.96</v>
      </c>
      <c r="L712" s="1">
        <v>43753</v>
      </c>
      <c r="M712" s="2">
        <v>0.84583333333333333</v>
      </c>
      <c r="N712" t="s">
        <v>33</v>
      </c>
      <c r="O712">
        <v>483.72</v>
      </c>
      <c r="P712">
        <v>4.7619047620000003</v>
      </c>
      <c r="Q712">
        <v>161.24</v>
      </c>
      <c r="R712">
        <v>9.1</v>
      </c>
      <c r="S712">
        <v>96.173500000000004</v>
      </c>
      <c r="T712">
        <v>16.840900000000001</v>
      </c>
    </row>
    <row r="713" spans="1:20" x14ac:dyDescent="0.3">
      <c r="A713" t="s">
        <v>1149</v>
      </c>
      <c r="B713" t="s">
        <v>29</v>
      </c>
      <c r="C713" t="s">
        <v>1150</v>
      </c>
      <c r="D713" t="s">
        <v>31</v>
      </c>
      <c r="E713" t="s">
        <v>24</v>
      </c>
      <c r="F713" t="s">
        <v>25</v>
      </c>
      <c r="G713" t="s">
        <v>100</v>
      </c>
      <c r="H713">
        <v>75.53</v>
      </c>
      <c r="I713">
        <v>7</v>
      </c>
      <c r="J713">
        <v>26.435500000000001</v>
      </c>
      <c r="K713">
        <v>528.71</v>
      </c>
      <c r="L713" s="1">
        <v>43822</v>
      </c>
      <c r="M713" s="2">
        <v>0.66111111111111109</v>
      </c>
      <c r="N713" t="s">
        <v>27</v>
      </c>
      <c r="O713">
        <v>302.12</v>
      </c>
      <c r="P713">
        <v>4.7619047620000003</v>
      </c>
      <c r="Q713">
        <v>226.59</v>
      </c>
      <c r="R713">
        <v>8.7149999999999999</v>
      </c>
      <c r="S713">
        <v>96.078500000000005</v>
      </c>
      <c r="T713">
        <v>19.763300000000001</v>
      </c>
    </row>
    <row r="714" spans="1:20" x14ac:dyDescent="0.3">
      <c r="A714" t="s">
        <v>1151</v>
      </c>
      <c r="B714" t="s">
        <v>29</v>
      </c>
      <c r="C714" t="s">
        <v>323</v>
      </c>
      <c r="D714" t="s">
        <v>31</v>
      </c>
      <c r="E714" t="s">
        <v>32</v>
      </c>
      <c r="F714" t="s">
        <v>25</v>
      </c>
      <c r="G714" t="s">
        <v>100</v>
      </c>
      <c r="H714">
        <v>77.63</v>
      </c>
      <c r="I714">
        <v>11</v>
      </c>
      <c r="J714">
        <v>42.6965</v>
      </c>
      <c r="K714">
        <v>853.93</v>
      </c>
      <c r="L714" s="1">
        <v>43537</v>
      </c>
      <c r="M714" s="2">
        <v>0.63472222222222219</v>
      </c>
      <c r="N714" t="s">
        <v>27</v>
      </c>
      <c r="O714">
        <v>698.67</v>
      </c>
      <c r="P714">
        <v>4.7619047620000003</v>
      </c>
      <c r="Q714">
        <v>155.26</v>
      </c>
      <c r="R714">
        <v>7.56</v>
      </c>
      <c r="S714">
        <v>96.078500000000005</v>
      </c>
      <c r="T714">
        <v>19.763300000000001</v>
      </c>
    </row>
    <row r="715" spans="1:20" x14ac:dyDescent="0.3">
      <c r="A715" t="s">
        <v>1152</v>
      </c>
      <c r="B715" t="s">
        <v>29</v>
      </c>
      <c r="C715" t="s">
        <v>276</v>
      </c>
      <c r="D715" t="s">
        <v>31</v>
      </c>
      <c r="E715" t="s">
        <v>32</v>
      </c>
      <c r="F715" t="s">
        <v>25</v>
      </c>
      <c r="G715" t="s">
        <v>100</v>
      </c>
      <c r="H715">
        <v>13.85</v>
      </c>
      <c r="I715">
        <v>11</v>
      </c>
      <c r="J715">
        <v>7.6174999999999997</v>
      </c>
      <c r="K715">
        <v>152.35</v>
      </c>
      <c r="L715" s="1">
        <v>43645</v>
      </c>
      <c r="M715" s="2">
        <v>0.53472222222222221</v>
      </c>
      <c r="N715" t="s">
        <v>27</v>
      </c>
      <c r="O715">
        <v>124.65</v>
      </c>
      <c r="P715">
        <v>4.7619047620000003</v>
      </c>
      <c r="Q715">
        <v>27.7</v>
      </c>
      <c r="R715">
        <v>6.3</v>
      </c>
      <c r="S715">
        <v>96.078500000000005</v>
      </c>
      <c r="T715">
        <v>19.763300000000001</v>
      </c>
    </row>
    <row r="716" spans="1:20" x14ac:dyDescent="0.3">
      <c r="A716" t="s">
        <v>1153</v>
      </c>
      <c r="B716" t="s">
        <v>29</v>
      </c>
      <c r="C716" t="s">
        <v>358</v>
      </c>
      <c r="D716" t="s">
        <v>31</v>
      </c>
      <c r="E716" t="s">
        <v>24</v>
      </c>
      <c r="F716" t="s">
        <v>36</v>
      </c>
      <c r="G716" t="s">
        <v>100</v>
      </c>
      <c r="H716">
        <v>98.7</v>
      </c>
      <c r="I716">
        <v>14</v>
      </c>
      <c r="J716">
        <v>69.09</v>
      </c>
      <c r="K716">
        <v>1381.8</v>
      </c>
      <c r="L716" s="1">
        <v>43543</v>
      </c>
      <c r="M716" s="2">
        <v>0.44166666666666665</v>
      </c>
      <c r="N716" t="s">
        <v>27</v>
      </c>
      <c r="O716">
        <v>789.6</v>
      </c>
      <c r="P716">
        <v>4.7619047620000003</v>
      </c>
      <c r="Q716">
        <v>592.20000000000005</v>
      </c>
      <c r="R716">
        <v>8.9250000000000007</v>
      </c>
      <c r="S716">
        <v>96.078500000000005</v>
      </c>
      <c r="T716">
        <v>19.763300000000001</v>
      </c>
    </row>
    <row r="717" spans="1:20" x14ac:dyDescent="0.3">
      <c r="A717" t="s">
        <v>1154</v>
      </c>
      <c r="B717" t="s">
        <v>21</v>
      </c>
      <c r="C717" t="s">
        <v>799</v>
      </c>
      <c r="D717" t="s">
        <v>23</v>
      </c>
      <c r="E717" t="s">
        <v>32</v>
      </c>
      <c r="F717" t="s">
        <v>25</v>
      </c>
      <c r="G717" t="s">
        <v>100</v>
      </c>
      <c r="H717">
        <v>35.68</v>
      </c>
      <c r="I717">
        <v>5</v>
      </c>
      <c r="J717">
        <v>8.92</v>
      </c>
      <c r="K717">
        <v>178.4</v>
      </c>
      <c r="L717" s="1">
        <v>43529</v>
      </c>
      <c r="M717" s="2">
        <v>0.7729166666666667</v>
      </c>
      <c r="N717" t="s">
        <v>37</v>
      </c>
      <c r="O717">
        <v>178.4</v>
      </c>
      <c r="P717">
        <v>4.7619047620000003</v>
      </c>
      <c r="Q717">
        <v>0</v>
      </c>
      <c r="R717">
        <v>6.6</v>
      </c>
      <c r="S717">
        <v>96.173500000000004</v>
      </c>
      <c r="T717">
        <v>16.840900000000001</v>
      </c>
    </row>
    <row r="718" spans="1:20" x14ac:dyDescent="0.3">
      <c r="A718" t="s">
        <v>1155</v>
      </c>
      <c r="B718" t="s">
        <v>21</v>
      </c>
      <c r="C718" t="s">
        <v>387</v>
      </c>
      <c r="D718" t="s">
        <v>23</v>
      </c>
      <c r="E718" t="s">
        <v>24</v>
      </c>
      <c r="F718" t="s">
        <v>25</v>
      </c>
      <c r="G718" t="s">
        <v>100</v>
      </c>
      <c r="H718">
        <v>71.459999999999994</v>
      </c>
      <c r="I718">
        <v>10</v>
      </c>
      <c r="J718">
        <v>35.729999999999997</v>
      </c>
      <c r="K718">
        <v>714.6</v>
      </c>
      <c r="L718" s="1">
        <v>43664</v>
      </c>
      <c r="M718" s="2">
        <v>0.67083333333333328</v>
      </c>
      <c r="N718" t="s">
        <v>27</v>
      </c>
      <c r="O718">
        <v>500.22</v>
      </c>
      <c r="P718">
        <v>4.7619047620000003</v>
      </c>
      <c r="Q718">
        <v>214.38</v>
      </c>
      <c r="R718">
        <v>4.5</v>
      </c>
      <c r="S718">
        <v>96.173500000000004</v>
      </c>
      <c r="T718">
        <v>16.840900000000001</v>
      </c>
    </row>
    <row r="719" spans="1:20" x14ac:dyDescent="0.3">
      <c r="A719" t="s">
        <v>1156</v>
      </c>
      <c r="B719" t="s">
        <v>21</v>
      </c>
      <c r="C719" t="s">
        <v>365</v>
      </c>
      <c r="D719" t="s">
        <v>23</v>
      </c>
      <c r="E719" t="s">
        <v>24</v>
      </c>
      <c r="F719" t="s">
        <v>36</v>
      </c>
      <c r="G719" t="s">
        <v>60</v>
      </c>
      <c r="H719">
        <v>11.94</v>
      </c>
      <c r="I719">
        <v>4</v>
      </c>
      <c r="J719">
        <v>2.3879999999999999</v>
      </c>
      <c r="K719">
        <v>47.76</v>
      </c>
      <c r="L719" s="1">
        <v>43597</v>
      </c>
      <c r="M719" s="2">
        <v>0.53263888888888888</v>
      </c>
      <c r="N719" t="s">
        <v>37</v>
      </c>
      <c r="O719">
        <v>35.82</v>
      </c>
      <c r="P719">
        <v>4.7619047620000003</v>
      </c>
      <c r="Q719">
        <v>11.94</v>
      </c>
      <c r="R719">
        <v>8.1</v>
      </c>
      <c r="S719">
        <v>96.173500000000004</v>
      </c>
      <c r="T719">
        <v>16.840900000000001</v>
      </c>
    </row>
    <row r="720" spans="1:20" x14ac:dyDescent="0.3">
      <c r="A720" t="s">
        <v>1157</v>
      </c>
      <c r="B720" t="s">
        <v>21</v>
      </c>
      <c r="C720" t="s">
        <v>39</v>
      </c>
      <c r="D720" t="s">
        <v>23</v>
      </c>
      <c r="E720" t="s">
        <v>32</v>
      </c>
      <c r="F720" t="s">
        <v>36</v>
      </c>
      <c r="G720" t="s">
        <v>68</v>
      </c>
      <c r="H720">
        <v>45.38</v>
      </c>
      <c r="I720">
        <v>3</v>
      </c>
      <c r="J720">
        <v>6.8070000000000004</v>
      </c>
      <c r="K720">
        <v>136.13999999999999</v>
      </c>
      <c r="L720" s="1">
        <v>43466</v>
      </c>
      <c r="M720" s="2">
        <v>0.56527777777777777</v>
      </c>
      <c r="N720" t="s">
        <v>37</v>
      </c>
      <c r="O720">
        <v>136.13999999999999</v>
      </c>
      <c r="P720">
        <v>4.7619047620000003</v>
      </c>
      <c r="Q720">
        <v>0</v>
      </c>
      <c r="R720">
        <v>7.2</v>
      </c>
      <c r="S720">
        <v>96.173500000000004</v>
      </c>
      <c r="T720">
        <v>16.840900000000001</v>
      </c>
    </row>
    <row r="721" spans="1:20" x14ac:dyDescent="0.3">
      <c r="A721" t="s">
        <v>1158</v>
      </c>
      <c r="B721" t="s">
        <v>51</v>
      </c>
      <c r="C721" t="s">
        <v>145</v>
      </c>
      <c r="D721" t="s">
        <v>53</v>
      </c>
      <c r="E721" t="s">
        <v>24</v>
      </c>
      <c r="F721" t="s">
        <v>25</v>
      </c>
      <c r="G721" t="s">
        <v>68</v>
      </c>
      <c r="H721">
        <v>17.48</v>
      </c>
      <c r="I721">
        <v>11</v>
      </c>
      <c r="J721">
        <v>9.6140000000000008</v>
      </c>
      <c r="K721">
        <v>192.28</v>
      </c>
      <c r="L721" s="1">
        <v>43820</v>
      </c>
      <c r="M721" s="2">
        <v>0.62777777777777777</v>
      </c>
      <c r="N721" t="s">
        <v>37</v>
      </c>
      <c r="O721">
        <v>104.88</v>
      </c>
      <c r="P721">
        <v>4.7619047620000003</v>
      </c>
      <c r="Q721">
        <v>87.4</v>
      </c>
      <c r="R721">
        <v>7.32</v>
      </c>
      <c r="S721">
        <v>96.089100000000002</v>
      </c>
      <c r="T721">
        <v>21.9588</v>
      </c>
    </row>
    <row r="722" spans="1:20" x14ac:dyDescent="0.3">
      <c r="A722" t="s">
        <v>1159</v>
      </c>
      <c r="B722" t="s">
        <v>51</v>
      </c>
      <c r="C722" t="s">
        <v>830</v>
      </c>
      <c r="D722" t="s">
        <v>53</v>
      </c>
      <c r="E722" t="s">
        <v>32</v>
      </c>
      <c r="F722" t="s">
        <v>25</v>
      </c>
      <c r="G722" t="s">
        <v>68</v>
      </c>
      <c r="H722">
        <v>25.56</v>
      </c>
      <c r="I722">
        <v>10</v>
      </c>
      <c r="J722">
        <v>12.78</v>
      </c>
      <c r="K722">
        <v>255.6</v>
      </c>
      <c r="L722" s="1">
        <v>43620</v>
      </c>
      <c r="M722" s="2">
        <v>0.86250000000000004</v>
      </c>
      <c r="N722" t="s">
        <v>33</v>
      </c>
      <c r="O722">
        <v>178.92</v>
      </c>
      <c r="P722">
        <v>4.7619047620000003</v>
      </c>
      <c r="Q722">
        <v>76.680000000000007</v>
      </c>
      <c r="R722">
        <v>8.52</v>
      </c>
      <c r="S722">
        <v>96.089100000000002</v>
      </c>
      <c r="T722">
        <v>21.9588</v>
      </c>
    </row>
    <row r="723" spans="1:20" x14ac:dyDescent="0.3">
      <c r="A723" t="s">
        <v>1160</v>
      </c>
      <c r="B723" t="s">
        <v>29</v>
      </c>
      <c r="C723" t="s">
        <v>1161</v>
      </c>
      <c r="D723" t="s">
        <v>31</v>
      </c>
      <c r="E723" t="s">
        <v>24</v>
      </c>
      <c r="F723" t="s">
        <v>25</v>
      </c>
      <c r="G723" t="s">
        <v>68</v>
      </c>
      <c r="H723">
        <v>90.63</v>
      </c>
      <c r="I723">
        <v>15</v>
      </c>
      <c r="J723">
        <v>67.972499999999997</v>
      </c>
      <c r="K723">
        <v>1359.45</v>
      </c>
      <c r="L723" s="1">
        <v>43548</v>
      </c>
      <c r="M723" s="2">
        <v>0.64444444444444449</v>
      </c>
      <c r="N723" t="s">
        <v>33</v>
      </c>
      <c r="O723">
        <v>815.67</v>
      </c>
      <c r="P723">
        <v>4.7619047620000003</v>
      </c>
      <c r="Q723">
        <v>543.78</v>
      </c>
      <c r="R723">
        <v>5.3550000000000004</v>
      </c>
      <c r="S723">
        <v>96.078500000000005</v>
      </c>
      <c r="T723">
        <v>19.763300000000001</v>
      </c>
    </row>
    <row r="724" spans="1:20" x14ac:dyDescent="0.3">
      <c r="A724" t="s">
        <v>1162</v>
      </c>
      <c r="B724" t="s">
        <v>51</v>
      </c>
      <c r="C724" t="s">
        <v>104</v>
      </c>
      <c r="D724" t="s">
        <v>53</v>
      </c>
      <c r="E724" t="s">
        <v>32</v>
      </c>
      <c r="F724" t="s">
        <v>36</v>
      </c>
      <c r="G724" t="s">
        <v>77</v>
      </c>
      <c r="H724">
        <v>44.12</v>
      </c>
      <c r="I724">
        <v>4</v>
      </c>
      <c r="J724">
        <v>8.8239999999999998</v>
      </c>
      <c r="K724">
        <v>176.48</v>
      </c>
      <c r="L724" s="1">
        <v>43618</v>
      </c>
      <c r="M724" s="2">
        <v>0.57291666666666663</v>
      </c>
      <c r="N724" t="s">
        <v>37</v>
      </c>
      <c r="O724">
        <v>132.36000000000001</v>
      </c>
      <c r="P724">
        <v>4.7619047620000003</v>
      </c>
      <c r="Q724">
        <v>44.12</v>
      </c>
      <c r="R724">
        <v>9.48</v>
      </c>
      <c r="S724">
        <v>96.089100000000002</v>
      </c>
      <c r="T724">
        <v>21.9588</v>
      </c>
    </row>
    <row r="725" spans="1:20" x14ac:dyDescent="0.3">
      <c r="A725" t="s">
        <v>1163</v>
      </c>
      <c r="B725" t="s">
        <v>29</v>
      </c>
      <c r="C725" t="s">
        <v>598</v>
      </c>
      <c r="D725" t="s">
        <v>31</v>
      </c>
      <c r="E725" t="s">
        <v>24</v>
      </c>
      <c r="F725" t="s">
        <v>25</v>
      </c>
      <c r="G725" t="s">
        <v>63</v>
      </c>
      <c r="H725">
        <v>36.770000000000003</v>
      </c>
      <c r="I725">
        <v>11</v>
      </c>
      <c r="J725">
        <v>20.223500000000001</v>
      </c>
      <c r="K725">
        <v>404.47</v>
      </c>
      <c r="L725" s="1">
        <v>43478</v>
      </c>
      <c r="M725" s="2">
        <v>0.84027777777777779</v>
      </c>
      <c r="N725" t="s">
        <v>33</v>
      </c>
      <c r="O725">
        <v>257.39</v>
      </c>
      <c r="P725">
        <v>4.7619047620000003</v>
      </c>
      <c r="Q725">
        <v>147.08000000000001</v>
      </c>
      <c r="R725">
        <v>7.77</v>
      </c>
      <c r="S725">
        <v>96.078500000000005</v>
      </c>
      <c r="T725">
        <v>19.763300000000001</v>
      </c>
    </row>
    <row r="726" spans="1:20" x14ac:dyDescent="0.3">
      <c r="A726" t="s">
        <v>1164</v>
      </c>
      <c r="B726" t="s">
        <v>51</v>
      </c>
      <c r="C726" t="s">
        <v>665</v>
      </c>
      <c r="D726" t="s">
        <v>53</v>
      </c>
      <c r="E726" t="s">
        <v>24</v>
      </c>
      <c r="F726" t="s">
        <v>36</v>
      </c>
      <c r="G726" t="s">
        <v>63</v>
      </c>
      <c r="H726">
        <v>23.34</v>
      </c>
      <c r="I726">
        <v>8</v>
      </c>
      <c r="J726">
        <v>9.3360000000000003</v>
      </c>
      <c r="K726">
        <v>186.72</v>
      </c>
      <c r="L726" s="1">
        <v>43478</v>
      </c>
      <c r="M726" s="2">
        <v>0.78680555555555554</v>
      </c>
      <c r="N726" t="s">
        <v>27</v>
      </c>
      <c r="O726">
        <v>93.36</v>
      </c>
      <c r="P726">
        <v>4.7619047620000003</v>
      </c>
      <c r="Q726">
        <v>93.36</v>
      </c>
      <c r="R726">
        <v>8.8800000000000008</v>
      </c>
      <c r="S726">
        <v>96.089100000000002</v>
      </c>
      <c r="T726">
        <v>21.9588</v>
      </c>
    </row>
    <row r="727" spans="1:20" x14ac:dyDescent="0.3">
      <c r="A727" t="s">
        <v>1165</v>
      </c>
      <c r="B727" t="s">
        <v>29</v>
      </c>
      <c r="C727" t="s">
        <v>999</v>
      </c>
      <c r="D727" t="s">
        <v>31</v>
      </c>
      <c r="E727" t="s">
        <v>24</v>
      </c>
      <c r="F727" t="s">
        <v>25</v>
      </c>
      <c r="G727" t="s">
        <v>26</v>
      </c>
      <c r="H727">
        <v>28.5</v>
      </c>
      <c r="I727">
        <v>14</v>
      </c>
      <c r="J727">
        <v>19.95</v>
      </c>
      <c r="K727">
        <v>399</v>
      </c>
      <c r="L727" s="1">
        <v>43788</v>
      </c>
      <c r="M727" s="2">
        <v>0.6</v>
      </c>
      <c r="N727" t="s">
        <v>33</v>
      </c>
      <c r="O727">
        <v>228</v>
      </c>
      <c r="P727">
        <v>4.7619047620000003</v>
      </c>
      <c r="Q727">
        <v>171</v>
      </c>
      <c r="R727">
        <v>7.46</v>
      </c>
      <c r="S727">
        <v>96.078500000000005</v>
      </c>
      <c r="T727">
        <v>19.763300000000001</v>
      </c>
    </row>
    <row r="728" spans="1:20" x14ac:dyDescent="0.3">
      <c r="A728" t="s">
        <v>1166</v>
      </c>
      <c r="B728" t="s">
        <v>29</v>
      </c>
      <c r="C728" t="s">
        <v>893</v>
      </c>
      <c r="D728" t="s">
        <v>31</v>
      </c>
      <c r="E728" t="s">
        <v>24</v>
      </c>
      <c r="F728" t="s">
        <v>36</v>
      </c>
      <c r="G728" t="s">
        <v>77</v>
      </c>
      <c r="H728">
        <v>55.57</v>
      </c>
      <c r="I728">
        <v>6</v>
      </c>
      <c r="J728">
        <v>16.670999999999999</v>
      </c>
      <c r="K728">
        <v>333.42</v>
      </c>
      <c r="L728" s="1">
        <v>43568</v>
      </c>
      <c r="M728" s="2">
        <v>0.48749999999999999</v>
      </c>
      <c r="N728" t="s">
        <v>37</v>
      </c>
      <c r="O728">
        <v>166.71</v>
      </c>
      <c r="P728">
        <v>4.7619047620000003</v>
      </c>
      <c r="Q728">
        <v>166.71</v>
      </c>
      <c r="R728">
        <v>7.46</v>
      </c>
      <c r="S728">
        <v>96.078500000000005</v>
      </c>
      <c r="T728">
        <v>19.763300000000001</v>
      </c>
    </row>
    <row r="729" spans="1:20" x14ac:dyDescent="0.3">
      <c r="A729" t="s">
        <v>1167</v>
      </c>
      <c r="B729" t="s">
        <v>51</v>
      </c>
      <c r="C729" t="s">
        <v>282</v>
      </c>
      <c r="D729" t="s">
        <v>53</v>
      </c>
      <c r="E729" t="s">
        <v>32</v>
      </c>
      <c r="F729" t="s">
        <v>36</v>
      </c>
      <c r="G729" t="s">
        <v>68</v>
      </c>
      <c r="H729">
        <v>69.739999999999995</v>
      </c>
      <c r="I729">
        <v>14</v>
      </c>
      <c r="J729">
        <v>48.817999999999998</v>
      </c>
      <c r="K729">
        <v>976.36</v>
      </c>
      <c r="L729" s="1">
        <v>43496</v>
      </c>
      <c r="M729" s="2">
        <v>0.74236111111111114</v>
      </c>
      <c r="N729" t="s">
        <v>37</v>
      </c>
      <c r="O729">
        <v>697.4</v>
      </c>
      <c r="P729">
        <v>4.7619047620000003</v>
      </c>
      <c r="Q729">
        <v>278.95999999999998</v>
      </c>
      <c r="R729">
        <v>7.46</v>
      </c>
      <c r="S729">
        <v>96.089100000000002</v>
      </c>
      <c r="T729">
        <v>21.9588</v>
      </c>
    </row>
    <row r="730" spans="1:20" x14ac:dyDescent="0.3">
      <c r="A730" t="s">
        <v>1168</v>
      </c>
      <c r="B730" t="s">
        <v>29</v>
      </c>
      <c r="C730" t="s">
        <v>990</v>
      </c>
      <c r="D730" t="s">
        <v>31</v>
      </c>
      <c r="E730" t="s">
        <v>32</v>
      </c>
      <c r="F730" t="s">
        <v>36</v>
      </c>
      <c r="G730" t="s">
        <v>100</v>
      </c>
      <c r="H730">
        <v>97.26</v>
      </c>
      <c r="I730">
        <v>5</v>
      </c>
      <c r="J730">
        <v>24.315000000000001</v>
      </c>
      <c r="K730">
        <v>486.3</v>
      </c>
      <c r="L730" s="1">
        <v>43817</v>
      </c>
      <c r="M730" s="2">
        <v>0.6479166666666667</v>
      </c>
      <c r="N730" t="s">
        <v>27</v>
      </c>
      <c r="O730">
        <v>389.04</v>
      </c>
      <c r="P730">
        <v>4.7619047620000003</v>
      </c>
      <c r="Q730">
        <v>97.26</v>
      </c>
      <c r="R730">
        <v>7.46</v>
      </c>
      <c r="S730">
        <v>96.078500000000005</v>
      </c>
      <c r="T730">
        <v>19.763300000000001</v>
      </c>
    </row>
    <row r="731" spans="1:20" x14ac:dyDescent="0.3">
      <c r="A731" t="s">
        <v>1169</v>
      </c>
      <c r="B731" t="s">
        <v>51</v>
      </c>
      <c r="C731" t="s">
        <v>926</v>
      </c>
      <c r="D731" t="s">
        <v>53</v>
      </c>
      <c r="E731" t="s">
        <v>24</v>
      </c>
      <c r="F731" t="s">
        <v>25</v>
      </c>
      <c r="G731" t="s">
        <v>77</v>
      </c>
      <c r="H731">
        <v>52.18</v>
      </c>
      <c r="I731">
        <v>14</v>
      </c>
      <c r="J731">
        <v>36.526000000000003</v>
      </c>
      <c r="K731">
        <v>730.52</v>
      </c>
      <c r="L731" s="1">
        <v>43697</v>
      </c>
      <c r="M731" s="2">
        <v>0.45416666666666666</v>
      </c>
      <c r="N731" t="s">
        <v>33</v>
      </c>
      <c r="O731">
        <v>365.26</v>
      </c>
      <c r="P731">
        <v>4.7619047620000003</v>
      </c>
      <c r="Q731">
        <v>365.26</v>
      </c>
      <c r="R731">
        <v>7.46</v>
      </c>
      <c r="S731">
        <v>96.089100000000002</v>
      </c>
      <c r="T731">
        <v>21.9588</v>
      </c>
    </row>
    <row r="732" spans="1:20" x14ac:dyDescent="0.3">
      <c r="A732" t="s">
        <v>1170</v>
      </c>
      <c r="B732" t="s">
        <v>21</v>
      </c>
      <c r="C732" t="s">
        <v>205</v>
      </c>
      <c r="D732" t="s">
        <v>23</v>
      </c>
      <c r="E732" t="s">
        <v>24</v>
      </c>
      <c r="F732" t="s">
        <v>25</v>
      </c>
      <c r="G732" t="s">
        <v>100</v>
      </c>
      <c r="H732">
        <v>22.32</v>
      </c>
      <c r="I732">
        <v>6</v>
      </c>
      <c r="J732">
        <v>6.6959999999999997</v>
      </c>
      <c r="K732">
        <v>133.91999999999999</v>
      </c>
      <c r="L732" s="1">
        <v>43498</v>
      </c>
      <c r="M732" s="2">
        <v>0.68263888888888891</v>
      </c>
      <c r="N732" t="s">
        <v>37</v>
      </c>
      <c r="O732">
        <v>89.28</v>
      </c>
      <c r="P732">
        <v>4.7619047620000003</v>
      </c>
      <c r="Q732">
        <v>44.64</v>
      </c>
      <c r="R732">
        <v>7.46</v>
      </c>
      <c r="S732">
        <v>96.173500000000004</v>
      </c>
      <c r="T732">
        <v>16.840900000000001</v>
      </c>
    </row>
    <row r="733" spans="1:20" x14ac:dyDescent="0.3">
      <c r="A733" t="s">
        <v>1171</v>
      </c>
      <c r="B733" t="s">
        <v>21</v>
      </c>
      <c r="C733" t="s">
        <v>1172</v>
      </c>
      <c r="D733" t="s">
        <v>23</v>
      </c>
      <c r="E733" t="s">
        <v>32</v>
      </c>
      <c r="F733" t="s">
        <v>36</v>
      </c>
      <c r="G733" t="s">
        <v>26</v>
      </c>
      <c r="H733">
        <v>56</v>
      </c>
      <c r="I733">
        <v>3</v>
      </c>
      <c r="J733">
        <v>8.4</v>
      </c>
      <c r="K733">
        <v>168</v>
      </c>
      <c r="L733" s="1">
        <v>43670</v>
      </c>
      <c r="M733" s="2">
        <v>0.81458333333333333</v>
      </c>
      <c r="N733" t="s">
        <v>27</v>
      </c>
      <c r="O733">
        <v>168</v>
      </c>
      <c r="P733">
        <v>4.7619047620000003</v>
      </c>
      <c r="Q733">
        <v>0</v>
      </c>
      <c r="R733">
        <v>4.8</v>
      </c>
      <c r="S733">
        <v>96.173500000000004</v>
      </c>
      <c r="T733">
        <v>16.840900000000001</v>
      </c>
    </row>
    <row r="734" spans="1:20" x14ac:dyDescent="0.3">
      <c r="A734" t="s">
        <v>1173</v>
      </c>
      <c r="B734" t="s">
        <v>21</v>
      </c>
      <c r="C734" t="s">
        <v>41</v>
      </c>
      <c r="D734" t="s">
        <v>23</v>
      </c>
      <c r="E734" t="s">
        <v>24</v>
      </c>
      <c r="F734" t="s">
        <v>36</v>
      </c>
      <c r="G734" t="s">
        <v>100</v>
      </c>
      <c r="H734">
        <v>19.7</v>
      </c>
      <c r="I734">
        <v>1</v>
      </c>
      <c r="J734">
        <v>0.98499999999999999</v>
      </c>
      <c r="K734">
        <v>19.7</v>
      </c>
      <c r="L734" s="1">
        <v>43820</v>
      </c>
      <c r="M734" s="2">
        <v>0.48541666666666666</v>
      </c>
      <c r="N734" t="s">
        <v>27</v>
      </c>
      <c r="O734">
        <v>19.7</v>
      </c>
      <c r="P734">
        <v>4.7619047620000003</v>
      </c>
      <c r="Q734">
        <v>0</v>
      </c>
      <c r="R734">
        <v>9.5</v>
      </c>
      <c r="S734">
        <v>96.173500000000004</v>
      </c>
      <c r="T734">
        <v>16.840900000000001</v>
      </c>
    </row>
    <row r="735" spans="1:20" x14ac:dyDescent="0.3">
      <c r="A735" t="s">
        <v>1174</v>
      </c>
      <c r="B735" t="s">
        <v>51</v>
      </c>
      <c r="C735" t="s">
        <v>91</v>
      </c>
      <c r="D735" t="s">
        <v>53</v>
      </c>
      <c r="E735" t="s">
        <v>32</v>
      </c>
      <c r="F735" t="s">
        <v>36</v>
      </c>
      <c r="G735" t="s">
        <v>60</v>
      </c>
      <c r="H735">
        <v>75.88</v>
      </c>
      <c r="I735">
        <v>10</v>
      </c>
      <c r="J735">
        <v>37.94</v>
      </c>
      <c r="K735">
        <v>758.8</v>
      </c>
      <c r="L735" s="1">
        <v>43507</v>
      </c>
      <c r="M735" s="2">
        <v>0.44305555555555554</v>
      </c>
      <c r="N735" t="s">
        <v>27</v>
      </c>
      <c r="O735">
        <v>531.16</v>
      </c>
      <c r="P735">
        <v>4.7619047620000003</v>
      </c>
      <c r="Q735">
        <v>227.64</v>
      </c>
      <c r="R735">
        <v>10</v>
      </c>
      <c r="S735">
        <v>96.089100000000002</v>
      </c>
      <c r="T735">
        <v>21.9588</v>
      </c>
    </row>
    <row r="736" spans="1:20" x14ac:dyDescent="0.3">
      <c r="A736" t="s">
        <v>1175</v>
      </c>
      <c r="B736" t="s">
        <v>51</v>
      </c>
      <c r="C736" t="s">
        <v>1176</v>
      </c>
      <c r="D736" t="s">
        <v>53</v>
      </c>
      <c r="E736" t="s">
        <v>24</v>
      </c>
      <c r="F736" t="s">
        <v>36</v>
      </c>
      <c r="G736" t="s">
        <v>63</v>
      </c>
      <c r="H736">
        <v>53.72</v>
      </c>
      <c r="I736">
        <v>1</v>
      </c>
      <c r="J736">
        <v>2.6859999999999999</v>
      </c>
      <c r="K736">
        <v>53.72</v>
      </c>
      <c r="L736" s="1">
        <v>43610</v>
      </c>
      <c r="M736" s="2">
        <v>0.8354166666666667</v>
      </c>
      <c r="N736" t="s">
        <v>27</v>
      </c>
      <c r="O736">
        <v>53.72</v>
      </c>
      <c r="P736">
        <v>4.7619047620000003</v>
      </c>
      <c r="Q736">
        <v>0</v>
      </c>
      <c r="R736">
        <v>7.68</v>
      </c>
      <c r="S736">
        <v>96.089100000000002</v>
      </c>
      <c r="T736">
        <v>21.9588</v>
      </c>
    </row>
    <row r="737" spans="1:20" x14ac:dyDescent="0.3">
      <c r="A737" t="s">
        <v>1177</v>
      </c>
      <c r="B737" t="s">
        <v>29</v>
      </c>
      <c r="C737" t="s">
        <v>990</v>
      </c>
      <c r="D737" t="s">
        <v>31</v>
      </c>
      <c r="E737" t="s">
        <v>24</v>
      </c>
      <c r="F737" t="s">
        <v>36</v>
      </c>
      <c r="G737" t="s">
        <v>26</v>
      </c>
      <c r="H737">
        <v>81.95</v>
      </c>
      <c r="I737">
        <v>17</v>
      </c>
      <c r="J737">
        <v>69.657499999999999</v>
      </c>
      <c r="K737">
        <v>1393.15</v>
      </c>
      <c r="L737" s="1">
        <v>43824</v>
      </c>
      <c r="M737" s="2">
        <v>0.52708333333333335</v>
      </c>
      <c r="N737" t="s">
        <v>37</v>
      </c>
      <c r="O737">
        <v>819.5</v>
      </c>
      <c r="P737">
        <v>4.7619047620000003</v>
      </c>
      <c r="Q737">
        <v>573.65</v>
      </c>
      <c r="R737">
        <v>6.3</v>
      </c>
      <c r="S737">
        <v>96.078500000000005</v>
      </c>
      <c r="T737">
        <v>19.763300000000001</v>
      </c>
    </row>
    <row r="738" spans="1:20" x14ac:dyDescent="0.3">
      <c r="A738" t="s">
        <v>1178</v>
      </c>
      <c r="B738" t="s">
        <v>29</v>
      </c>
      <c r="C738" t="s">
        <v>1179</v>
      </c>
      <c r="D738" t="s">
        <v>31</v>
      </c>
      <c r="E738" t="s">
        <v>24</v>
      </c>
      <c r="F738" t="s">
        <v>25</v>
      </c>
      <c r="G738" t="s">
        <v>77</v>
      </c>
      <c r="H738">
        <v>81.2</v>
      </c>
      <c r="I738">
        <v>11</v>
      </c>
      <c r="J738">
        <v>44.66</v>
      </c>
      <c r="K738">
        <v>893.2</v>
      </c>
      <c r="L738" s="1">
        <v>43555</v>
      </c>
      <c r="M738" s="2">
        <v>0.66597222222222219</v>
      </c>
      <c r="N738" t="s">
        <v>37</v>
      </c>
      <c r="O738">
        <v>568.4</v>
      </c>
      <c r="P738">
        <v>4.7619047620000003</v>
      </c>
      <c r="Q738">
        <v>324.8</v>
      </c>
      <c r="R738">
        <v>8.5050000000000008</v>
      </c>
      <c r="S738">
        <v>96.078500000000005</v>
      </c>
      <c r="T738">
        <v>19.763300000000001</v>
      </c>
    </row>
    <row r="739" spans="1:20" x14ac:dyDescent="0.3">
      <c r="A739" t="s">
        <v>1180</v>
      </c>
      <c r="B739" t="s">
        <v>29</v>
      </c>
      <c r="C739" t="s">
        <v>1181</v>
      </c>
      <c r="D739" t="s">
        <v>31</v>
      </c>
      <c r="E739" t="s">
        <v>32</v>
      </c>
      <c r="F739" t="s">
        <v>36</v>
      </c>
      <c r="G739" t="s">
        <v>60</v>
      </c>
      <c r="H739">
        <v>58.76</v>
      </c>
      <c r="I739">
        <v>12</v>
      </c>
      <c r="J739">
        <v>35.256</v>
      </c>
      <c r="K739">
        <v>705.12</v>
      </c>
      <c r="L739" s="1">
        <v>43523</v>
      </c>
      <c r="M739" s="2">
        <v>0.60138888888888886</v>
      </c>
      <c r="N739" t="s">
        <v>27</v>
      </c>
      <c r="O739">
        <v>587.6</v>
      </c>
      <c r="P739">
        <v>4.7619047620000003</v>
      </c>
      <c r="Q739">
        <v>117.52</v>
      </c>
      <c r="R739">
        <v>9.4499999999999993</v>
      </c>
      <c r="S739">
        <v>96.078500000000005</v>
      </c>
      <c r="T739">
        <v>19.763300000000001</v>
      </c>
    </row>
    <row r="740" spans="1:20" x14ac:dyDescent="0.3">
      <c r="A740" t="s">
        <v>1182</v>
      </c>
      <c r="B740" t="s">
        <v>51</v>
      </c>
      <c r="C740" t="s">
        <v>791</v>
      </c>
      <c r="D740" t="s">
        <v>53</v>
      </c>
      <c r="E740" t="s">
        <v>24</v>
      </c>
      <c r="F740" t="s">
        <v>36</v>
      </c>
      <c r="G740" t="s">
        <v>60</v>
      </c>
      <c r="H740">
        <v>91.56</v>
      </c>
      <c r="I740">
        <v>15</v>
      </c>
      <c r="J740">
        <v>68.67</v>
      </c>
      <c r="K740">
        <v>1373.4</v>
      </c>
      <c r="L740" s="1">
        <v>43640</v>
      </c>
      <c r="M740" s="2">
        <v>0.76527777777777772</v>
      </c>
      <c r="N740" t="s">
        <v>27</v>
      </c>
      <c r="O740">
        <v>732.48</v>
      </c>
      <c r="P740">
        <v>4.7619047620000003</v>
      </c>
      <c r="Q740">
        <v>640.91999999999996</v>
      </c>
      <c r="R740">
        <v>7.2</v>
      </c>
      <c r="S740">
        <v>96.089100000000002</v>
      </c>
      <c r="T740">
        <v>21.9588</v>
      </c>
    </row>
    <row r="741" spans="1:20" x14ac:dyDescent="0.3">
      <c r="A741" t="s">
        <v>1183</v>
      </c>
      <c r="B741" t="s">
        <v>21</v>
      </c>
      <c r="C741" t="s">
        <v>339</v>
      </c>
      <c r="D741" t="s">
        <v>23</v>
      </c>
      <c r="E741" t="s">
        <v>32</v>
      </c>
      <c r="F741" t="s">
        <v>36</v>
      </c>
      <c r="G741" t="s">
        <v>77</v>
      </c>
      <c r="H741">
        <v>93.96</v>
      </c>
      <c r="I741">
        <v>9</v>
      </c>
      <c r="J741">
        <v>42.281999999999996</v>
      </c>
      <c r="K741">
        <v>845.64</v>
      </c>
      <c r="L741" s="1">
        <v>43657</v>
      </c>
      <c r="M741" s="2">
        <v>0.48055555555555557</v>
      </c>
      <c r="N741" t="s">
        <v>33</v>
      </c>
      <c r="O741">
        <v>845.64</v>
      </c>
      <c r="P741">
        <v>4.7619047620000003</v>
      </c>
      <c r="Q741">
        <v>0</v>
      </c>
      <c r="R741">
        <v>9.8000000000000007</v>
      </c>
      <c r="S741">
        <v>96.173500000000004</v>
      </c>
      <c r="T741">
        <v>16.840900000000001</v>
      </c>
    </row>
    <row r="742" spans="1:20" x14ac:dyDescent="0.3">
      <c r="A742" t="s">
        <v>1184</v>
      </c>
      <c r="B742" t="s">
        <v>29</v>
      </c>
      <c r="C742" t="s">
        <v>592</v>
      </c>
      <c r="D742" t="s">
        <v>31</v>
      </c>
      <c r="E742" t="s">
        <v>32</v>
      </c>
      <c r="F742" t="s">
        <v>36</v>
      </c>
      <c r="G742" t="s">
        <v>77</v>
      </c>
      <c r="H742">
        <v>55.61</v>
      </c>
      <c r="I742">
        <v>8</v>
      </c>
      <c r="J742">
        <v>22.244</v>
      </c>
      <c r="K742">
        <v>444.88</v>
      </c>
      <c r="L742" s="1">
        <v>43777</v>
      </c>
      <c r="M742" s="2">
        <v>0.52847222222222223</v>
      </c>
      <c r="N742" t="s">
        <v>33</v>
      </c>
      <c r="O742">
        <v>389.27</v>
      </c>
      <c r="P742">
        <v>4.7619047620000003</v>
      </c>
      <c r="Q742">
        <v>55.61</v>
      </c>
      <c r="R742">
        <v>8.9250000000000007</v>
      </c>
      <c r="S742">
        <v>96.078500000000005</v>
      </c>
      <c r="T742">
        <v>19.763300000000001</v>
      </c>
    </row>
    <row r="743" spans="1:20" x14ac:dyDescent="0.3">
      <c r="A743" t="s">
        <v>1185</v>
      </c>
      <c r="B743" t="s">
        <v>29</v>
      </c>
      <c r="C743" t="s">
        <v>466</v>
      </c>
      <c r="D743" t="s">
        <v>31</v>
      </c>
      <c r="E743" t="s">
        <v>32</v>
      </c>
      <c r="F743" t="s">
        <v>36</v>
      </c>
      <c r="G743" t="s">
        <v>63</v>
      </c>
      <c r="H743">
        <v>84.83</v>
      </c>
      <c r="I743">
        <v>1</v>
      </c>
      <c r="J743">
        <v>4.2415000000000003</v>
      </c>
      <c r="K743">
        <v>84.83</v>
      </c>
      <c r="L743" s="1">
        <v>43818</v>
      </c>
      <c r="M743" s="2">
        <v>0.63888888888888884</v>
      </c>
      <c r="N743" t="s">
        <v>27</v>
      </c>
      <c r="O743">
        <v>84.83</v>
      </c>
      <c r="P743">
        <v>4.7619047620000003</v>
      </c>
      <c r="Q743">
        <v>0</v>
      </c>
      <c r="R743">
        <v>9.24</v>
      </c>
      <c r="S743">
        <v>96.078500000000005</v>
      </c>
      <c r="T743">
        <v>19.763300000000001</v>
      </c>
    </row>
    <row r="744" spans="1:20" x14ac:dyDescent="0.3">
      <c r="A744" t="s">
        <v>1186</v>
      </c>
      <c r="B744" t="s">
        <v>21</v>
      </c>
      <c r="C744" t="s">
        <v>885</v>
      </c>
      <c r="D744" t="s">
        <v>23</v>
      </c>
      <c r="E744" t="s">
        <v>24</v>
      </c>
      <c r="F744" t="s">
        <v>25</v>
      </c>
      <c r="G744" t="s">
        <v>68</v>
      </c>
      <c r="H744">
        <v>71.63</v>
      </c>
      <c r="I744">
        <v>3</v>
      </c>
      <c r="J744">
        <v>10.7445</v>
      </c>
      <c r="K744">
        <v>214.89</v>
      </c>
      <c r="L744" s="1">
        <v>43541</v>
      </c>
      <c r="M744" s="2">
        <v>0.60624999999999996</v>
      </c>
      <c r="N744" t="s">
        <v>27</v>
      </c>
      <c r="O744">
        <v>143.26</v>
      </c>
      <c r="P744">
        <v>4.7619047620000003</v>
      </c>
      <c r="Q744">
        <v>71.63</v>
      </c>
      <c r="R744">
        <v>8.8000000000000007</v>
      </c>
      <c r="S744">
        <v>96.173500000000004</v>
      </c>
      <c r="T744">
        <v>16.840900000000001</v>
      </c>
    </row>
    <row r="745" spans="1:20" x14ac:dyDescent="0.3">
      <c r="A745" t="s">
        <v>1187</v>
      </c>
      <c r="B745" t="s">
        <v>21</v>
      </c>
      <c r="C745" t="s">
        <v>484</v>
      </c>
      <c r="D745" t="s">
        <v>23</v>
      </c>
      <c r="E745" t="s">
        <v>24</v>
      </c>
      <c r="F745" t="s">
        <v>36</v>
      </c>
      <c r="G745" t="s">
        <v>77</v>
      </c>
      <c r="H745">
        <v>37.69</v>
      </c>
      <c r="I745">
        <v>3</v>
      </c>
      <c r="J745">
        <v>5.6535000000000002</v>
      </c>
      <c r="K745">
        <v>113.07</v>
      </c>
      <c r="L745" s="1">
        <v>43669</v>
      </c>
      <c r="M745" s="2">
        <v>0.64513888888888893</v>
      </c>
      <c r="N745" t="s">
        <v>27</v>
      </c>
      <c r="O745">
        <v>75.38</v>
      </c>
      <c r="P745">
        <v>4.7619047620000003</v>
      </c>
      <c r="Q745">
        <v>37.69</v>
      </c>
      <c r="R745">
        <v>9.5</v>
      </c>
      <c r="S745">
        <v>96.173500000000004</v>
      </c>
      <c r="T745">
        <v>16.840900000000001</v>
      </c>
    </row>
    <row r="746" spans="1:20" x14ac:dyDescent="0.3">
      <c r="A746" t="s">
        <v>1188</v>
      </c>
      <c r="B746" t="s">
        <v>29</v>
      </c>
      <c r="C746" t="s">
        <v>43</v>
      </c>
      <c r="D746" t="s">
        <v>31</v>
      </c>
      <c r="E746" t="s">
        <v>24</v>
      </c>
      <c r="F746" t="s">
        <v>25</v>
      </c>
      <c r="G746" t="s">
        <v>100</v>
      </c>
      <c r="H746">
        <v>31.67</v>
      </c>
      <c r="I746">
        <v>14</v>
      </c>
      <c r="J746">
        <v>22.169</v>
      </c>
      <c r="K746">
        <v>443.38</v>
      </c>
      <c r="L746" s="1">
        <v>43618</v>
      </c>
      <c r="M746" s="2">
        <v>0.67986111111111114</v>
      </c>
      <c r="N746" t="s">
        <v>37</v>
      </c>
      <c r="O746">
        <v>253.36</v>
      </c>
      <c r="P746">
        <v>4.7619047620000003</v>
      </c>
      <c r="Q746">
        <v>190.02</v>
      </c>
      <c r="R746">
        <v>5.88</v>
      </c>
      <c r="S746">
        <v>96.078500000000005</v>
      </c>
      <c r="T746">
        <v>19.763300000000001</v>
      </c>
    </row>
    <row r="747" spans="1:20" x14ac:dyDescent="0.3">
      <c r="A747" t="s">
        <v>1189</v>
      </c>
      <c r="B747" t="s">
        <v>29</v>
      </c>
      <c r="C747" t="s">
        <v>950</v>
      </c>
      <c r="D747" t="s">
        <v>31</v>
      </c>
      <c r="E747" t="s">
        <v>24</v>
      </c>
      <c r="F747" t="s">
        <v>25</v>
      </c>
      <c r="G747" t="s">
        <v>100</v>
      </c>
      <c r="H747">
        <v>38.42</v>
      </c>
      <c r="I747">
        <v>1</v>
      </c>
      <c r="J747">
        <v>1.921</v>
      </c>
      <c r="K747">
        <v>38.42</v>
      </c>
      <c r="L747" s="1">
        <v>43610</v>
      </c>
      <c r="M747" s="2">
        <v>0.68958333333333333</v>
      </c>
      <c r="N747" t="s">
        <v>33</v>
      </c>
      <c r="O747">
        <v>38.42</v>
      </c>
      <c r="P747">
        <v>4.7619047620000003</v>
      </c>
      <c r="Q747">
        <v>0</v>
      </c>
      <c r="R747">
        <v>9.0299999999999994</v>
      </c>
      <c r="S747">
        <v>96.078500000000005</v>
      </c>
      <c r="T747">
        <v>19.763300000000001</v>
      </c>
    </row>
    <row r="748" spans="1:20" x14ac:dyDescent="0.3">
      <c r="A748" t="s">
        <v>1190</v>
      </c>
      <c r="B748" t="s">
        <v>51</v>
      </c>
      <c r="C748" t="s">
        <v>889</v>
      </c>
      <c r="D748" t="s">
        <v>53</v>
      </c>
      <c r="E748" t="s">
        <v>24</v>
      </c>
      <c r="F748" t="s">
        <v>36</v>
      </c>
      <c r="G748" t="s">
        <v>100</v>
      </c>
      <c r="H748">
        <v>65.23</v>
      </c>
      <c r="I748">
        <v>20</v>
      </c>
      <c r="J748">
        <v>65.23</v>
      </c>
      <c r="K748">
        <v>1304.5999999999999</v>
      </c>
      <c r="L748" s="1">
        <v>43760</v>
      </c>
      <c r="M748" s="2">
        <v>0.79652777777777772</v>
      </c>
      <c r="N748" t="s">
        <v>37</v>
      </c>
      <c r="O748">
        <v>652.29999999999995</v>
      </c>
      <c r="P748">
        <v>4.7619047620000003</v>
      </c>
      <c r="Q748">
        <v>652.29999999999995</v>
      </c>
      <c r="R748">
        <v>6.24</v>
      </c>
      <c r="S748">
        <v>96.089100000000002</v>
      </c>
      <c r="T748">
        <v>21.9588</v>
      </c>
    </row>
    <row r="749" spans="1:20" x14ac:dyDescent="0.3">
      <c r="A749" t="s">
        <v>1191</v>
      </c>
      <c r="B749" t="s">
        <v>29</v>
      </c>
      <c r="C749" t="s">
        <v>1192</v>
      </c>
      <c r="D749" t="s">
        <v>31</v>
      </c>
      <c r="E749" t="s">
        <v>24</v>
      </c>
      <c r="F749" t="s">
        <v>25</v>
      </c>
      <c r="G749" t="s">
        <v>100</v>
      </c>
      <c r="H749">
        <v>10.53</v>
      </c>
      <c r="I749">
        <v>8</v>
      </c>
      <c r="J749">
        <v>4.2119999999999997</v>
      </c>
      <c r="K749">
        <v>84.24</v>
      </c>
      <c r="L749" s="1">
        <v>43708</v>
      </c>
      <c r="M749" s="2">
        <v>0.61319444444444449</v>
      </c>
      <c r="N749" t="s">
        <v>37</v>
      </c>
      <c r="O749">
        <v>52.65</v>
      </c>
      <c r="P749">
        <v>4.7619047620000003</v>
      </c>
      <c r="Q749">
        <v>31.59</v>
      </c>
      <c r="R749">
        <v>6.09</v>
      </c>
      <c r="S749">
        <v>96.078500000000005</v>
      </c>
      <c r="T749">
        <v>19.763300000000001</v>
      </c>
    </row>
    <row r="750" spans="1:20" x14ac:dyDescent="0.3">
      <c r="A750" t="s">
        <v>1193</v>
      </c>
      <c r="B750" t="s">
        <v>51</v>
      </c>
      <c r="C750" t="s">
        <v>104</v>
      </c>
      <c r="D750" t="s">
        <v>53</v>
      </c>
      <c r="E750" t="s">
        <v>24</v>
      </c>
      <c r="F750" t="s">
        <v>25</v>
      </c>
      <c r="G750" t="s">
        <v>100</v>
      </c>
      <c r="H750">
        <v>12.29</v>
      </c>
      <c r="I750">
        <v>18</v>
      </c>
      <c r="J750">
        <v>11.061</v>
      </c>
      <c r="K750">
        <v>221.22</v>
      </c>
      <c r="L750" s="1">
        <v>43646</v>
      </c>
      <c r="M750" s="2">
        <v>0.81111111111111112</v>
      </c>
      <c r="N750" t="s">
        <v>37</v>
      </c>
      <c r="O750">
        <v>110.61</v>
      </c>
      <c r="P750">
        <v>4.7619047620000003</v>
      </c>
      <c r="Q750">
        <v>110.61</v>
      </c>
      <c r="R750">
        <v>9.6</v>
      </c>
      <c r="S750">
        <v>96.089100000000002</v>
      </c>
      <c r="T750">
        <v>21.9588</v>
      </c>
    </row>
    <row r="751" spans="1:20" x14ac:dyDescent="0.3">
      <c r="A751" t="s">
        <v>1194</v>
      </c>
      <c r="B751" t="s">
        <v>29</v>
      </c>
      <c r="C751" t="s">
        <v>1195</v>
      </c>
      <c r="D751" t="s">
        <v>31</v>
      </c>
      <c r="E751" t="s">
        <v>24</v>
      </c>
      <c r="F751" t="s">
        <v>36</v>
      </c>
      <c r="G751" t="s">
        <v>100</v>
      </c>
      <c r="H751">
        <v>81.23</v>
      </c>
      <c r="I751">
        <v>11</v>
      </c>
      <c r="J751">
        <v>44.676499999999997</v>
      </c>
      <c r="K751">
        <v>893.53</v>
      </c>
      <c r="L751" s="1">
        <v>43706</v>
      </c>
      <c r="M751" s="2">
        <v>0.86388888888888893</v>
      </c>
      <c r="N751" t="s">
        <v>33</v>
      </c>
      <c r="O751">
        <v>568.61</v>
      </c>
      <c r="P751">
        <v>4.7619047620000003</v>
      </c>
      <c r="Q751">
        <v>324.92</v>
      </c>
      <c r="R751">
        <v>9.4499999999999993</v>
      </c>
      <c r="S751">
        <v>96.078500000000005</v>
      </c>
      <c r="T751">
        <v>19.763300000000001</v>
      </c>
    </row>
    <row r="752" spans="1:20" x14ac:dyDescent="0.3">
      <c r="A752" t="s">
        <v>1196</v>
      </c>
      <c r="B752" t="s">
        <v>51</v>
      </c>
      <c r="C752" t="s">
        <v>895</v>
      </c>
      <c r="D752" t="s">
        <v>53</v>
      </c>
      <c r="E752" t="s">
        <v>24</v>
      </c>
      <c r="F752" t="s">
        <v>25</v>
      </c>
      <c r="G752" t="s">
        <v>100</v>
      </c>
      <c r="H752">
        <v>22.32</v>
      </c>
      <c r="I752">
        <v>8</v>
      </c>
      <c r="J752">
        <v>8.9280000000000008</v>
      </c>
      <c r="K752">
        <v>178.56</v>
      </c>
      <c r="L752" s="1">
        <v>43572</v>
      </c>
      <c r="M752" s="2">
        <v>0.46944444444444444</v>
      </c>
      <c r="N752" t="s">
        <v>27</v>
      </c>
      <c r="O752">
        <v>89.28</v>
      </c>
      <c r="P752">
        <v>4.7619047620000003</v>
      </c>
      <c r="Q752">
        <v>89.28</v>
      </c>
      <c r="R752">
        <v>4.92</v>
      </c>
      <c r="S752">
        <v>96.089100000000002</v>
      </c>
      <c r="T752">
        <v>21.9588</v>
      </c>
    </row>
    <row r="753" spans="1:20" x14ac:dyDescent="0.3">
      <c r="A753" t="s">
        <v>1197</v>
      </c>
      <c r="B753" t="s">
        <v>21</v>
      </c>
      <c r="C753" t="s">
        <v>294</v>
      </c>
      <c r="D753" t="s">
        <v>23</v>
      </c>
      <c r="E753" t="s">
        <v>32</v>
      </c>
      <c r="F753" t="s">
        <v>25</v>
      </c>
      <c r="G753" t="s">
        <v>63</v>
      </c>
      <c r="H753">
        <v>27.28</v>
      </c>
      <c r="I753">
        <v>5</v>
      </c>
      <c r="J753">
        <v>6.82</v>
      </c>
      <c r="K753">
        <v>136.4</v>
      </c>
      <c r="L753" s="1">
        <v>43772</v>
      </c>
      <c r="M753" s="2">
        <v>0.43819444444444444</v>
      </c>
      <c r="N753" t="s">
        <v>37</v>
      </c>
      <c r="O753">
        <v>136.4</v>
      </c>
      <c r="P753">
        <v>4.7619047620000003</v>
      </c>
      <c r="Q753">
        <v>0</v>
      </c>
      <c r="R753">
        <v>8.6</v>
      </c>
      <c r="S753">
        <v>96.173500000000004</v>
      </c>
      <c r="T753">
        <v>16.840900000000001</v>
      </c>
    </row>
    <row r="754" spans="1:20" x14ac:dyDescent="0.3">
      <c r="A754" t="s">
        <v>1198</v>
      </c>
      <c r="B754" t="s">
        <v>21</v>
      </c>
      <c r="C754" t="s">
        <v>316</v>
      </c>
      <c r="D754" t="s">
        <v>23</v>
      </c>
      <c r="E754" t="s">
        <v>24</v>
      </c>
      <c r="F754" t="s">
        <v>25</v>
      </c>
      <c r="G754" t="s">
        <v>60</v>
      </c>
      <c r="H754">
        <v>17.420000000000002</v>
      </c>
      <c r="I754">
        <v>14</v>
      </c>
      <c r="J754">
        <v>12.194000000000001</v>
      </c>
      <c r="K754">
        <v>243.88</v>
      </c>
      <c r="L754" s="1">
        <v>43786</v>
      </c>
      <c r="M754" s="2">
        <v>0.52083333333333337</v>
      </c>
      <c r="N754" t="s">
        <v>27</v>
      </c>
      <c r="O754">
        <v>174.2</v>
      </c>
      <c r="P754">
        <v>4.7619047620000003</v>
      </c>
      <c r="Q754">
        <v>69.680000000000007</v>
      </c>
      <c r="R754">
        <v>7</v>
      </c>
      <c r="S754">
        <v>96.173500000000004</v>
      </c>
      <c r="T754">
        <v>16.840900000000001</v>
      </c>
    </row>
    <row r="755" spans="1:20" x14ac:dyDescent="0.3">
      <c r="A755" t="s">
        <v>1199</v>
      </c>
      <c r="B755" t="s">
        <v>51</v>
      </c>
      <c r="C755" t="s">
        <v>328</v>
      </c>
      <c r="D755" t="s">
        <v>53</v>
      </c>
      <c r="E755" t="s">
        <v>32</v>
      </c>
      <c r="F755" t="s">
        <v>36</v>
      </c>
      <c r="G755" t="s">
        <v>77</v>
      </c>
      <c r="H755">
        <v>73.28</v>
      </c>
      <c r="I755">
        <v>7</v>
      </c>
      <c r="J755">
        <v>25.648</v>
      </c>
      <c r="K755">
        <v>512.96</v>
      </c>
      <c r="L755" s="1">
        <v>43562</v>
      </c>
      <c r="M755" s="2">
        <v>0.62847222222222221</v>
      </c>
      <c r="N755" t="s">
        <v>27</v>
      </c>
      <c r="O755">
        <v>366.4</v>
      </c>
      <c r="P755">
        <v>4.7619047620000003</v>
      </c>
      <c r="Q755">
        <v>146.56</v>
      </c>
      <c r="R755">
        <v>10</v>
      </c>
      <c r="S755">
        <v>96.089100000000002</v>
      </c>
      <c r="T755">
        <v>21.9588</v>
      </c>
    </row>
    <row r="756" spans="1:20" x14ac:dyDescent="0.3">
      <c r="A756" t="s">
        <v>1200</v>
      </c>
      <c r="B756" t="s">
        <v>29</v>
      </c>
      <c r="C756" t="s">
        <v>1201</v>
      </c>
      <c r="D756" t="s">
        <v>31</v>
      </c>
      <c r="E756" t="s">
        <v>24</v>
      </c>
      <c r="F756" t="s">
        <v>25</v>
      </c>
      <c r="G756" t="s">
        <v>68</v>
      </c>
      <c r="H756">
        <v>84.87</v>
      </c>
      <c r="I756">
        <v>6</v>
      </c>
      <c r="J756">
        <v>25.460999999999999</v>
      </c>
      <c r="K756">
        <v>509.22</v>
      </c>
      <c r="L756" s="1">
        <v>43521</v>
      </c>
      <c r="M756" s="2">
        <v>0.77083333333333337</v>
      </c>
      <c r="N756" t="s">
        <v>27</v>
      </c>
      <c r="O756">
        <v>254.61</v>
      </c>
      <c r="P756">
        <v>4.7619047620000003</v>
      </c>
      <c r="Q756">
        <v>254.61</v>
      </c>
      <c r="R756">
        <v>7.77</v>
      </c>
      <c r="S756">
        <v>96.078500000000005</v>
      </c>
      <c r="T756">
        <v>19.763300000000001</v>
      </c>
    </row>
    <row r="757" spans="1:20" x14ac:dyDescent="0.3">
      <c r="A757" t="s">
        <v>1202</v>
      </c>
      <c r="B757" t="s">
        <v>21</v>
      </c>
      <c r="C757" t="s">
        <v>1203</v>
      </c>
      <c r="D757" t="s">
        <v>23</v>
      </c>
      <c r="E757" t="s">
        <v>32</v>
      </c>
      <c r="F757" t="s">
        <v>25</v>
      </c>
      <c r="G757" t="s">
        <v>68</v>
      </c>
      <c r="H757">
        <v>97.29</v>
      </c>
      <c r="I757">
        <v>8</v>
      </c>
      <c r="J757">
        <v>38.915999999999997</v>
      </c>
      <c r="K757">
        <v>778.32</v>
      </c>
      <c r="L757" s="1">
        <v>43512</v>
      </c>
      <c r="M757" s="2">
        <v>0.5541666666666667</v>
      </c>
      <c r="N757" t="s">
        <v>37</v>
      </c>
      <c r="O757">
        <v>778.32</v>
      </c>
      <c r="P757">
        <v>4.7619047620000003</v>
      </c>
      <c r="Q757">
        <v>0</v>
      </c>
      <c r="R757">
        <v>6.2</v>
      </c>
      <c r="S757">
        <v>96.173500000000004</v>
      </c>
      <c r="T757">
        <v>16.840900000000001</v>
      </c>
    </row>
    <row r="758" spans="1:20" x14ac:dyDescent="0.3">
      <c r="A758" t="s">
        <v>1204</v>
      </c>
      <c r="B758" t="s">
        <v>51</v>
      </c>
      <c r="C758" t="s">
        <v>636</v>
      </c>
      <c r="D758" t="s">
        <v>53</v>
      </c>
      <c r="E758" t="s">
        <v>24</v>
      </c>
      <c r="F758" t="s">
        <v>25</v>
      </c>
      <c r="G758" t="s">
        <v>68</v>
      </c>
      <c r="H758">
        <v>35.74</v>
      </c>
      <c r="I758">
        <v>15</v>
      </c>
      <c r="J758">
        <v>26.805</v>
      </c>
      <c r="K758">
        <v>536.1</v>
      </c>
      <c r="L758" s="1">
        <v>43719</v>
      </c>
      <c r="M758" s="2">
        <v>0.64444444444444449</v>
      </c>
      <c r="N758" t="s">
        <v>27</v>
      </c>
      <c r="O758">
        <v>285.92</v>
      </c>
      <c r="P758">
        <v>4.7619047620000003</v>
      </c>
      <c r="Q758">
        <v>250.18</v>
      </c>
      <c r="R758">
        <v>5.88</v>
      </c>
      <c r="S758">
        <v>96.089100000000002</v>
      </c>
      <c r="T758">
        <v>21.9588</v>
      </c>
    </row>
    <row r="759" spans="1:20" x14ac:dyDescent="0.3">
      <c r="A759" t="s">
        <v>1205</v>
      </c>
      <c r="B759" t="s">
        <v>21</v>
      </c>
      <c r="C759" t="s">
        <v>1206</v>
      </c>
      <c r="D759" t="s">
        <v>23</v>
      </c>
      <c r="E759" t="s">
        <v>32</v>
      </c>
      <c r="F759" t="s">
        <v>25</v>
      </c>
      <c r="G759" t="s">
        <v>68</v>
      </c>
      <c r="H759">
        <v>96.52</v>
      </c>
      <c r="I759">
        <v>6</v>
      </c>
      <c r="J759">
        <v>28.956</v>
      </c>
      <c r="K759">
        <v>579.12</v>
      </c>
      <c r="L759" s="1">
        <v>43585</v>
      </c>
      <c r="M759" s="2">
        <v>0.49444444444444446</v>
      </c>
      <c r="N759" t="s">
        <v>33</v>
      </c>
      <c r="O759">
        <v>579.12</v>
      </c>
      <c r="P759">
        <v>4.7619047620000003</v>
      </c>
      <c r="Q759">
        <v>0</v>
      </c>
      <c r="R759">
        <v>4.5</v>
      </c>
      <c r="S759">
        <v>96.173500000000004</v>
      </c>
      <c r="T759">
        <v>16.840900000000001</v>
      </c>
    </row>
    <row r="760" spans="1:20" x14ac:dyDescent="0.3">
      <c r="A760" t="s">
        <v>1207</v>
      </c>
      <c r="B760" t="s">
        <v>21</v>
      </c>
      <c r="C760" t="s">
        <v>1208</v>
      </c>
      <c r="D760" t="s">
        <v>23</v>
      </c>
      <c r="E760" t="s">
        <v>24</v>
      </c>
      <c r="F760" t="s">
        <v>36</v>
      </c>
      <c r="G760" t="s">
        <v>68</v>
      </c>
      <c r="H760">
        <v>18.850000000000001</v>
      </c>
      <c r="I760">
        <v>14</v>
      </c>
      <c r="J760">
        <v>13.195</v>
      </c>
      <c r="K760">
        <v>263.89999999999998</v>
      </c>
      <c r="L760" s="1">
        <v>43651</v>
      </c>
      <c r="M760" s="2">
        <v>0.76666666666666672</v>
      </c>
      <c r="N760" t="s">
        <v>27</v>
      </c>
      <c r="O760">
        <v>188.5</v>
      </c>
      <c r="P760">
        <v>4.7619047620000003</v>
      </c>
      <c r="Q760">
        <v>75.400000000000006</v>
      </c>
      <c r="R760">
        <v>5.6</v>
      </c>
      <c r="S760">
        <v>96.173500000000004</v>
      </c>
      <c r="T760">
        <v>16.840900000000001</v>
      </c>
    </row>
    <row r="761" spans="1:20" x14ac:dyDescent="0.3">
      <c r="A761" t="s">
        <v>1209</v>
      </c>
      <c r="B761" t="s">
        <v>21</v>
      </c>
      <c r="C761" t="s">
        <v>72</v>
      </c>
      <c r="D761" t="s">
        <v>23</v>
      </c>
      <c r="E761" t="s">
        <v>32</v>
      </c>
      <c r="F761" t="s">
        <v>25</v>
      </c>
      <c r="G761" t="s">
        <v>68</v>
      </c>
      <c r="H761">
        <v>55.39</v>
      </c>
      <c r="I761">
        <v>4</v>
      </c>
      <c r="J761">
        <v>11.077999999999999</v>
      </c>
      <c r="K761">
        <v>221.56</v>
      </c>
      <c r="L761" s="1">
        <v>43530</v>
      </c>
      <c r="M761" s="2">
        <v>0.6381944444444444</v>
      </c>
      <c r="N761" t="s">
        <v>27</v>
      </c>
      <c r="O761">
        <v>221.56</v>
      </c>
      <c r="P761">
        <v>4.7619047620000003</v>
      </c>
      <c r="Q761">
        <v>0</v>
      </c>
      <c r="R761">
        <v>8</v>
      </c>
      <c r="S761">
        <v>96.173500000000004</v>
      </c>
      <c r="T761">
        <v>16.840900000000001</v>
      </c>
    </row>
    <row r="762" spans="1:20" x14ac:dyDescent="0.3">
      <c r="A762" t="s">
        <v>1210</v>
      </c>
      <c r="B762" t="s">
        <v>21</v>
      </c>
      <c r="C762" t="s">
        <v>844</v>
      </c>
      <c r="D762" t="s">
        <v>53</v>
      </c>
      <c r="E762" t="s">
        <v>24</v>
      </c>
      <c r="F762" t="s">
        <v>25</v>
      </c>
      <c r="G762" t="s">
        <v>68</v>
      </c>
      <c r="H762">
        <v>77.2</v>
      </c>
      <c r="I762">
        <v>20</v>
      </c>
      <c r="J762">
        <v>77.2</v>
      </c>
      <c r="K762">
        <v>1544</v>
      </c>
      <c r="L762" s="1">
        <v>43744</v>
      </c>
      <c r="M762" s="2">
        <v>0.44305555555555554</v>
      </c>
      <c r="N762" t="s">
        <v>37</v>
      </c>
      <c r="O762">
        <v>772</v>
      </c>
      <c r="P762">
        <v>4.7619047620000003</v>
      </c>
      <c r="Q762">
        <v>772</v>
      </c>
      <c r="R762">
        <v>6.72</v>
      </c>
      <c r="S762">
        <v>96.089100000000002</v>
      </c>
      <c r="T762">
        <v>21.9588</v>
      </c>
    </row>
    <row r="763" spans="1:20" x14ac:dyDescent="0.3">
      <c r="A763" t="s">
        <v>1211</v>
      </c>
      <c r="B763" t="s">
        <v>21</v>
      </c>
      <c r="C763" t="s">
        <v>428</v>
      </c>
      <c r="D763" t="s">
        <v>53</v>
      </c>
      <c r="E763" t="s">
        <v>32</v>
      </c>
      <c r="F763" t="s">
        <v>36</v>
      </c>
      <c r="G763" t="s">
        <v>68</v>
      </c>
      <c r="H763">
        <v>72.13</v>
      </c>
      <c r="I763">
        <v>14</v>
      </c>
      <c r="J763">
        <v>50.491</v>
      </c>
      <c r="K763">
        <v>1009.82</v>
      </c>
      <c r="L763" s="1">
        <v>43545</v>
      </c>
      <c r="M763" s="2">
        <v>0.6333333333333333</v>
      </c>
      <c r="N763" t="s">
        <v>37</v>
      </c>
      <c r="O763">
        <v>721.3</v>
      </c>
      <c r="P763">
        <v>4.7619047620000003</v>
      </c>
      <c r="Q763">
        <v>288.52</v>
      </c>
      <c r="R763">
        <v>5.04</v>
      </c>
      <c r="S763">
        <v>96.089100000000002</v>
      </c>
      <c r="T763">
        <v>21.9588</v>
      </c>
    </row>
    <row r="764" spans="1:20" x14ac:dyDescent="0.3">
      <c r="A764" t="s">
        <v>1212</v>
      </c>
      <c r="B764" t="s">
        <v>21</v>
      </c>
      <c r="C764" t="s">
        <v>1213</v>
      </c>
      <c r="D764" t="s">
        <v>23</v>
      </c>
      <c r="E764" t="s">
        <v>24</v>
      </c>
      <c r="F764" t="s">
        <v>25</v>
      </c>
      <c r="G764" t="s">
        <v>68</v>
      </c>
      <c r="H764">
        <v>63.88</v>
      </c>
      <c r="I764">
        <v>11</v>
      </c>
      <c r="J764">
        <v>35.134</v>
      </c>
      <c r="K764">
        <v>702.68</v>
      </c>
      <c r="L764" s="1">
        <v>43720</v>
      </c>
      <c r="M764" s="2">
        <v>0.7416666666666667</v>
      </c>
      <c r="N764" t="s">
        <v>27</v>
      </c>
      <c r="O764">
        <v>511.04</v>
      </c>
      <c r="P764">
        <v>4.7619047620000003</v>
      </c>
      <c r="Q764">
        <v>191.64</v>
      </c>
      <c r="R764">
        <v>9.9</v>
      </c>
      <c r="S764">
        <v>96.173500000000004</v>
      </c>
      <c r="T764">
        <v>16.840900000000001</v>
      </c>
    </row>
    <row r="765" spans="1:20" x14ac:dyDescent="0.3">
      <c r="A765" t="s">
        <v>1214</v>
      </c>
      <c r="B765" t="s">
        <v>21</v>
      </c>
      <c r="C765" t="s">
        <v>284</v>
      </c>
      <c r="D765" t="s">
        <v>23</v>
      </c>
      <c r="E765" t="s">
        <v>24</v>
      </c>
      <c r="F765" t="s">
        <v>25</v>
      </c>
      <c r="G765" t="s">
        <v>68</v>
      </c>
      <c r="H765">
        <v>10.69</v>
      </c>
      <c r="I765">
        <v>7</v>
      </c>
      <c r="J765">
        <v>3.7414999999999998</v>
      </c>
      <c r="K765">
        <v>74.83</v>
      </c>
      <c r="L765" s="1">
        <v>43601</v>
      </c>
      <c r="M765" s="2">
        <v>0.46319444444444446</v>
      </c>
      <c r="N765" t="s">
        <v>27</v>
      </c>
      <c r="O765">
        <v>53.45</v>
      </c>
      <c r="P765">
        <v>4.7619047620000003</v>
      </c>
      <c r="Q765">
        <v>21.38</v>
      </c>
      <c r="R765">
        <v>7.6</v>
      </c>
      <c r="S765">
        <v>96.173500000000004</v>
      </c>
      <c r="T765">
        <v>16.840900000000001</v>
      </c>
    </row>
    <row r="766" spans="1:20" x14ac:dyDescent="0.3">
      <c r="A766" t="s">
        <v>1215</v>
      </c>
      <c r="B766" t="s">
        <v>21</v>
      </c>
      <c r="C766" t="s">
        <v>477</v>
      </c>
      <c r="D766" t="s">
        <v>23</v>
      </c>
      <c r="E766" t="s">
        <v>24</v>
      </c>
      <c r="F766" t="s">
        <v>36</v>
      </c>
      <c r="G766" t="s">
        <v>26</v>
      </c>
      <c r="H766">
        <v>55.5</v>
      </c>
      <c r="I766">
        <v>6</v>
      </c>
      <c r="J766">
        <v>16.649999999999999</v>
      </c>
      <c r="K766">
        <v>333</v>
      </c>
      <c r="L766" s="1">
        <v>43573</v>
      </c>
      <c r="M766" s="2">
        <v>0.65833333333333333</v>
      </c>
      <c r="N766" t="s">
        <v>37</v>
      </c>
      <c r="O766">
        <v>222</v>
      </c>
      <c r="P766">
        <v>4.7619047620000003</v>
      </c>
      <c r="Q766">
        <v>111</v>
      </c>
      <c r="R766">
        <v>6.6</v>
      </c>
      <c r="S766">
        <v>96.173500000000004</v>
      </c>
      <c r="T766">
        <v>16.840900000000001</v>
      </c>
    </row>
    <row r="767" spans="1:20" x14ac:dyDescent="0.3">
      <c r="A767" t="s">
        <v>1216</v>
      </c>
      <c r="B767" t="s">
        <v>21</v>
      </c>
      <c r="C767" t="s">
        <v>361</v>
      </c>
      <c r="D767" t="s">
        <v>53</v>
      </c>
      <c r="E767" t="s">
        <v>32</v>
      </c>
      <c r="F767" t="s">
        <v>25</v>
      </c>
      <c r="G767" t="s">
        <v>77</v>
      </c>
      <c r="H767">
        <v>95.46</v>
      </c>
      <c r="I767">
        <v>11</v>
      </c>
      <c r="J767">
        <v>52.503</v>
      </c>
      <c r="K767">
        <v>1050.06</v>
      </c>
      <c r="L767" s="1">
        <v>43813</v>
      </c>
      <c r="M767" s="2">
        <v>0.81944444444444442</v>
      </c>
      <c r="N767" t="s">
        <v>27</v>
      </c>
      <c r="O767">
        <v>763.68</v>
      </c>
      <c r="P767">
        <v>4.7619047620000003</v>
      </c>
      <c r="Q767">
        <v>286.38</v>
      </c>
      <c r="R767">
        <v>5.64</v>
      </c>
      <c r="S767">
        <v>96.089100000000002</v>
      </c>
      <c r="T767">
        <v>21.9588</v>
      </c>
    </row>
    <row r="768" spans="1:20" x14ac:dyDescent="0.3">
      <c r="A768" t="s">
        <v>1217</v>
      </c>
      <c r="B768" t="s">
        <v>21</v>
      </c>
      <c r="C768" t="s">
        <v>1161</v>
      </c>
      <c r="D768" t="s">
        <v>31</v>
      </c>
      <c r="E768" t="s">
        <v>32</v>
      </c>
      <c r="F768" t="s">
        <v>25</v>
      </c>
      <c r="G768" t="s">
        <v>100</v>
      </c>
      <c r="H768">
        <v>76.06</v>
      </c>
      <c r="I768">
        <v>4</v>
      </c>
      <c r="J768">
        <v>15.212</v>
      </c>
      <c r="K768">
        <v>304.24</v>
      </c>
      <c r="L768" s="1">
        <v>43825</v>
      </c>
      <c r="M768" s="2">
        <v>0.85416666666666663</v>
      </c>
      <c r="N768" t="s">
        <v>37</v>
      </c>
      <c r="O768">
        <v>228.18</v>
      </c>
      <c r="P768">
        <v>4.7619047620000003</v>
      </c>
      <c r="Q768">
        <v>76.06</v>
      </c>
      <c r="R768">
        <v>10</v>
      </c>
      <c r="S768">
        <v>96.078500000000005</v>
      </c>
      <c r="T768">
        <v>19.763300000000001</v>
      </c>
    </row>
    <row r="769" spans="1:20" x14ac:dyDescent="0.3">
      <c r="A769" t="s">
        <v>1218</v>
      </c>
      <c r="B769" t="s">
        <v>21</v>
      </c>
      <c r="C769" t="s">
        <v>1219</v>
      </c>
      <c r="D769" t="s">
        <v>53</v>
      </c>
      <c r="E769" t="s">
        <v>32</v>
      </c>
      <c r="F769" t="s">
        <v>36</v>
      </c>
      <c r="G769" t="s">
        <v>68</v>
      </c>
      <c r="H769">
        <v>13.69</v>
      </c>
      <c r="I769">
        <v>8</v>
      </c>
      <c r="J769">
        <v>5.476</v>
      </c>
      <c r="K769">
        <v>109.52</v>
      </c>
      <c r="L769" s="1">
        <v>43697</v>
      </c>
      <c r="M769" s="2">
        <v>0.58263888888888893</v>
      </c>
      <c r="N769" t="s">
        <v>33</v>
      </c>
      <c r="O769">
        <v>82.14</v>
      </c>
      <c r="P769">
        <v>4.7619047620000003</v>
      </c>
      <c r="Q769">
        <v>27.38</v>
      </c>
      <c r="R769">
        <v>7.56</v>
      </c>
      <c r="S769">
        <v>96.089100000000002</v>
      </c>
      <c r="T769">
        <v>21.9588</v>
      </c>
    </row>
    <row r="770" spans="1:20" x14ac:dyDescent="0.3">
      <c r="A770" t="s">
        <v>1220</v>
      </c>
      <c r="B770" t="s">
        <v>21</v>
      </c>
      <c r="C770" t="s">
        <v>734</v>
      </c>
      <c r="D770" t="s">
        <v>53</v>
      </c>
      <c r="E770" t="s">
        <v>32</v>
      </c>
      <c r="F770" t="s">
        <v>25</v>
      </c>
      <c r="G770" t="s">
        <v>60</v>
      </c>
      <c r="H770">
        <v>95.64</v>
      </c>
      <c r="I770">
        <v>6</v>
      </c>
      <c r="J770">
        <v>28.692</v>
      </c>
      <c r="K770">
        <v>573.84</v>
      </c>
      <c r="L770" s="1">
        <v>43575</v>
      </c>
      <c r="M770" s="2">
        <v>0.78541666666666665</v>
      </c>
      <c r="N770" t="s">
        <v>33</v>
      </c>
      <c r="O770">
        <v>382.56</v>
      </c>
      <c r="P770">
        <v>4.7619047620000003</v>
      </c>
      <c r="Q770">
        <v>191.28</v>
      </c>
      <c r="R770">
        <v>9.48</v>
      </c>
      <c r="S770">
        <v>96.089100000000002</v>
      </c>
      <c r="T770">
        <v>21.9588</v>
      </c>
    </row>
    <row r="771" spans="1:20" x14ac:dyDescent="0.3">
      <c r="A771" t="s">
        <v>1221</v>
      </c>
      <c r="B771" t="s">
        <v>21</v>
      </c>
      <c r="C771" t="s">
        <v>971</v>
      </c>
      <c r="D771" t="s">
        <v>23</v>
      </c>
      <c r="E771" t="s">
        <v>32</v>
      </c>
      <c r="F771" t="s">
        <v>25</v>
      </c>
      <c r="G771" t="s">
        <v>77</v>
      </c>
      <c r="H771">
        <v>11.43</v>
      </c>
      <c r="I771">
        <v>6</v>
      </c>
      <c r="J771">
        <v>3.4289999999999998</v>
      </c>
      <c r="K771">
        <v>68.58</v>
      </c>
      <c r="L771" s="1">
        <v>43622</v>
      </c>
      <c r="M771" s="2">
        <v>0.72499999999999998</v>
      </c>
      <c r="N771" t="s">
        <v>33</v>
      </c>
      <c r="O771">
        <v>68.58</v>
      </c>
      <c r="P771">
        <v>4.7619047620000003</v>
      </c>
      <c r="Q771">
        <v>0</v>
      </c>
      <c r="R771">
        <v>7.46</v>
      </c>
      <c r="S771">
        <v>96.173500000000004</v>
      </c>
      <c r="T771">
        <v>16.840900000000001</v>
      </c>
    </row>
    <row r="772" spans="1:20" x14ac:dyDescent="0.3">
      <c r="A772" t="s">
        <v>1222</v>
      </c>
      <c r="B772" t="s">
        <v>51</v>
      </c>
      <c r="C772" t="s">
        <v>345</v>
      </c>
      <c r="D772" t="s">
        <v>53</v>
      </c>
      <c r="E772" t="s">
        <v>24</v>
      </c>
      <c r="F772" t="s">
        <v>25</v>
      </c>
      <c r="G772" t="s">
        <v>68</v>
      </c>
      <c r="H772">
        <v>95.54</v>
      </c>
      <c r="I772">
        <v>8</v>
      </c>
      <c r="J772">
        <v>38.216000000000001</v>
      </c>
      <c r="K772">
        <v>764.32</v>
      </c>
      <c r="L772" s="1">
        <v>43659</v>
      </c>
      <c r="M772" s="2">
        <v>0.49861111111111112</v>
      </c>
      <c r="N772" t="s">
        <v>27</v>
      </c>
      <c r="O772">
        <v>382.16</v>
      </c>
      <c r="P772">
        <v>4.7619047620000003</v>
      </c>
      <c r="Q772">
        <v>382.16</v>
      </c>
      <c r="R772">
        <v>7.46</v>
      </c>
      <c r="S772">
        <v>96.089100000000002</v>
      </c>
      <c r="T772">
        <v>21.9588</v>
      </c>
    </row>
    <row r="773" spans="1:20" x14ac:dyDescent="0.3">
      <c r="A773" t="s">
        <v>1223</v>
      </c>
      <c r="B773" t="s">
        <v>29</v>
      </c>
      <c r="C773" t="s">
        <v>819</v>
      </c>
      <c r="D773" t="s">
        <v>31</v>
      </c>
      <c r="E773" t="s">
        <v>24</v>
      </c>
      <c r="F773" t="s">
        <v>25</v>
      </c>
      <c r="G773" t="s">
        <v>26</v>
      </c>
      <c r="H773">
        <v>85.87</v>
      </c>
      <c r="I773">
        <v>11</v>
      </c>
      <c r="J773">
        <v>47.228499999999997</v>
      </c>
      <c r="K773">
        <v>944.57</v>
      </c>
      <c r="L773" s="1">
        <v>43625</v>
      </c>
      <c r="M773" s="2">
        <v>0.79236111111111107</v>
      </c>
      <c r="N773" t="s">
        <v>37</v>
      </c>
      <c r="O773">
        <v>601.09</v>
      </c>
      <c r="P773">
        <v>4.7619047620000003</v>
      </c>
      <c r="Q773">
        <v>343.48</v>
      </c>
      <c r="R773">
        <v>7.46</v>
      </c>
      <c r="S773">
        <v>96.078500000000005</v>
      </c>
      <c r="T773">
        <v>19.763300000000001</v>
      </c>
    </row>
    <row r="774" spans="1:20" x14ac:dyDescent="0.3">
      <c r="A774" t="s">
        <v>1224</v>
      </c>
      <c r="B774" t="s">
        <v>29</v>
      </c>
      <c r="C774" t="s">
        <v>1225</v>
      </c>
      <c r="D774" t="s">
        <v>31</v>
      </c>
      <c r="E774" t="s">
        <v>24</v>
      </c>
      <c r="F774" t="s">
        <v>25</v>
      </c>
      <c r="G774" t="s">
        <v>68</v>
      </c>
      <c r="H774">
        <v>67.989999999999995</v>
      </c>
      <c r="I774">
        <v>11</v>
      </c>
      <c r="J774">
        <v>37.394500000000001</v>
      </c>
      <c r="K774">
        <v>747.89</v>
      </c>
      <c r="L774" s="1">
        <v>43532</v>
      </c>
      <c r="M774" s="2">
        <v>0.70138888888888884</v>
      </c>
      <c r="N774" t="s">
        <v>27</v>
      </c>
      <c r="O774">
        <v>475.93</v>
      </c>
      <c r="P774">
        <v>4.7619047620000003</v>
      </c>
      <c r="Q774">
        <v>271.95999999999998</v>
      </c>
      <c r="R774">
        <v>7.46</v>
      </c>
      <c r="S774">
        <v>96.078500000000005</v>
      </c>
      <c r="T774">
        <v>19.763300000000001</v>
      </c>
    </row>
    <row r="775" spans="1:20" x14ac:dyDescent="0.3">
      <c r="A775" t="s">
        <v>1226</v>
      </c>
      <c r="B775" t="s">
        <v>29</v>
      </c>
      <c r="C775" t="s">
        <v>1227</v>
      </c>
      <c r="D775" t="s">
        <v>31</v>
      </c>
      <c r="E775" t="s">
        <v>32</v>
      </c>
      <c r="F775" t="s">
        <v>25</v>
      </c>
      <c r="G775" t="s">
        <v>63</v>
      </c>
      <c r="H775">
        <v>52.42</v>
      </c>
      <c r="I775">
        <v>1</v>
      </c>
      <c r="J775">
        <v>2.621</v>
      </c>
      <c r="K775">
        <v>52.42</v>
      </c>
      <c r="L775" s="1">
        <v>43526</v>
      </c>
      <c r="M775" s="2">
        <v>0.43194444444444446</v>
      </c>
      <c r="N775" t="s">
        <v>37</v>
      </c>
      <c r="O775">
        <v>52.42</v>
      </c>
      <c r="P775">
        <v>4.7619047620000003</v>
      </c>
      <c r="Q775">
        <v>0</v>
      </c>
      <c r="R775">
        <v>7.46</v>
      </c>
      <c r="S775">
        <v>96.078500000000005</v>
      </c>
      <c r="T775">
        <v>19.763300000000001</v>
      </c>
    </row>
    <row r="776" spans="1:20" x14ac:dyDescent="0.3">
      <c r="A776" t="s">
        <v>1228</v>
      </c>
      <c r="B776" t="s">
        <v>29</v>
      </c>
      <c r="C776" t="s">
        <v>563</v>
      </c>
      <c r="D776" t="s">
        <v>31</v>
      </c>
      <c r="E776" t="s">
        <v>24</v>
      </c>
      <c r="F776" t="s">
        <v>36</v>
      </c>
      <c r="G776" t="s">
        <v>63</v>
      </c>
      <c r="H776">
        <v>65.650000000000006</v>
      </c>
      <c r="I776">
        <v>3</v>
      </c>
      <c r="J776">
        <v>9.8475000000000001</v>
      </c>
      <c r="K776">
        <v>196.95</v>
      </c>
      <c r="L776" s="1">
        <v>43677</v>
      </c>
      <c r="M776" s="2">
        <v>0.69861111111111107</v>
      </c>
      <c r="N776" t="s">
        <v>33</v>
      </c>
      <c r="O776">
        <v>131.30000000000001</v>
      </c>
      <c r="P776">
        <v>4.7619047620000003</v>
      </c>
      <c r="Q776">
        <v>65.650000000000006</v>
      </c>
      <c r="R776">
        <v>7.46</v>
      </c>
      <c r="S776">
        <v>96.078500000000005</v>
      </c>
      <c r="T776">
        <v>19.763300000000001</v>
      </c>
    </row>
    <row r="777" spans="1:20" x14ac:dyDescent="0.3">
      <c r="A777" t="s">
        <v>1229</v>
      </c>
      <c r="B777" t="s">
        <v>51</v>
      </c>
      <c r="C777" t="s">
        <v>99</v>
      </c>
      <c r="D777" t="s">
        <v>53</v>
      </c>
      <c r="E777" t="s">
        <v>32</v>
      </c>
      <c r="F777" t="s">
        <v>25</v>
      </c>
      <c r="G777" t="s">
        <v>63</v>
      </c>
      <c r="H777">
        <v>28.86</v>
      </c>
      <c r="I777">
        <v>7</v>
      </c>
      <c r="J777">
        <v>10.101000000000001</v>
      </c>
      <c r="K777">
        <v>202.02</v>
      </c>
      <c r="L777" s="1">
        <v>43736</v>
      </c>
      <c r="M777" s="2">
        <v>0.75555555555555554</v>
      </c>
      <c r="N777" t="s">
        <v>37</v>
      </c>
      <c r="O777">
        <v>144.30000000000001</v>
      </c>
      <c r="P777">
        <v>4.7619047620000003</v>
      </c>
      <c r="Q777">
        <v>57.72</v>
      </c>
      <c r="R777">
        <v>7.46</v>
      </c>
      <c r="S777">
        <v>96.089100000000002</v>
      </c>
      <c r="T777">
        <v>21.9588</v>
      </c>
    </row>
    <row r="778" spans="1:20" x14ac:dyDescent="0.3">
      <c r="A778" t="s">
        <v>1230</v>
      </c>
      <c r="B778" t="s">
        <v>29</v>
      </c>
      <c r="C778" t="s">
        <v>399</v>
      </c>
      <c r="D778" t="s">
        <v>31</v>
      </c>
      <c r="E778" t="s">
        <v>24</v>
      </c>
      <c r="F778" t="s">
        <v>36</v>
      </c>
      <c r="G778" t="s">
        <v>26</v>
      </c>
      <c r="H778">
        <v>65.31</v>
      </c>
      <c r="I778">
        <v>11</v>
      </c>
      <c r="J778">
        <v>35.920499999999997</v>
      </c>
      <c r="K778">
        <v>718.41</v>
      </c>
      <c r="L778" s="1">
        <v>43692</v>
      </c>
      <c r="M778" s="2">
        <v>0.75138888888888888</v>
      </c>
      <c r="N778" t="s">
        <v>37</v>
      </c>
      <c r="O778">
        <v>457.17</v>
      </c>
      <c r="P778">
        <v>4.7619047620000003</v>
      </c>
      <c r="Q778">
        <v>261.24</v>
      </c>
      <c r="R778">
        <v>4.41</v>
      </c>
      <c r="S778">
        <v>96.078500000000005</v>
      </c>
      <c r="T778">
        <v>19.763300000000001</v>
      </c>
    </row>
    <row r="779" spans="1:20" x14ac:dyDescent="0.3">
      <c r="A779" t="s">
        <v>1231</v>
      </c>
      <c r="B779" t="s">
        <v>51</v>
      </c>
      <c r="C779" t="s">
        <v>479</v>
      </c>
      <c r="D779" t="s">
        <v>53</v>
      </c>
      <c r="E779" t="s">
        <v>32</v>
      </c>
      <c r="F779" t="s">
        <v>36</v>
      </c>
      <c r="G779" t="s">
        <v>68</v>
      </c>
      <c r="H779">
        <v>93.38</v>
      </c>
      <c r="I779">
        <v>1</v>
      </c>
      <c r="J779">
        <v>4.6689999999999996</v>
      </c>
      <c r="K779">
        <v>93.38</v>
      </c>
      <c r="L779" s="1">
        <v>43488</v>
      </c>
      <c r="M779" s="2">
        <v>0.54652777777777772</v>
      </c>
      <c r="N779" t="s">
        <v>33</v>
      </c>
      <c r="O779">
        <v>93.38</v>
      </c>
      <c r="P779">
        <v>4.7619047620000003</v>
      </c>
      <c r="Q779">
        <v>0</v>
      </c>
      <c r="R779">
        <v>10</v>
      </c>
      <c r="S779">
        <v>96.089100000000002</v>
      </c>
      <c r="T779">
        <v>21.9588</v>
      </c>
    </row>
    <row r="780" spans="1:20" x14ac:dyDescent="0.3">
      <c r="A780" t="s">
        <v>1232</v>
      </c>
      <c r="B780" t="s">
        <v>29</v>
      </c>
      <c r="C780" t="s">
        <v>1233</v>
      </c>
      <c r="D780" t="s">
        <v>31</v>
      </c>
      <c r="E780" t="s">
        <v>24</v>
      </c>
      <c r="F780" t="s">
        <v>36</v>
      </c>
      <c r="G780" t="s">
        <v>68</v>
      </c>
      <c r="H780">
        <v>25.25</v>
      </c>
      <c r="I780">
        <v>8</v>
      </c>
      <c r="J780">
        <v>10.1</v>
      </c>
      <c r="K780">
        <v>202</v>
      </c>
      <c r="L780" s="1">
        <v>43639</v>
      </c>
      <c r="M780" s="2">
        <v>0.74444444444444446</v>
      </c>
      <c r="N780" t="s">
        <v>33</v>
      </c>
      <c r="O780">
        <v>126.25</v>
      </c>
      <c r="P780">
        <v>4.7619047620000003</v>
      </c>
      <c r="Q780">
        <v>75.75</v>
      </c>
      <c r="R780">
        <v>6.4050000000000002</v>
      </c>
      <c r="S780">
        <v>96.078500000000005</v>
      </c>
      <c r="T780">
        <v>19.763300000000001</v>
      </c>
    </row>
    <row r="781" spans="1:20" x14ac:dyDescent="0.3">
      <c r="A781" t="s">
        <v>1234</v>
      </c>
      <c r="B781" t="s">
        <v>51</v>
      </c>
      <c r="C781" t="s">
        <v>385</v>
      </c>
      <c r="D781" t="s">
        <v>53</v>
      </c>
      <c r="E781" t="s">
        <v>24</v>
      </c>
      <c r="F781" t="s">
        <v>36</v>
      </c>
      <c r="G781" t="s">
        <v>60</v>
      </c>
      <c r="H781">
        <v>87.87</v>
      </c>
      <c r="I781">
        <v>18</v>
      </c>
      <c r="J781">
        <v>79.082999999999998</v>
      </c>
      <c r="K781">
        <v>1581.66</v>
      </c>
      <c r="L781" s="1">
        <v>43628</v>
      </c>
      <c r="M781" s="2">
        <v>0.85555555555555551</v>
      </c>
      <c r="N781" t="s">
        <v>27</v>
      </c>
      <c r="O781">
        <v>790.83</v>
      </c>
      <c r="P781">
        <v>4.7619047620000003</v>
      </c>
      <c r="Q781">
        <v>790.83</v>
      </c>
      <c r="R781">
        <v>6.72</v>
      </c>
      <c r="S781">
        <v>96.089100000000002</v>
      </c>
      <c r="T781">
        <v>21.9588</v>
      </c>
    </row>
    <row r="782" spans="1:20" x14ac:dyDescent="0.3">
      <c r="A782" t="s">
        <v>1235</v>
      </c>
      <c r="B782" t="s">
        <v>29</v>
      </c>
      <c r="C782" t="s">
        <v>1236</v>
      </c>
      <c r="D782" t="s">
        <v>31</v>
      </c>
      <c r="E782" t="s">
        <v>32</v>
      </c>
      <c r="F782" t="s">
        <v>36</v>
      </c>
      <c r="G782" t="s">
        <v>26</v>
      </c>
      <c r="H782">
        <v>21.8</v>
      </c>
      <c r="I782">
        <v>10</v>
      </c>
      <c r="J782">
        <v>10.9</v>
      </c>
      <c r="K782">
        <v>218</v>
      </c>
      <c r="L782" s="1">
        <v>43726</v>
      </c>
      <c r="M782" s="2">
        <v>0.80833333333333335</v>
      </c>
      <c r="N782" t="s">
        <v>33</v>
      </c>
      <c r="O782">
        <v>174.4</v>
      </c>
      <c r="P782">
        <v>4.7619047620000003</v>
      </c>
      <c r="Q782">
        <v>43.6</v>
      </c>
      <c r="R782">
        <v>8.7149999999999999</v>
      </c>
      <c r="S782">
        <v>96.078500000000005</v>
      </c>
      <c r="T782">
        <v>19.763300000000001</v>
      </c>
    </row>
    <row r="783" spans="1:20" x14ac:dyDescent="0.3">
      <c r="A783" t="s">
        <v>1237</v>
      </c>
      <c r="B783" t="s">
        <v>21</v>
      </c>
      <c r="C783" t="s">
        <v>988</v>
      </c>
      <c r="D783" t="s">
        <v>23</v>
      </c>
      <c r="E783" t="s">
        <v>32</v>
      </c>
      <c r="F783" t="s">
        <v>25</v>
      </c>
      <c r="G783" t="s">
        <v>68</v>
      </c>
      <c r="H783">
        <v>94.76</v>
      </c>
      <c r="I783">
        <v>4</v>
      </c>
      <c r="J783">
        <v>18.952000000000002</v>
      </c>
      <c r="K783">
        <v>379.04</v>
      </c>
      <c r="L783" s="1">
        <v>43794</v>
      </c>
      <c r="M783" s="2">
        <v>0.67083333333333328</v>
      </c>
      <c r="N783" t="s">
        <v>27</v>
      </c>
      <c r="O783">
        <v>379.04</v>
      </c>
      <c r="P783">
        <v>4.7619047620000003</v>
      </c>
      <c r="Q783">
        <v>0</v>
      </c>
      <c r="R783">
        <v>7.8</v>
      </c>
      <c r="S783">
        <v>96.173500000000004</v>
      </c>
      <c r="T783">
        <v>16.840900000000001</v>
      </c>
    </row>
    <row r="784" spans="1:20" x14ac:dyDescent="0.3">
      <c r="A784" t="s">
        <v>1238</v>
      </c>
      <c r="B784" t="s">
        <v>21</v>
      </c>
      <c r="C784" t="s">
        <v>1239</v>
      </c>
      <c r="D784" t="s">
        <v>23</v>
      </c>
      <c r="E784" t="s">
        <v>24</v>
      </c>
      <c r="F784" t="s">
        <v>25</v>
      </c>
      <c r="G784" t="s">
        <v>100</v>
      </c>
      <c r="H784">
        <v>30.62</v>
      </c>
      <c r="I784">
        <v>1</v>
      </c>
      <c r="J784">
        <v>1.5309999999999999</v>
      </c>
      <c r="K784">
        <v>30.62</v>
      </c>
      <c r="L784" s="1">
        <v>43615</v>
      </c>
      <c r="M784" s="2">
        <v>0.59305555555555556</v>
      </c>
      <c r="N784" t="s">
        <v>37</v>
      </c>
      <c r="O784">
        <v>30.62</v>
      </c>
      <c r="P784">
        <v>4.7619047620000003</v>
      </c>
      <c r="Q784">
        <v>0</v>
      </c>
      <c r="R784">
        <v>4.0999999999999996</v>
      </c>
      <c r="S784">
        <v>96.173500000000004</v>
      </c>
      <c r="T784">
        <v>16.840900000000001</v>
      </c>
    </row>
    <row r="785" spans="1:20" x14ac:dyDescent="0.3">
      <c r="A785" t="s">
        <v>1240</v>
      </c>
      <c r="B785" t="s">
        <v>29</v>
      </c>
      <c r="C785" t="s">
        <v>248</v>
      </c>
      <c r="D785" t="s">
        <v>31</v>
      </c>
      <c r="E785" t="s">
        <v>32</v>
      </c>
      <c r="F785" t="s">
        <v>25</v>
      </c>
      <c r="G785" t="s">
        <v>77</v>
      </c>
      <c r="H785">
        <v>44.01</v>
      </c>
      <c r="I785">
        <v>10</v>
      </c>
      <c r="J785">
        <v>22.004999999999999</v>
      </c>
      <c r="K785">
        <v>440.1</v>
      </c>
      <c r="L785" s="1">
        <v>43771</v>
      </c>
      <c r="M785" s="2">
        <v>0.73333333333333328</v>
      </c>
      <c r="N785" t="s">
        <v>33</v>
      </c>
      <c r="O785">
        <v>352.08</v>
      </c>
      <c r="P785">
        <v>4.7619047620000003</v>
      </c>
      <c r="Q785">
        <v>88.02</v>
      </c>
      <c r="R785">
        <v>9.24</v>
      </c>
      <c r="S785">
        <v>96.078500000000005</v>
      </c>
      <c r="T785">
        <v>19.763300000000001</v>
      </c>
    </row>
    <row r="786" spans="1:20" x14ac:dyDescent="0.3">
      <c r="A786" t="s">
        <v>1241</v>
      </c>
      <c r="B786" t="s">
        <v>29</v>
      </c>
      <c r="C786" t="s">
        <v>1242</v>
      </c>
      <c r="D786" t="s">
        <v>31</v>
      </c>
      <c r="E786" t="s">
        <v>24</v>
      </c>
      <c r="F786" t="s">
        <v>25</v>
      </c>
      <c r="G786" t="s">
        <v>26</v>
      </c>
      <c r="H786">
        <v>10.16</v>
      </c>
      <c r="I786">
        <v>8</v>
      </c>
      <c r="J786">
        <v>4.0640000000000001</v>
      </c>
      <c r="K786">
        <v>81.28</v>
      </c>
      <c r="L786" s="1">
        <v>43515</v>
      </c>
      <c r="M786" s="2">
        <v>0.54722222222222228</v>
      </c>
      <c r="N786" t="s">
        <v>27</v>
      </c>
      <c r="O786">
        <v>50.8</v>
      </c>
      <c r="P786">
        <v>4.7619047620000003</v>
      </c>
      <c r="Q786">
        <v>30.48</v>
      </c>
      <c r="R786">
        <v>4.3049999999999997</v>
      </c>
      <c r="S786">
        <v>96.078500000000005</v>
      </c>
      <c r="T786">
        <v>19.763300000000001</v>
      </c>
    </row>
    <row r="787" spans="1:20" x14ac:dyDescent="0.3">
      <c r="A787" t="s">
        <v>1243</v>
      </c>
      <c r="B787" t="s">
        <v>21</v>
      </c>
      <c r="C787" t="s">
        <v>93</v>
      </c>
      <c r="D787" t="s">
        <v>23</v>
      </c>
      <c r="E787" t="s">
        <v>32</v>
      </c>
      <c r="F787" t="s">
        <v>36</v>
      </c>
      <c r="G787" t="s">
        <v>60</v>
      </c>
      <c r="H787">
        <v>74.58</v>
      </c>
      <c r="I787">
        <v>7</v>
      </c>
      <c r="J787">
        <v>26.103000000000002</v>
      </c>
      <c r="K787">
        <v>522.05999999999995</v>
      </c>
      <c r="L787" s="1">
        <v>43737</v>
      </c>
      <c r="M787" s="2">
        <v>0.67291666666666672</v>
      </c>
      <c r="N787" t="s">
        <v>37</v>
      </c>
      <c r="O787">
        <v>522.05999999999995</v>
      </c>
      <c r="P787">
        <v>4.7619047620000003</v>
      </c>
      <c r="Q787">
        <v>0</v>
      </c>
      <c r="R787">
        <v>9</v>
      </c>
      <c r="S787">
        <v>96.173500000000004</v>
      </c>
      <c r="T787">
        <v>16.840900000000001</v>
      </c>
    </row>
    <row r="788" spans="1:20" x14ac:dyDescent="0.3">
      <c r="A788" t="s">
        <v>1244</v>
      </c>
      <c r="B788" t="s">
        <v>29</v>
      </c>
      <c r="C788" t="s">
        <v>320</v>
      </c>
      <c r="D788" t="s">
        <v>31</v>
      </c>
      <c r="E788" t="s">
        <v>32</v>
      </c>
      <c r="F788" t="s">
        <v>36</v>
      </c>
      <c r="G788" t="s">
        <v>60</v>
      </c>
      <c r="H788">
        <v>71.89</v>
      </c>
      <c r="I788">
        <v>10</v>
      </c>
      <c r="J788">
        <v>35.945</v>
      </c>
      <c r="K788">
        <v>718.9</v>
      </c>
      <c r="L788" s="1">
        <v>43538</v>
      </c>
      <c r="M788" s="2">
        <v>0.48125000000000001</v>
      </c>
      <c r="N788" t="s">
        <v>27</v>
      </c>
      <c r="O788">
        <v>575.12</v>
      </c>
      <c r="P788">
        <v>4.7619047620000003</v>
      </c>
      <c r="Q788">
        <v>143.78</v>
      </c>
      <c r="R788">
        <v>5.7750000000000004</v>
      </c>
      <c r="S788">
        <v>96.078500000000005</v>
      </c>
      <c r="T788">
        <v>19.763300000000001</v>
      </c>
    </row>
    <row r="789" spans="1:20" x14ac:dyDescent="0.3">
      <c r="A789" t="s">
        <v>1245</v>
      </c>
      <c r="B789" t="s">
        <v>29</v>
      </c>
      <c r="C789" t="s">
        <v>394</v>
      </c>
      <c r="D789" t="s">
        <v>31</v>
      </c>
      <c r="E789" t="s">
        <v>32</v>
      </c>
      <c r="F789" t="s">
        <v>25</v>
      </c>
      <c r="G789" t="s">
        <v>26</v>
      </c>
      <c r="H789">
        <v>10.99</v>
      </c>
      <c r="I789">
        <v>6</v>
      </c>
      <c r="J789">
        <v>3.2970000000000002</v>
      </c>
      <c r="K789">
        <v>65.94</v>
      </c>
      <c r="L789" s="1">
        <v>43812</v>
      </c>
      <c r="M789" s="2">
        <v>0.42916666666666664</v>
      </c>
      <c r="N789" t="s">
        <v>37</v>
      </c>
      <c r="O789">
        <v>54.95</v>
      </c>
      <c r="P789">
        <v>4.7619047620000003</v>
      </c>
      <c r="Q789">
        <v>10.99</v>
      </c>
      <c r="R789">
        <v>9.7650000000000006</v>
      </c>
      <c r="S789">
        <v>96.078500000000005</v>
      </c>
      <c r="T789">
        <v>19.763300000000001</v>
      </c>
    </row>
    <row r="790" spans="1:20" x14ac:dyDescent="0.3">
      <c r="A790" t="s">
        <v>1246</v>
      </c>
      <c r="B790" t="s">
        <v>29</v>
      </c>
      <c r="C790" t="s">
        <v>651</v>
      </c>
      <c r="D790" t="s">
        <v>31</v>
      </c>
      <c r="E790" t="s">
        <v>24</v>
      </c>
      <c r="F790" t="s">
        <v>36</v>
      </c>
      <c r="G790" t="s">
        <v>26</v>
      </c>
      <c r="H790">
        <v>60.47</v>
      </c>
      <c r="I790">
        <v>6</v>
      </c>
      <c r="J790">
        <v>18.140999999999998</v>
      </c>
      <c r="K790">
        <v>362.82</v>
      </c>
      <c r="L790" s="1">
        <v>43593</v>
      </c>
      <c r="M790" s="2">
        <v>0.4548611111111111</v>
      </c>
      <c r="N790" t="s">
        <v>37</v>
      </c>
      <c r="O790">
        <v>181.41</v>
      </c>
      <c r="P790">
        <v>4.7619047620000003</v>
      </c>
      <c r="Q790">
        <v>181.41</v>
      </c>
      <c r="R790">
        <v>5.88</v>
      </c>
      <c r="S790">
        <v>96.078500000000005</v>
      </c>
      <c r="T790">
        <v>19.763300000000001</v>
      </c>
    </row>
    <row r="791" spans="1:20" x14ac:dyDescent="0.3">
      <c r="A791" t="s">
        <v>1247</v>
      </c>
      <c r="B791" t="s">
        <v>21</v>
      </c>
      <c r="C791" t="s">
        <v>62</v>
      </c>
      <c r="D791" t="s">
        <v>23</v>
      </c>
      <c r="E791" t="s">
        <v>32</v>
      </c>
      <c r="F791" t="s">
        <v>36</v>
      </c>
      <c r="G791" t="s">
        <v>68</v>
      </c>
      <c r="H791">
        <v>58.91</v>
      </c>
      <c r="I791">
        <v>7</v>
      </c>
      <c r="J791">
        <v>20.618500000000001</v>
      </c>
      <c r="K791">
        <v>412.37</v>
      </c>
      <c r="L791" s="1">
        <v>43603</v>
      </c>
      <c r="M791" s="2">
        <v>0.63541666666666663</v>
      </c>
      <c r="N791" t="s">
        <v>27</v>
      </c>
      <c r="O791">
        <v>412.37</v>
      </c>
      <c r="P791">
        <v>4.7619047620000003</v>
      </c>
      <c r="Q791">
        <v>0</v>
      </c>
      <c r="R791">
        <v>9.6999999999999993</v>
      </c>
      <c r="S791">
        <v>96.173500000000004</v>
      </c>
      <c r="T791">
        <v>16.840900000000001</v>
      </c>
    </row>
    <row r="792" spans="1:20" x14ac:dyDescent="0.3">
      <c r="A792" t="s">
        <v>1248</v>
      </c>
      <c r="B792" t="s">
        <v>21</v>
      </c>
      <c r="C792" t="s">
        <v>486</v>
      </c>
      <c r="D792" t="s">
        <v>23</v>
      </c>
      <c r="E792" t="s">
        <v>32</v>
      </c>
      <c r="F792" t="s">
        <v>36</v>
      </c>
      <c r="G792" t="s">
        <v>100</v>
      </c>
      <c r="H792">
        <v>46.41</v>
      </c>
      <c r="I792">
        <v>1</v>
      </c>
      <c r="J792">
        <v>2.3205</v>
      </c>
      <c r="K792">
        <v>46.41</v>
      </c>
      <c r="L792" s="1">
        <v>43756</v>
      </c>
      <c r="M792" s="2">
        <v>0.83750000000000002</v>
      </c>
      <c r="N792" t="s">
        <v>37</v>
      </c>
      <c r="O792">
        <v>46.41</v>
      </c>
      <c r="P792">
        <v>4.7619047620000003</v>
      </c>
      <c r="Q792">
        <v>0</v>
      </c>
      <c r="R792">
        <v>4</v>
      </c>
      <c r="S792">
        <v>96.173500000000004</v>
      </c>
      <c r="T792">
        <v>16.840900000000001</v>
      </c>
    </row>
    <row r="793" spans="1:20" x14ac:dyDescent="0.3">
      <c r="A793" t="s">
        <v>1249</v>
      </c>
      <c r="B793" t="s">
        <v>29</v>
      </c>
      <c r="C793" t="s">
        <v>1227</v>
      </c>
      <c r="D793" t="s">
        <v>31</v>
      </c>
      <c r="E793" t="s">
        <v>24</v>
      </c>
      <c r="F793" t="s">
        <v>36</v>
      </c>
      <c r="G793" t="s">
        <v>68</v>
      </c>
      <c r="H793">
        <v>68.55</v>
      </c>
      <c r="I793">
        <v>7</v>
      </c>
      <c r="J793">
        <v>23.9925</v>
      </c>
      <c r="K793">
        <v>479.85</v>
      </c>
      <c r="L793" s="1">
        <v>43499</v>
      </c>
      <c r="M793" s="2">
        <v>0.84791666666666665</v>
      </c>
      <c r="N793" t="s">
        <v>37</v>
      </c>
      <c r="O793">
        <v>274.2</v>
      </c>
      <c r="P793">
        <v>4.7619047620000003</v>
      </c>
      <c r="Q793">
        <v>205.65</v>
      </c>
      <c r="R793">
        <v>9.66</v>
      </c>
      <c r="S793">
        <v>96.078500000000005</v>
      </c>
      <c r="T793">
        <v>19.763300000000001</v>
      </c>
    </row>
    <row r="794" spans="1:20" x14ac:dyDescent="0.3">
      <c r="A794" t="s">
        <v>1250</v>
      </c>
      <c r="B794" t="s">
        <v>51</v>
      </c>
      <c r="C794" t="s">
        <v>430</v>
      </c>
      <c r="D794" t="s">
        <v>53</v>
      </c>
      <c r="E794" t="s">
        <v>32</v>
      </c>
      <c r="F794" t="s">
        <v>25</v>
      </c>
      <c r="G794" t="s">
        <v>68</v>
      </c>
      <c r="H794">
        <v>97.37</v>
      </c>
      <c r="I794">
        <v>14</v>
      </c>
      <c r="J794">
        <v>68.159000000000006</v>
      </c>
      <c r="K794">
        <v>1363.18</v>
      </c>
      <c r="L794" s="1">
        <v>43547</v>
      </c>
      <c r="M794" s="2">
        <v>0.57499999999999996</v>
      </c>
      <c r="N794" t="s">
        <v>37</v>
      </c>
      <c r="O794">
        <v>973.7</v>
      </c>
      <c r="P794">
        <v>4.7619047620000003</v>
      </c>
      <c r="Q794">
        <v>389.48</v>
      </c>
      <c r="R794">
        <v>5.88</v>
      </c>
      <c r="S794">
        <v>96.089100000000002</v>
      </c>
      <c r="T794">
        <v>21.9588</v>
      </c>
    </row>
    <row r="795" spans="1:20" x14ac:dyDescent="0.3">
      <c r="A795" t="s">
        <v>1251</v>
      </c>
      <c r="B795" t="s">
        <v>21</v>
      </c>
      <c r="C795" t="s">
        <v>1252</v>
      </c>
      <c r="D795" t="s">
        <v>23</v>
      </c>
      <c r="E795" t="s">
        <v>24</v>
      </c>
      <c r="F795" t="s">
        <v>36</v>
      </c>
      <c r="G795" t="s">
        <v>68</v>
      </c>
      <c r="H795">
        <v>92.6</v>
      </c>
      <c r="I795">
        <v>10</v>
      </c>
      <c r="J795">
        <v>46.3</v>
      </c>
      <c r="K795">
        <v>926</v>
      </c>
      <c r="L795" s="1">
        <v>43781</v>
      </c>
      <c r="M795" s="2">
        <v>0.53611111111111109</v>
      </c>
      <c r="N795" t="s">
        <v>37</v>
      </c>
      <c r="O795">
        <v>648.20000000000005</v>
      </c>
      <c r="P795">
        <v>4.7619047620000003</v>
      </c>
      <c r="Q795">
        <v>277.8</v>
      </c>
      <c r="R795">
        <v>9.3000000000000007</v>
      </c>
      <c r="S795">
        <v>96.173500000000004</v>
      </c>
      <c r="T795">
        <v>16.840900000000001</v>
      </c>
    </row>
    <row r="796" spans="1:20" x14ac:dyDescent="0.3">
      <c r="A796" t="s">
        <v>1253</v>
      </c>
      <c r="B796" t="s">
        <v>21</v>
      </c>
      <c r="C796" t="s">
        <v>219</v>
      </c>
      <c r="D796" t="s">
        <v>23</v>
      </c>
      <c r="E796" t="s">
        <v>32</v>
      </c>
      <c r="F796" t="s">
        <v>25</v>
      </c>
      <c r="G796" t="s">
        <v>68</v>
      </c>
      <c r="H796">
        <v>46.61</v>
      </c>
      <c r="I796">
        <v>2</v>
      </c>
      <c r="J796">
        <v>4.6609999999999996</v>
      </c>
      <c r="K796">
        <v>93.22</v>
      </c>
      <c r="L796" s="1">
        <v>43670</v>
      </c>
      <c r="M796" s="2">
        <v>0.51944444444444449</v>
      </c>
      <c r="N796" t="s">
        <v>37</v>
      </c>
      <c r="O796">
        <v>93.22</v>
      </c>
      <c r="P796">
        <v>4.7619047620000003</v>
      </c>
      <c r="Q796">
        <v>0</v>
      </c>
      <c r="R796">
        <v>6.6</v>
      </c>
      <c r="S796">
        <v>96.173500000000004</v>
      </c>
      <c r="T796">
        <v>16.840900000000001</v>
      </c>
    </row>
    <row r="797" spans="1:20" x14ac:dyDescent="0.3">
      <c r="A797" t="s">
        <v>1254</v>
      </c>
      <c r="B797" t="s">
        <v>51</v>
      </c>
      <c r="C797" t="s">
        <v>771</v>
      </c>
      <c r="D797" t="s">
        <v>53</v>
      </c>
      <c r="E797" t="s">
        <v>32</v>
      </c>
      <c r="F797" t="s">
        <v>36</v>
      </c>
      <c r="G797" t="s">
        <v>68</v>
      </c>
      <c r="H797">
        <v>27.18</v>
      </c>
      <c r="I797">
        <v>3</v>
      </c>
      <c r="J797">
        <v>4.077</v>
      </c>
      <c r="K797">
        <v>81.540000000000006</v>
      </c>
      <c r="L797" s="1">
        <v>43598</v>
      </c>
      <c r="M797" s="2">
        <v>0.68472222222222223</v>
      </c>
      <c r="N797" t="s">
        <v>27</v>
      </c>
      <c r="O797">
        <v>54.36</v>
      </c>
      <c r="P797">
        <v>4.7619047620000003</v>
      </c>
      <c r="Q797">
        <v>27.18</v>
      </c>
      <c r="R797">
        <v>5.16</v>
      </c>
      <c r="S797">
        <v>96.089100000000002</v>
      </c>
      <c r="T797">
        <v>21.9588</v>
      </c>
    </row>
    <row r="798" spans="1:20" x14ac:dyDescent="0.3">
      <c r="A798" t="s">
        <v>1255</v>
      </c>
      <c r="B798" t="s">
        <v>29</v>
      </c>
      <c r="C798" t="s">
        <v>810</v>
      </c>
      <c r="D798" t="s">
        <v>31</v>
      </c>
      <c r="E798" t="s">
        <v>24</v>
      </c>
      <c r="F798" t="s">
        <v>25</v>
      </c>
      <c r="G798" t="s">
        <v>68</v>
      </c>
      <c r="H798">
        <v>60.87</v>
      </c>
      <c r="I798">
        <v>1</v>
      </c>
      <c r="J798">
        <v>3.0434999999999999</v>
      </c>
      <c r="K798">
        <v>60.87</v>
      </c>
      <c r="L798" s="1">
        <v>43626</v>
      </c>
      <c r="M798" s="2">
        <v>0.55833333333333335</v>
      </c>
      <c r="N798" t="s">
        <v>33</v>
      </c>
      <c r="O798">
        <v>60.87</v>
      </c>
      <c r="P798">
        <v>4.7619047620000003</v>
      </c>
      <c r="Q798">
        <v>0</v>
      </c>
      <c r="R798">
        <v>5.7750000000000004</v>
      </c>
      <c r="S798">
        <v>96.078500000000005</v>
      </c>
      <c r="T798">
        <v>19.763300000000001</v>
      </c>
    </row>
    <row r="799" spans="1:20" x14ac:dyDescent="0.3">
      <c r="A799" t="s">
        <v>1256</v>
      </c>
      <c r="B799" t="s">
        <v>21</v>
      </c>
      <c r="C799" t="s">
        <v>716</v>
      </c>
      <c r="D799" t="s">
        <v>23</v>
      </c>
      <c r="E799" t="s">
        <v>32</v>
      </c>
      <c r="F799" t="s">
        <v>25</v>
      </c>
      <c r="G799" t="s">
        <v>68</v>
      </c>
      <c r="H799">
        <v>24.49</v>
      </c>
      <c r="I799">
        <v>10</v>
      </c>
      <c r="J799">
        <v>12.244999999999999</v>
      </c>
      <c r="K799">
        <v>244.9</v>
      </c>
      <c r="L799" s="1">
        <v>43700</v>
      </c>
      <c r="M799" s="2">
        <v>0.63541666666666663</v>
      </c>
      <c r="N799" t="s">
        <v>33</v>
      </c>
      <c r="O799">
        <v>244.9</v>
      </c>
      <c r="P799">
        <v>4.7619047620000003</v>
      </c>
      <c r="Q799">
        <v>0</v>
      </c>
      <c r="R799">
        <v>8.1</v>
      </c>
      <c r="S799">
        <v>96.173500000000004</v>
      </c>
      <c r="T799">
        <v>16.840900000000001</v>
      </c>
    </row>
    <row r="800" spans="1:20" x14ac:dyDescent="0.3">
      <c r="A800" t="s">
        <v>1257</v>
      </c>
      <c r="B800" t="s">
        <v>51</v>
      </c>
      <c r="C800" t="s">
        <v>1258</v>
      </c>
      <c r="D800" t="s">
        <v>53</v>
      </c>
      <c r="E800" t="s">
        <v>32</v>
      </c>
      <c r="F800" t="s">
        <v>36</v>
      </c>
      <c r="G800" t="s">
        <v>68</v>
      </c>
      <c r="H800">
        <v>92.78</v>
      </c>
      <c r="I800">
        <v>1</v>
      </c>
      <c r="J800">
        <v>4.6390000000000002</v>
      </c>
      <c r="K800">
        <v>92.78</v>
      </c>
      <c r="L800" s="1">
        <v>43771</v>
      </c>
      <c r="M800" s="2">
        <v>0.4513888888888889</v>
      </c>
      <c r="N800" t="s">
        <v>37</v>
      </c>
      <c r="O800">
        <v>92.78</v>
      </c>
      <c r="P800">
        <v>4.7619047620000003</v>
      </c>
      <c r="Q800">
        <v>0</v>
      </c>
      <c r="R800">
        <v>10</v>
      </c>
      <c r="S800">
        <v>96.089100000000002</v>
      </c>
      <c r="T800">
        <v>21.9588</v>
      </c>
    </row>
    <row r="801" spans="1:20" x14ac:dyDescent="0.3">
      <c r="A801" t="s">
        <v>1259</v>
      </c>
      <c r="B801" t="s">
        <v>29</v>
      </c>
      <c r="C801" t="s">
        <v>1260</v>
      </c>
      <c r="D801" t="s">
        <v>31</v>
      </c>
      <c r="E801" t="s">
        <v>32</v>
      </c>
      <c r="F801" t="s">
        <v>36</v>
      </c>
      <c r="G801" t="s">
        <v>77</v>
      </c>
      <c r="H801">
        <v>86.69</v>
      </c>
      <c r="I801">
        <v>6</v>
      </c>
      <c r="J801">
        <v>26.007000000000001</v>
      </c>
      <c r="K801">
        <v>520.14</v>
      </c>
      <c r="L801" s="1">
        <v>43689</v>
      </c>
      <c r="M801" s="2">
        <v>0.77638888888888891</v>
      </c>
      <c r="N801" t="s">
        <v>27</v>
      </c>
      <c r="O801">
        <v>433.45</v>
      </c>
      <c r="P801">
        <v>4.7619047620000003</v>
      </c>
      <c r="Q801">
        <v>86.69</v>
      </c>
      <c r="R801">
        <v>9.8699999999999992</v>
      </c>
      <c r="S801">
        <v>96.078500000000005</v>
      </c>
      <c r="T801">
        <v>19.763300000000001</v>
      </c>
    </row>
    <row r="802" spans="1:20" x14ac:dyDescent="0.3">
      <c r="A802" t="s">
        <v>1261</v>
      </c>
      <c r="B802" t="s">
        <v>51</v>
      </c>
      <c r="C802" t="s">
        <v>1262</v>
      </c>
      <c r="D802" t="s">
        <v>53</v>
      </c>
      <c r="E802" t="s">
        <v>32</v>
      </c>
      <c r="F802" t="s">
        <v>36</v>
      </c>
      <c r="G802" t="s">
        <v>68</v>
      </c>
      <c r="H802">
        <v>23.01</v>
      </c>
      <c r="I802">
        <v>8</v>
      </c>
      <c r="J802">
        <v>9.2040000000000006</v>
      </c>
      <c r="K802">
        <v>184.08</v>
      </c>
      <c r="L802" s="1">
        <v>43660</v>
      </c>
      <c r="M802" s="2">
        <v>0.69791666666666663</v>
      </c>
      <c r="N802" t="s">
        <v>27</v>
      </c>
      <c r="O802">
        <v>138.06</v>
      </c>
      <c r="P802">
        <v>4.7619047620000003</v>
      </c>
      <c r="Q802">
        <v>46.02</v>
      </c>
      <c r="R802">
        <v>9.48</v>
      </c>
      <c r="S802">
        <v>96.089100000000002</v>
      </c>
      <c r="T802">
        <v>21.9588</v>
      </c>
    </row>
    <row r="803" spans="1:20" x14ac:dyDescent="0.3">
      <c r="A803" t="s">
        <v>1263</v>
      </c>
      <c r="B803" t="s">
        <v>29</v>
      </c>
      <c r="C803" t="s">
        <v>371</v>
      </c>
      <c r="D803" t="s">
        <v>31</v>
      </c>
      <c r="E803" t="s">
        <v>32</v>
      </c>
      <c r="F803" t="s">
        <v>25</v>
      </c>
      <c r="G803" t="s">
        <v>60</v>
      </c>
      <c r="H803">
        <v>30.2</v>
      </c>
      <c r="I803">
        <v>10</v>
      </c>
      <c r="J803">
        <v>15.1</v>
      </c>
      <c r="K803">
        <v>302</v>
      </c>
      <c r="L803" s="1">
        <v>43627</v>
      </c>
      <c r="M803" s="2">
        <v>0.8125</v>
      </c>
      <c r="N803" t="s">
        <v>27</v>
      </c>
      <c r="O803">
        <v>241.6</v>
      </c>
      <c r="P803">
        <v>4.7619047620000003</v>
      </c>
      <c r="Q803">
        <v>60.4</v>
      </c>
      <c r="R803">
        <v>5.3550000000000004</v>
      </c>
      <c r="S803">
        <v>96.078500000000005</v>
      </c>
      <c r="T803">
        <v>19.763300000000001</v>
      </c>
    </row>
    <row r="804" spans="1:20" x14ac:dyDescent="0.3">
      <c r="A804" t="s">
        <v>1264</v>
      </c>
      <c r="B804" t="s">
        <v>29</v>
      </c>
      <c r="C804" t="s">
        <v>1265</v>
      </c>
      <c r="D804" t="s">
        <v>31</v>
      </c>
      <c r="E804" t="s">
        <v>32</v>
      </c>
      <c r="F804" t="s">
        <v>36</v>
      </c>
      <c r="G804" t="s">
        <v>100</v>
      </c>
      <c r="H804">
        <v>67.39</v>
      </c>
      <c r="I804">
        <v>8</v>
      </c>
      <c r="J804">
        <v>26.956</v>
      </c>
      <c r="K804">
        <v>539.12</v>
      </c>
      <c r="L804" s="1">
        <v>43560</v>
      </c>
      <c r="M804" s="2">
        <v>0.55763888888888891</v>
      </c>
      <c r="N804" t="s">
        <v>27</v>
      </c>
      <c r="O804">
        <v>471.73</v>
      </c>
      <c r="P804">
        <v>4.7619047620000003</v>
      </c>
      <c r="Q804">
        <v>67.39</v>
      </c>
      <c r="R804">
        <v>7.2450000000000001</v>
      </c>
      <c r="S804">
        <v>96.078500000000005</v>
      </c>
      <c r="T804">
        <v>19.763300000000001</v>
      </c>
    </row>
    <row r="805" spans="1:20" x14ac:dyDescent="0.3">
      <c r="A805" t="s">
        <v>1266</v>
      </c>
      <c r="B805" t="s">
        <v>21</v>
      </c>
      <c r="C805" t="s">
        <v>680</v>
      </c>
      <c r="D805" t="s">
        <v>23</v>
      </c>
      <c r="E805" t="s">
        <v>24</v>
      </c>
      <c r="F805" t="s">
        <v>25</v>
      </c>
      <c r="G805" t="s">
        <v>100</v>
      </c>
      <c r="H805">
        <v>48.96</v>
      </c>
      <c r="I805">
        <v>13</v>
      </c>
      <c r="J805">
        <v>31.824000000000002</v>
      </c>
      <c r="K805">
        <v>636.48</v>
      </c>
      <c r="L805" s="1">
        <v>43505</v>
      </c>
      <c r="M805" s="2">
        <v>0.47708333333333336</v>
      </c>
      <c r="N805" t="s">
        <v>33</v>
      </c>
      <c r="O805">
        <v>440.64</v>
      </c>
      <c r="P805">
        <v>4.7619047620000003</v>
      </c>
      <c r="Q805">
        <v>195.84</v>
      </c>
      <c r="R805">
        <v>8</v>
      </c>
      <c r="S805">
        <v>96.173500000000004</v>
      </c>
      <c r="T805">
        <v>16.840900000000001</v>
      </c>
    </row>
    <row r="806" spans="1:20" x14ac:dyDescent="0.3">
      <c r="A806" t="s">
        <v>1267</v>
      </c>
      <c r="B806" t="s">
        <v>51</v>
      </c>
      <c r="C806" t="s">
        <v>117</v>
      </c>
      <c r="D806" t="s">
        <v>53</v>
      </c>
      <c r="E806" t="s">
        <v>24</v>
      </c>
      <c r="F806" t="s">
        <v>25</v>
      </c>
      <c r="G806" t="s">
        <v>100</v>
      </c>
      <c r="H806">
        <v>75.59</v>
      </c>
      <c r="I806">
        <v>18</v>
      </c>
      <c r="J806">
        <v>68.031000000000006</v>
      </c>
      <c r="K806">
        <v>1360.62</v>
      </c>
      <c r="L806" s="1">
        <v>43816</v>
      </c>
      <c r="M806" s="2">
        <v>0.46666666666666667</v>
      </c>
      <c r="N806" t="s">
        <v>33</v>
      </c>
      <c r="O806">
        <v>680.31</v>
      </c>
      <c r="P806">
        <v>4.7619047620000003</v>
      </c>
      <c r="Q806">
        <v>680.31</v>
      </c>
      <c r="R806">
        <v>9.6</v>
      </c>
      <c r="S806">
        <v>96.089100000000002</v>
      </c>
      <c r="T806">
        <v>21.9588</v>
      </c>
    </row>
    <row r="807" spans="1:20" x14ac:dyDescent="0.3">
      <c r="A807" t="s">
        <v>1268</v>
      </c>
      <c r="B807" t="s">
        <v>21</v>
      </c>
      <c r="C807" t="s">
        <v>1269</v>
      </c>
      <c r="D807" t="s">
        <v>23</v>
      </c>
      <c r="E807" t="s">
        <v>32</v>
      </c>
      <c r="F807" t="s">
        <v>25</v>
      </c>
      <c r="G807" t="s">
        <v>100</v>
      </c>
      <c r="H807">
        <v>77.47</v>
      </c>
      <c r="I807">
        <v>4</v>
      </c>
      <c r="J807">
        <v>15.494</v>
      </c>
      <c r="K807">
        <v>309.88</v>
      </c>
      <c r="L807" s="1">
        <v>43676</v>
      </c>
      <c r="M807" s="2">
        <v>0.69166666666666665</v>
      </c>
      <c r="N807" t="s">
        <v>33</v>
      </c>
      <c r="O807">
        <v>309.88</v>
      </c>
      <c r="P807">
        <v>4.7619047620000003</v>
      </c>
      <c r="Q807">
        <v>0</v>
      </c>
      <c r="R807">
        <v>4.2</v>
      </c>
      <c r="S807">
        <v>96.173500000000004</v>
      </c>
      <c r="T807">
        <v>16.840900000000001</v>
      </c>
    </row>
    <row r="808" spans="1:20" x14ac:dyDescent="0.3">
      <c r="A808" t="s">
        <v>1270</v>
      </c>
      <c r="B808" t="s">
        <v>21</v>
      </c>
      <c r="C808" t="s">
        <v>1271</v>
      </c>
      <c r="D808" t="s">
        <v>23</v>
      </c>
      <c r="E808" t="s">
        <v>32</v>
      </c>
      <c r="F808" t="s">
        <v>25</v>
      </c>
      <c r="G808" t="s">
        <v>100</v>
      </c>
      <c r="H808">
        <v>93.18</v>
      </c>
      <c r="I808">
        <v>2</v>
      </c>
      <c r="J808">
        <v>9.3179999999999996</v>
      </c>
      <c r="K808">
        <v>186.36</v>
      </c>
      <c r="L808" s="1">
        <v>43745</v>
      </c>
      <c r="M808" s="2">
        <v>0.77847222222222223</v>
      </c>
      <c r="N808" t="s">
        <v>37</v>
      </c>
      <c r="O808">
        <v>186.36</v>
      </c>
      <c r="P808">
        <v>4.7619047620000003</v>
      </c>
      <c r="Q808">
        <v>0</v>
      </c>
      <c r="R808">
        <v>8.5</v>
      </c>
      <c r="S808">
        <v>96.173500000000004</v>
      </c>
      <c r="T808">
        <v>16.840900000000001</v>
      </c>
    </row>
    <row r="809" spans="1:20" x14ac:dyDescent="0.3">
      <c r="A809" t="s">
        <v>1272</v>
      </c>
      <c r="B809" t="s">
        <v>21</v>
      </c>
      <c r="C809" t="s">
        <v>274</v>
      </c>
      <c r="D809" t="s">
        <v>23</v>
      </c>
      <c r="E809" t="s">
        <v>32</v>
      </c>
      <c r="F809" t="s">
        <v>25</v>
      </c>
      <c r="G809" t="s">
        <v>100</v>
      </c>
      <c r="H809">
        <v>50.23</v>
      </c>
      <c r="I809">
        <v>4</v>
      </c>
      <c r="J809">
        <v>10.045999999999999</v>
      </c>
      <c r="K809">
        <v>200.92</v>
      </c>
      <c r="L809" s="1">
        <v>43476</v>
      </c>
      <c r="M809" s="2">
        <v>0.71666666666666667</v>
      </c>
      <c r="N809" t="s">
        <v>33</v>
      </c>
      <c r="O809">
        <v>200.92</v>
      </c>
      <c r="P809">
        <v>4.7619047620000003</v>
      </c>
      <c r="Q809">
        <v>0</v>
      </c>
      <c r="R809">
        <v>9</v>
      </c>
      <c r="S809">
        <v>96.173500000000004</v>
      </c>
      <c r="T809">
        <v>16.840900000000001</v>
      </c>
    </row>
    <row r="810" spans="1:20" x14ac:dyDescent="0.3">
      <c r="A810" t="s">
        <v>1273</v>
      </c>
      <c r="B810" t="s">
        <v>51</v>
      </c>
      <c r="C810" t="s">
        <v>385</v>
      </c>
      <c r="D810" t="s">
        <v>53</v>
      </c>
      <c r="E810" t="s">
        <v>32</v>
      </c>
      <c r="F810" t="s">
        <v>25</v>
      </c>
      <c r="G810" t="s">
        <v>100</v>
      </c>
      <c r="H810">
        <v>17.75</v>
      </c>
      <c r="I810">
        <v>1</v>
      </c>
      <c r="J810">
        <v>0.88749999999999996</v>
      </c>
      <c r="K810">
        <v>17.75</v>
      </c>
      <c r="L810" s="1">
        <v>43774</v>
      </c>
      <c r="M810" s="2">
        <v>0.44305555555555554</v>
      </c>
      <c r="N810" t="s">
        <v>33</v>
      </c>
      <c r="O810">
        <v>17.75</v>
      </c>
      <c r="P810">
        <v>4.7619047620000003</v>
      </c>
      <c r="Q810">
        <v>0</v>
      </c>
      <c r="R810">
        <v>10</v>
      </c>
      <c r="S810">
        <v>96.089100000000002</v>
      </c>
      <c r="T810">
        <v>21.9588</v>
      </c>
    </row>
    <row r="811" spans="1:20" x14ac:dyDescent="0.3">
      <c r="A811" t="s">
        <v>1274</v>
      </c>
      <c r="B811" t="s">
        <v>29</v>
      </c>
      <c r="C811" t="s">
        <v>79</v>
      </c>
      <c r="D811" t="s">
        <v>31</v>
      </c>
      <c r="E811" t="s">
        <v>32</v>
      </c>
      <c r="F811" t="s">
        <v>25</v>
      </c>
      <c r="G811" t="s">
        <v>100</v>
      </c>
      <c r="H811">
        <v>62.18</v>
      </c>
      <c r="I811">
        <v>12</v>
      </c>
      <c r="J811">
        <v>37.308</v>
      </c>
      <c r="K811">
        <v>746.16</v>
      </c>
      <c r="L811" s="1">
        <v>43681</v>
      </c>
      <c r="M811" s="2">
        <v>0.43958333333333333</v>
      </c>
      <c r="N811" t="s">
        <v>27</v>
      </c>
      <c r="O811">
        <v>621.79999999999995</v>
      </c>
      <c r="P811">
        <v>4.7619047620000003</v>
      </c>
      <c r="Q811">
        <v>124.36</v>
      </c>
      <c r="R811">
        <v>6.3</v>
      </c>
      <c r="S811">
        <v>96.078500000000005</v>
      </c>
      <c r="T811">
        <v>19.763300000000001</v>
      </c>
    </row>
    <row r="812" spans="1:20" x14ac:dyDescent="0.3">
      <c r="A812" t="s">
        <v>1275</v>
      </c>
      <c r="B812" t="s">
        <v>51</v>
      </c>
      <c r="C812" t="s">
        <v>479</v>
      </c>
      <c r="D812" t="s">
        <v>53</v>
      </c>
      <c r="E812" t="s">
        <v>32</v>
      </c>
      <c r="F812" t="s">
        <v>36</v>
      </c>
      <c r="G812" t="s">
        <v>100</v>
      </c>
      <c r="H812">
        <v>10.75</v>
      </c>
      <c r="I812">
        <v>11</v>
      </c>
      <c r="J812">
        <v>5.9124999999999996</v>
      </c>
      <c r="K812">
        <v>118.25</v>
      </c>
      <c r="L812" s="1">
        <v>43731</v>
      </c>
      <c r="M812" s="2">
        <v>0.60972222222222228</v>
      </c>
      <c r="N812" t="s">
        <v>27</v>
      </c>
      <c r="O812">
        <v>86</v>
      </c>
      <c r="P812">
        <v>4.7619047620000003</v>
      </c>
      <c r="Q812">
        <v>32.25</v>
      </c>
      <c r="R812">
        <v>7.44</v>
      </c>
      <c r="S812">
        <v>96.089100000000002</v>
      </c>
      <c r="T812">
        <v>21.9588</v>
      </c>
    </row>
    <row r="813" spans="1:20" x14ac:dyDescent="0.3">
      <c r="A813" t="s">
        <v>1276</v>
      </c>
      <c r="B813" t="s">
        <v>21</v>
      </c>
      <c r="C813" t="s">
        <v>1277</v>
      </c>
      <c r="D813" t="s">
        <v>23</v>
      </c>
      <c r="E813" t="s">
        <v>32</v>
      </c>
      <c r="F813" t="s">
        <v>25</v>
      </c>
      <c r="G813" t="s">
        <v>100</v>
      </c>
      <c r="H813">
        <v>40.26</v>
      </c>
      <c r="I813">
        <v>10</v>
      </c>
      <c r="J813">
        <v>20.13</v>
      </c>
      <c r="K813">
        <v>402.6</v>
      </c>
      <c r="L813" s="1">
        <v>43626</v>
      </c>
      <c r="M813" s="2">
        <v>0.75416666666666665</v>
      </c>
      <c r="N813" t="s">
        <v>37</v>
      </c>
      <c r="O813">
        <v>402.6</v>
      </c>
      <c r="P813">
        <v>4.7619047620000003</v>
      </c>
      <c r="Q813">
        <v>0</v>
      </c>
      <c r="R813">
        <v>5</v>
      </c>
      <c r="S813">
        <v>96.173500000000004</v>
      </c>
      <c r="T813">
        <v>16.840900000000001</v>
      </c>
    </row>
    <row r="814" spans="1:20" x14ac:dyDescent="0.3">
      <c r="A814" t="s">
        <v>1278</v>
      </c>
      <c r="B814" t="s">
        <v>29</v>
      </c>
      <c r="C814" t="s">
        <v>1279</v>
      </c>
      <c r="D814" t="s">
        <v>31</v>
      </c>
      <c r="E814" t="s">
        <v>24</v>
      </c>
      <c r="F814" t="s">
        <v>25</v>
      </c>
      <c r="G814" t="s">
        <v>100</v>
      </c>
      <c r="H814">
        <v>64.97</v>
      </c>
      <c r="I814">
        <v>8</v>
      </c>
      <c r="J814">
        <v>25.988</v>
      </c>
      <c r="K814">
        <v>519.76</v>
      </c>
      <c r="L814" s="1">
        <v>43751</v>
      </c>
      <c r="M814" s="2">
        <v>0.53611111111111109</v>
      </c>
      <c r="N814" t="s">
        <v>37</v>
      </c>
      <c r="O814">
        <v>324.85000000000002</v>
      </c>
      <c r="P814">
        <v>4.7619047620000003</v>
      </c>
      <c r="Q814">
        <v>194.91</v>
      </c>
      <c r="R814">
        <v>6.8250000000000002</v>
      </c>
      <c r="S814">
        <v>96.078500000000005</v>
      </c>
      <c r="T814">
        <v>19.763300000000001</v>
      </c>
    </row>
    <row r="815" spans="1:20" x14ac:dyDescent="0.3">
      <c r="A815" t="s">
        <v>1280</v>
      </c>
      <c r="B815" t="s">
        <v>21</v>
      </c>
      <c r="C815" t="s">
        <v>397</v>
      </c>
      <c r="D815" t="s">
        <v>23</v>
      </c>
      <c r="E815" t="s">
        <v>32</v>
      </c>
      <c r="F815" t="s">
        <v>36</v>
      </c>
      <c r="G815" t="s">
        <v>100</v>
      </c>
      <c r="H815">
        <v>95.15</v>
      </c>
      <c r="I815">
        <v>1</v>
      </c>
      <c r="J815">
        <v>4.7575000000000003</v>
      </c>
      <c r="K815">
        <v>95.15</v>
      </c>
      <c r="L815" s="1">
        <v>43509</v>
      </c>
      <c r="M815" s="2">
        <v>0.58333333333333337</v>
      </c>
      <c r="N815" t="s">
        <v>33</v>
      </c>
      <c r="O815">
        <v>95.15</v>
      </c>
      <c r="P815">
        <v>4.7619047620000003</v>
      </c>
      <c r="Q815">
        <v>0</v>
      </c>
      <c r="R815">
        <v>6</v>
      </c>
      <c r="S815">
        <v>96.173500000000004</v>
      </c>
      <c r="T815">
        <v>16.840900000000001</v>
      </c>
    </row>
    <row r="816" spans="1:20" x14ac:dyDescent="0.3">
      <c r="A816" t="s">
        <v>1281</v>
      </c>
      <c r="B816" t="s">
        <v>21</v>
      </c>
      <c r="C816" t="s">
        <v>1282</v>
      </c>
      <c r="D816" t="s">
        <v>23</v>
      </c>
      <c r="E816" t="s">
        <v>24</v>
      </c>
      <c r="F816" t="s">
        <v>25</v>
      </c>
      <c r="G816" t="s">
        <v>100</v>
      </c>
      <c r="H816">
        <v>48.62</v>
      </c>
      <c r="I816">
        <v>11</v>
      </c>
      <c r="J816">
        <v>26.741</v>
      </c>
      <c r="K816">
        <v>534.82000000000005</v>
      </c>
      <c r="L816" s="1">
        <v>43603</v>
      </c>
      <c r="M816" s="2">
        <v>0.45624999999999999</v>
      </c>
      <c r="N816" t="s">
        <v>33</v>
      </c>
      <c r="O816">
        <v>388.96</v>
      </c>
      <c r="P816">
        <v>4.7619047620000003</v>
      </c>
      <c r="Q816">
        <v>145.86000000000001</v>
      </c>
      <c r="R816">
        <v>5</v>
      </c>
      <c r="S816">
        <v>96.173500000000004</v>
      </c>
      <c r="T816">
        <v>16.840900000000001</v>
      </c>
    </row>
    <row r="817" spans="1:20" x14ac:dyDescent="0.3">
      <c r="A817" t="s">
        <v>1283</v>
      </c>
      <c r="B817" t="s">
        <v>51</v>
      </c>
      <c r="C817" t="s">
        <v>948</v>
      </c>
      <c r="D817" t="s">
        <v>53</v>
      </c>
      <c r="E817" t="s">
        <v>32</v>
      </c>
      <c r="F817" t="s">
        <v>25</v>
      </c>
      <c r="G817" t="s">
        <v>63</v>
      </c>
      <c r="H817">
        <v>53.21</v>
      </c>
      <c r="I817">
        <v>11</v>
      </c>
      <c r="J817">
        <v>29.265499999999999</v>
      </c>
      <c r="K817">
        <v>585.30999999999995</v>
      </c>
      <c r="L817" s="1">
        <v>43822</v>
      </c>
      <c r="M817" s="2">
        <v>0.69791666666666663</v>
      </c>
      <c r="N817" t="s">
        <v>27</v>
      </c>
      <c r="O817">
        <v>425.68</v>
      </c>
      <c r="P817">
        <v>4.7619047620000003</v>
      </c>
      <c r="Q817">
        <v>159.63</v>
      </c>
      <c r="R817">
        <v>6</v>
      </c>
      <c r="S817">
        <v>96.089100000000002</v>
      </c>
      <c r="T817">
        <v>21.9588</v>
      </c>
    </row>
    <row r="818" spans="1:20" x14ac:dyDescent="0.3">
      <c r="A818" t="s">
        <v>1284</v>
      </c>
      <c r="B818" t="s">
        <v>29</v>
      </c>
      <c r="C818" t="s">
        <v>1285</v>
      </c>
      <c r="D818" t="s">
        <v>31</v>
      </c>
      <c r="E818" t="s">
        <v>32</v>
      </c>
      <c r="F818" t="s">
        <v>25</v>
      </c>
      <c r="G818" t="s">
        <v>100</v>
      </c>
      <c r="H818">
        <v>45.44</v>
      </c>
      <c r="I818">
        <v>8</v>
      </c>
      <c r="J818">
        <v>18.175999999999998</v>
      </c>
      <c r="K818">
        <v>363.52</v>
      </c>
      <c r="L818" s="1">
        <v>43764</v>
      </c>
      <c r="M818" s="2">
        <v>0.46875</v>
      </c>
      <c r="N818" t="s">
        <v>33</v>
      </c>
      <c r="O818">
        <v>318.08</v>
      </c>
      <c r="P818">
        <v>4.7619047620000003</v>
      </c>
      <c r="Q818">
        <v>45.44</v>
      </c>
      <c r="R818">
        <v>9.66</v>
      </c>
      <c r="S818">
        <v>96.078500000000005</v>
      </c>
      <c r="T818">
        <v>19.763300000000001</v>
      </c>
    </row>
    <row r="819" spans="1:20" x14ac:dyDescent="0.3">
      <c r="A819" t="s">
        <v>1286</v>
      </c>
      <c r="B819" t="s">
        <v>21</v>
      </c>
      <c r="C819" t="s">
        <v>1016</v>
      </c>
      <c r="D819" t="s">
        <v>23</v>
      </c>
      <c r="E819" t="s">
        <v>32</v>
      </c>
      <c r="F819" t="s">
        <v>36</v>
      </c>
      <c r="G819" t="s">
        <v>63</v>
      </c>
      <c r="H819">
        <v>33.880000000000003</v>
      </c>
      <c r="I819">
        <v>8</v>
      </c>
      <c r="J819">
        <v>13.552</v>
      </c>
      <c r="K819">
        <v>271.04000000000002</v>
      </c>
      <c r="L819" s="1">
        <v>43800</v>
      </c>
      <c r="M819" s="2">
        <v>0.85347222222222219</v>
      </c>
      <c r="N819" t="s">
        <v>27</v>
      </c>
      <c r="O819">
        <v>271.04000000000002</v>
      </c>
      <c r="P819">
        <v>4.7619047620000003</v>
      </c>
      <c r="Q819">
        <v>0</v>
      </c>
      <c r="R819">
        <v>9.6</v>
      </c>
      <c r="S819">
        <v>96.173500000000004</v>
      </c>
      <c r="T819">
        <v>16.840900000000001</v>
      </c>
    </row>
    <row r="820" spans="1:20" x14ac:dyDescent="0.3">
      <c r="A820" t="s">
        <v>1287</v>
      </c>
      <c r="B820" t="s">
        <v>21</v>
      </c>
      <c r="C820" t="s">
        <v>382</v>
      </c>
      <c r="D820" t="s">
        <v>53</v>
      </c>
      <c r="E820" t="s">
        <v>24</v>
      </c>
      <c r="F820" t="s">
        <v>36</v>
      </c>
      <c r="G820" t="s">
        <v>26</v>
      </c>
      <c r="H820">
        <v>96.16</v>
      </c>
      <c r="I820">
        <v>8</v>
      </c>
      <c r="J820">
        <v>38.463999999999999</v>
      </c>
      <c r="K820">
        <v>769.28</v>
      </c>
      <c r="L820" s="1">
        <v>43663</v>
      </c>
      <c r="M820" s="2">
        <v>0.8354166666666667</v>
      </c>
      <c r="N820" t="s">
        <v>37</v>
      </c>
      <c r="O820">
        <v>384.64</v>
      </c>
      <c r="P820">
        <v>4.7619047620000003</v>
      </c>
      <c r="Q820">
        <v>384.64</v>
      </c>
      <c r="R820">
        <v>10</v>
      </c>
      <c r="S820">
        <v>96.089100000000002</v>
      </c>
      <c r="T820">
        <v>21.9588</v>
      </c>
    </row>
    <row r="821" spans="1:20" x14ac:dyDescent="0.3">
      <c r="A821" t="s">
        <v>1288</v>
      </c>
      <c r="B821" t="s">
        <v>21</v>
      </c>
      <c r="C821" t="s">
        <v>134</v>
      </c>
      <c r="D821" t="s">
        <v>53</v>
      </c>
      <c r="E821" t="s">
        <v>24</v>
      </c>
      <c r="F821" t="s">
        <v>36</v>
      </c>
      <c r="G821" t="s">
        <v>63</v>
      </c>
      <c r="H821">
        <v>47.16</v>
      </c>
      <c r="I821">
        <v>10</v>
      </c>
      <c r="J821">
        <v>23.58</v>
      </c>
      <c r="K821">
        <v>471.6</v>
      </c>
      <c r="L821" s="1">
        <v>43626</v>
      </c>
      <c r="M821" s="2">
        <v>0.60763888888888884</v>
      </c>
      <c r="N821" t="s">
        <v>37</v>
      </c>
      <c r="O821">
        <v>235.8</v>
      </c>
      <c r="P821">
        <v>4.7619047620000003</v>
      </c>
      <c r="Q821">
        <v>235.8</v>
      </c>
      <c r="R821">
        <v>7.46</v>
      </c>
      <c r="S821">
        <v>96.089100000000002</v>
      </c>
      <c r="T821">
        <v>21.9588</v>
      </c>
    </row>
    <row r="822" spans="1:20" x14ac:dyDescent="0.3">
      <c r="A822" t="s">
        <v>1289</v>
      </c>
      <c r="B822" t="s">
        <v>21</v>
      </c>
      <c r="C822" t="s">
        <v>498</v>
      </c>
      <c r="D822" t="s">
        <v>53</v>
      </c>
      <c r="E822" t="s">
        <v>32</v>
      </c>
      <c r="F822" t="s">
        <v>36</v>
      </c>
      <c r="G822" t="s">
        <v>60</v>
      </c>
      <c r="H822">
        <v>52.89</v>
      </c>
      <c r="I822">
        <v>6</v>
      </c>
      <c r="J822">
        <v>15.867000000000001</v>
      </c>
      <c r="K822">
        <v>317.33999999999997</v>
      </c>
      <c r="L822" s="1">
        <v>43524</v>
      </c>
      <c r="M822" s="2">
        <v>0.68888888888888888</v>
      </c>
      <c r="N822" t="s">
        <v>27</v>
      </c>
      <c r="O822">
        <v>211.56</v>
      </c>
      <c r="P822">
        <v>4.7619047620000003</v>
      </c>
      <c r="Q822">
        <v>105.78</v>
      </c>
      <c r="R822">
        <v>7.46</v>
      </c>
      <c r="S822">
        <v>96.089100000000002</v>
      </c>
      <c r="T822">
        <v>21.9588</v>
      </c>
    </row>
    <row r="823" spans="1:20" x14ac:dyDescent="0.3">
      <c r="A823" t="s">
        <v>1290</v>
      </c>
      <c r="B823" t="s">
        <v>21</v>
      </c>
      <c r="C823" t="s">
        <v>994</v>
      </c>
      <c r="D823" t="s">
        <v>23</v>
      </c>
      <c r="E823" t="s">
        <v>24</v>
      </c>
      <c r="F823" t="s">
        <v>25</v>
      </c>
      <c r="G823" t="s">
        <v>77</v>
      </c>
      <c r="H823">
        <v>47.68</v>
      </c>
      <c r="I823">
        <v>3</v>
      </c>
      <c r="J823">
        <v>7.1520000000000001</v>
      </c>
      <c r="K823">
        <v>143.04</v>
      </c>
      <c r="L823" s="1">
        <v>43702</v>
      </c>
      <c r="M823" s="2">
        <v>0.4236111111111111</v>
      </c>
      <c r="N823" t="s">
        <v>37</v>
      </c>
      <c r="O823">
        <v>95.36</v>
      </c>
      <c r="P823">
        <v>4.7619047620000003</v>
      </c>
      <c r="Q823">
        <v>47.68</v>
      </c>
      <c r="R823">
        <v>7.46</v>
      </c>
      <c r="S823">
        <v>96.173500000000004</v>
      </c>
      <c r="T823">
        <v>16.840900000000001</v>
      </c>
    </row>
    <row r="824" spans="1:20" x14ac:dyDescent="0.3">
      <c r="A824" t="s">
        <v>1291</v>
      </c>
      <c r="B824" t="s">
        <v>29</v>
      </c>
      <c r="C824" t="s">
        <v>1292</v>
      </c>
      <c r="D824" t="s">
        <v>31</v>
      </c>
      <c r="E824" t="s">
        <v>24</v>
      </c>
      <c r="F824" t="s">
        <v>36</v>
      </c>
      <c r="G824" t="s">
        <v>68</v>
      </c>
      <c r="H824">
        <v>10.17</v>
      </c>
      <c r="I824">
        <v>1</v>
      </c>
      <c r="J824">
        <v>0.50849999999999995</v>
      </c>
      <c r="K824">
        <v>10.17</v>
      </c>
      <c r="L824" s="1">
        <v>43733</v>
      </c>
      <c r="M824" s="2">
        <v>0.59375</v>
      </c>
      <c r="N824" t="s">
        <v>33</v>
      </c>
      <c r="O824">
        <v>10.17</v>
      </c>
      <c r="P824">
        <v>4.7619047620000003</v>
      </c>
      <c r="Q824">
        <v>0</v>
      </c>
      <c r="R824">
        <v>7.46</v>
      </c>
      <c r="S824">
        <v>96.078500000000005</v>
      </c>
      <c r="T824">
        <v>19.763300000000001</v>
      </c>
    </row>
    <row r="825" spans="1:20" x14ac:dyDescent="0.3">
      <c r="A825" t="s">
        <v>1293</v>
      </c>
      <c r="B825" t="s">
        <v>21</v>
      </c>
      <c r="C825" t="s">
        <v>1294</v>
      </c>
      <c r="D825" t="s">
        <v>23</v>
      </c>
      <c r="E825" t="s">
        <v>32</v>
      </c>
      <c r="F825" t="s">
        <v>25</v>
      </c>
      <c r="G825" t="s">
        <v>68</v>
      </c>
      <c r="H825">
        <v>68.709999999999994</v>
      </c>
      <c r="I825">
        <v>3</v>
      </c>
      <c r="J825">
        <v>10.3065</v>
      </c>
      <c r="K825">
        <v>206.13</v>
      </c>
      <c r="L825" s="1">
        <v>43756</v>
      </c>
      <c r="M825" s="2">
        <v>0.4201388888888889</v>
      </c>
      <c r="N825" t="s">
        <v>33</v>
      </c>
      <c r="O825">
        <v>206.13</v>
      </c>
      <c r="P825">
        <v>4.7619047620000003</v>
      </c>
      <c r="Q825">
        <v>0</v>
      </c>
      <c r="R825">
        <v>7.46</v>
      </c>
      <c r="S825">
        <v>96.173500000000004</v>
      </c>
      <c r="T825">
        <v>16.840900000000001</v>
      </c>
    </row>
    <row r="826" spans="1:20" x14ac:dyDescent="0.3">
      <c r="A826" t="s">
        <v>1295</v>
      </c>
      <c r="B826" t="s">
        <v>51</v>
      </c>
      <c r="C826" t="s">
        <v>123</v>
      </c>
      <c r="D826" t="s">
        <v>53</v>
      </c>
      <c r="E826" t="s">
        <v>24</v>
      </c>
      <c r="F826" t="s">
        <v>25</v>
      </c>
      <c r="G826" t="s">
        <v>68</v>
      </c>
      <c r="H826">
        <v>60.08</v>
      </c>
      <c r="I826">
        <v>14</v>
      </c>
      <c r="J826">
        <v>42.055999999999997</v>
      </c>
      <c r="K826">
        <v>841.12</v>
      </c>
      <c r="L826" s="1">
        <v>43746</v>
      </c>
      <c r="M826" s="2">
        <v>0.48333333333333334</v>
      </c>
      <c r="N826" t="s">
        <v>37</v>
      </c>
      <c r="O826">
        <v>420.56</v>
      </c>
      <c r="P826">
        <v>4.7619047620000003</v>
      </c>
      <c r="Q826">
        <v>420.56</v>
      </c>
      <c r="R826">
        <v>7.46</v>
      </c>
      <c r="S826">
        <v>96.089100000000002</v>
      </c>
      <c r="T826">
        <v>21.9588</v>
      </c>
    </row>
    <row r="827" spans="1:20" x14ac:dyDescent="0.3">
      <c r="A827" t="s">
        <v>1296</v>
      </c>
      <c r="B827" t="s">
        <v>21</v>
      </c>
      <c r="C827" t="s">
        <v>1297</v>
      </c>
      <c r="D827" t="s">
        <v>23</v>
      </c>
      <c r="E827" t="s">
        <v>24</v>
      </c>
      <c r="F827" t="s">
        <v>25</v>
      </c>
      <c r="G827" t="s">
        <v>68</v>
      </c>
      <c r="H827">
        <v>22.01</v>
      </c>
      <c r="I827">
        <v>6</v>
      </c>
      <c r="J827">
        <v>6.6029999999999998</v>
      </c>
      <c r="K827">
        <v>132.06</v>
      </c>
      <c r="L827" s="1">
        <v>43630</v>
      </c>
      <c r="M827" s="2">
        <v>0.76041666666666663</v>
      </c>
      <c r="N827" t="s">
        <v>37</v>
      </c>
      <c r="O827">
        <v>88.04</v>
      </c>
      <c r="P827">
        <v>4.7619047620000003</v>
      </c>
      <c r="Q827">
        <v>44.02</v>
      </c>
      <c r="R827">
        <v>7.46</v>
      </c>
      <c r="S827">
        <v>96.173500000000004</v>
      </c>
      <c r="T827">
        <v>16.840900000000001</v>
      </c>
    </row>
    <row r="828" spans="1:20" x14ac:dyDescent="0.3">
      <c r="A828" t="s">
        <v>1298</v>
      </c>
      <c r="B828" t="s">
        <v>51</v>
      </c>
      <c r="C828" t="s">
        <v>104</v>
      </c>
      <c r="D828" t="s">
        <v>53</v>
      </c>
      <c r="E828" t="s">
        <v>24</v>
      </c>
      <c r="F828" t="s">
        <v>25</v>
      </c>
      <c r="G828" t="s">
        <v>68</v>
      </c>
      <c r="H828">
        <v>72.11</v>
      </c>
      <c r="I828">
        <v>18</v>
      </c>
      <c r="J828">
        <v>64.899000000000001</v>
      </c>
      <c r="K828">
        <v>1297.98</v>
      </c>
      <c r="L828" s="1">
        <v>43767</v>
      </c>
      <c r="M828" s="2">
        <v>0.57847222222222228</v>
      </c>
      <c r="N828" t="s">
        <v>37</v>
      </c>
      <c r="O828">
        <v>648.99</v>
      </c>
      <c r="P828">
        <v>4.7619047620000003</v>
      </c>
      <c r="Q828">
        <v>648.99</v>
      </c>
      <c r="R828">
        <v>7.46</v>
      </c>
      <c r="S828">
        <v>96.089100000000002</v>
      </c>
      <c r="T828">
        <v>21.9588</v>
      </c>
    </row>
    <row r="829" spans="1:20" x14ac:dyDescent="0.3">
      <c r="A829" t="s">
        <v>1299</v>
      </c>
      <c r="B829" t="s">
        <v>21</v>
      </c>
      <c r="C829" t="s">
        <v>1300</v>
      </c>
      <c r="D829" t="s">
        <v>23</v>
      </c>
      <c r="E829" t="s">
        <v>24</v>
      </c>
      <c r="F829" t="s">
        <v>36</v>
      </c>
      <c r="G829" t="s">
        <v>68</v>
      </c>
      <c r="H829">
        <v>41.28</v>
      </c>
      <c r="I829">
        <v>4</v>
      </c>
      <c r="J829">
        <v>8.2560000000000002</v>
      </c>
      <c r="K829">
        <v>165.12</v>
      </c>
      <c r="L829" s="1">
        <v>43815</v>
      </c>
      <c r="M829" s="2">
        <v>0.77569444444444446</v>
      </c>
      <c r="N829" t="s">
        <v>37</v>
      </c>
      <c r="O829">
        <v>123.84</v>
      </c>
      <c r="P829">
        <v>4.7619047620000003</v>
      </c>
      <c r="Q829">
        <v>41.28</v>
      </c>
      <c r="R829">
        <v>7.46</v>
      </c>
      <c r="S829">
        <v>96.173500000000004</v>
      </c>
      <c r="T829">
        <v>16.840900000000001</v>
      </c>
    </row>
    <row r="830" spans="1:20" x14ac:dyDescent="0.3">
      <c r="A830" t="s">
        <v>1301</v>
      </c>
      <c r="B830" t="s">
        <v>29</v>
      </c>
      <c r="C830" t="s">
        <v>534</v>
      </c>
      <c r="D830" t="s">
        <v>31</v>
      </c>
      <c r="E830" t="s">
        <v>32</v>
      </c>
      <c r="F830" t="s">
        <v>36</v>
      </c>
      <c r="G830" t="s">
        <v>68</v>
      </c>
      <c r="H830">
        <v>64.95</v>
      </c>
      <c r="I830">
        <v>12</v>
      </c>
      <c r="J830">
        <v>38.97</v>
      </c>
      <c r="K830">
        <v>779.4</v>
      </c>
      <c r="L830" s="1">
        <v>43467</v>
      </c>
      <c r="M830" s="2">
        <v>0.76875000000000004</v>
      </c>
      <c r="N830" t="s">
        <v>33</v>
      </c>
      <c r="O830">
        <v>649.5</v>
      </c>
      <c r="P830">
        <v>4.7619047620000003</v>
      </c>
      <c r="Q830">
        <v>129.9</v>
      </c>
      <c r="R830">
        <v>7.46</v>
      </c>
      <c r="S830">
        <v>96.078500000000005</v>
      </c>
      <c r="T830">
        <v>19.763300000000001</v>
      </c>
    </row>
    <row r="831" spans="1:20" x14ac:dyDescent="0.3">
      <c r="A831" t="s">
        <v>1302</v>
      </c>
      <c r="B831" t="s">
        <v>21</v>
      </c>
      <c r="C831" t="s">
        <v>1146</v>
      </c>
      <c r="D831" t="s">
        <v>23</v>
      </c>
      <c r="E831" t="s">
        <v>24</v>
      </c>
      <c r="F831" t="s">
        <v>25</v>
      </c>
      <c r="G831" t="s">
        <v>68</v>
      </c>
      <c r="H831">
        <v>74.22</v>
      </c>
      <c r="I831">
        <v>14</v>
      </c>
      <c r="J831">
        <v>51.954000000000001</v>
      </c>
      <c r="K831">
        <v>1039.08</v>
      </c>
      <c r="L831" s="1">
        <v>43815</v>
      </c>
      <c r="M831" s="2">
        <v>0.61250000000000004</v>
      </c>
      <c r="N831" t="s">
        <v>37</v>
      </c>
      <c r="O831">
        <v>742.2</v>
      </c>
      <c r="P831">
        <v>4.7619047620000003</v>
      </c>
      <c r="Q831">
        <v>296.88</v>
      </c>
      <c r="R831">
        <v>7.46</v>
      </c>
      <c r="S831">
        <v>96.173500000000004</v>
      </c>
      <c r="T831">
        <v>16.840900000000001</v>
      </c>
    </row>
    <row r="832" spans="1:20" x14ac:dyDescent="0.3">
      <c r="A832" t="s">
        <v>1303</v>
      </c>
      <c r="B832" t="s">
        <v>21</v>
      </c>
      <c r="C832" t="s">
        <v>311</v>
      </c>
      <c r="D832" t="s">
        <v>23</v>
      </c>
      <c r="E832" t="s">
        <v>32</v>
      </c>
      <c r="F832" t="s">
        <v>36</v>
      </c>
      <c r="G832" t="s">
        <v>68</v>
      </c>
      <c r="H832">
        <v>10.56</v>
      </c>
      <c r="I832">
        <v>8</v>
      </c>
      <c r="J832">
        <v>4.2240000000000002</v>
      </c>
      <c r="K832">
        <v>84.48</v>
      </c>
      <c r="L832" s="1">
        <v>43743</v>
      </c>
      <c r="M832" s="2">
        <v>0.73819444444444449</v>
      </c>
      <c r="N832" t="s">
        <v>33</v>
      </c>
      <c r="O832">
        <v>84.48</v>
      </c>
      <c r="P832">
        <v>4.7619047620000003</v>
      </c>
      <c r="Q832">
        <v>0</v>
      </c>
      <c r="R832">
        <v>7.46</v>
      </c>
      <c r="S832">
        <v>96.173500000000004</v>
      </c>
      <c r="T832">
        <v>16.840900000000001</v>
      </c>
    </row>
    <row r="833" spans="1:20" x14ac:dyDescent="0.3">
      <c r="A833" t="s">
        <v>1304</v>
      </c>
      <c r="B833" t="s">
        <v>51</v>
      </c>
      <c r="C833" t="s">
        <v>382</v>
      </c>
      <c r="D833" t="s">
        <v>53</v>
      </c>
      <c r="E833" t="s">
        <v>32</v>
      </c>
      <c r="F833" t="s">
        <v>36</v>
      </c>
      <c r="G833" t="s">
        <v>68</v>
      </c>
      <c r="H833">
        <v>62.57</v>
      </c>
      <c r="I833">
        <v>6</v>
      </c>
      <c r="J833">
        <v>18.771000000000001</v>
      </c>
      <c r="K833">
        <v>375.42</v>
      </c>
      <c r="L833" s="1">
        <v>43796</v>
      </c>
      <c r="M833" s="2">
        <v>0.77569444444444446</v>
      </c>
      <c r="N833" t="s">
        <v>33</v>
      </c>
      <c r="O833">
        <v>250.28</v>
      </c>
      <c r="P833">
        <v>4.7619047620000003</v>
      </c>
      <c r="Q833">
        <v>125.14</v>
      </c>
      <c r="R833">
        <v>7.46</v>
      </c>
      <c r="S833">
        <v>96.089100000000002</v>
      </c>
      <c r="T833">
        <v>21.9588</v>
      </c>
    </row>
    <row r="834" spans="1:20" x14ac:dyDescent="0.3">
      <c r="A834" t="s">
        <v>1305</v>
      </c>
      <c r="B834" t="s">
        <v>51</v>
      </c>
      <c r="C834" t="s">
        <v>356</v>
      </c>
      <c r="D834" t="s">
        <v>53</v>
      </c>
      <c r="E834" t="s">
        <v>24</v>
      </c>
      <c r="F834" t="s">
        <v>25</v>
      </c>
      <c r="G834" t="s">
        <v>68</v>
      </c>
      <c r="H834">
        <v>11.85</v>
      </c>
      <c r="I834">
        <v>15</v>
      </c>
      <c r="J834">
        <v>8.8874999999999993</v>
      </c>
      <c r="K834">
        <v>177.75</v>
      </c>
      <c r="L834" s="1">
        <v>43730</v>
      </c>
      <c r="M834" s="2">
        <v>0.69027777777777777</v>
      </c>
      <c r="N834" t="s">
        <v>33</v>
      </c>
      <c r="O834">
        <v>94.8</v>
      </c>
      <c r="P834">
        <v>4.7619047620000003</v>
      </c>
      <c r="Q834">
        <v>82.95</v>
      </c>
      <c r="R834">
        <v>7.46</v>
      </c>
      <c r="S834">
        <v>96.089100000000002</v>
      </c>
      <c r="T834">
        <v>21.9588</v>
      </c>
    </row>
    <row r="835" spans="1:20" x14ac:dyDescent="0.3">
      <c r="A835" t="s">
        <v>1306</v>
      </c>
      <c r="B835" t="s">
        <v>21</v>
      </c>
      <c r="C835" t="s">
        <v>1307</v>
      </c>
      <c r="D835" t="s">
        <v>23</v>
      </c>
      <c r="E835" t="s">
        <v>24</v>
      </c>
      <c r="F835" t="s">
        <v>36</v>
      </c>
      <c r="G835" t="s">
        <v>26</v>
      </c>
      <c r="H835">
        <v>91.3</v>
      </c>
      <c r="I835">
        <v>1</v>
      </c>
      <c r="J835">
        <v>4.5650000000000004</v>
      </c>
      <c r="K835">
        <v>91.3</v>
      </c>
      <c r="L835" s="1">
        <v>43766</v>
      </c>
      <c r="M835" s="2">
        <v>0.61250000000000004</v>
      </c>
      <c r="N835" t="s">
        <v>27</v>
      </c>
      <c r="O835">
        <v>91.3</v>
      </c>
      <c r="P835">
        <v>4.7619047620000003</v>
      </c>
      <c r="Q835">
        <v>0</v>
      </c>
      <c r="R835">
        <v>9.1999999999999993</v>
      </c>
      <c r="S835">
        <v>96.173500000000004</v>
      </c>
      <c r="T835">
        <v>16.840900000000001</v>
      </c>
    </row>
    <row r="836" spans="1:20" x14ac:dyDescent="0.3">
      <c r="A836" t="s">
        <v>1308</v>
      </c>
      <c r="B836" t="s">
        <v>51</v>
      </c>
      <c r="C836" t="s">
        <v>123</v>
      </c>
      <c r="D836" t="s">
        <v>53</v>
      </c>
      <c r="E836" t="s">
        <v>32</v>
      </c>
      <c r="F836" t="s">
        <v>25</v>
      </c>
      <c r="G836" t="s">
        <v>77</v>
      </c>
      <c r="H836">
        <v>40.729999999999997</v>
      </c>
      <c r="I836">
        <v>10</v>
      </c>
      <c r="J836">
        <v>20.364999999999998</v>
      </c>
      <c r="K836">
        <v>407.3</v>
      </c>
      <c r="L836" s="1">
        <v>43805</v>
      </c>
      <c r="M836" s="2">
        <v>0.45902777777777776</v>
      </c>
      <c r="N836" t="s">
        <v>27</v>
      </c>
      <c r="O836">
        <v>285.11</v>
      </c>
      <c r="P836">
        <v>4.7619047620000003</v>
      </c>
      <c r="Q836">
        <v>122.19</v>
      </c>
      <c r="R836">
        <v>6.48</v>
      </c>
      <c r="S836">
        <v>96.089100000000002</v>
      </c>
      <c r="T836">
        <v>21.9588</v>
      </c>
    </row>
    <row r="837" spans="1:20" x14ac:dyDescent="0.3">
      <c r="A837" t="s">
        <v>1309</v>
      </c>
      <c r="B837" t="s">
        <v>21</v>
      </c>
      <c r="C837" t="s">
        <v>1132</v>
      </c>
      <c r="D837" t="s">
        <v>23</v>
      </c>
      <c r="E837" t="s">
        <v>32</v>
      </c>
      <c r="F837" t="s">
        <v>36</v>
      </c>
      <c r="G837" t="s">
        <v>100</v>
      </c>
      <c r="H837">
        <v>52.38</v>
      </c>
      <c r="I837">
        <v>1</v>
      </c>
      <c r="J837">
        <v>2.6190000000000002</v>
      </c>
      <c r="K837">
        <v>52.38</v>
      </c>
      <c r="L837" s="1">
        <v>43673</v>
      </c>
      <c r="M837" s="2">
        <v>0.82222222222222219</v>
      </c>
      <c r="N837" t="s">
        <v>33</v>
      </c>
      <c r="O837">
        <v>52.38</v>
      </c>
      <c r="P837">
        <v>4.7619047620000003</v>
      </c>
      <c r="Q837">
        <v>0</v>
      </c>
      <c r="R837">
        <v>5.8</v>
      </c>
      <c r="S837">
        <v>96.173500000000004</v>
      </c>
      <c r="T837">
        <v>16.840900000000001</v>
      </c>
    </row>
    <row r="838" spans="1:20" x14ac:dyDescent="0.3">
      <c r="A838" t="s">
        <v>1310</v>
      </c>
      <c r="B838" t="s">
        <v>21</v>
      </c>
      <c r="C838" t="s">
        <v>185</v>
      </c>
      <c r="D838" t="s">
        <v>23</v>
      </c>
      <c r="E838" t="s">
        <v>32</v>
      </c>
      <c r="F838" t="s">
        <v>36</v>
      </c>
      <c r="G838" t="s">
        <v>100</v>
      </c>
      <c r="H838">
        <v>38.54</v>
      </c>
      <c r="I838">
        <v>5</v>
      </c>
      <c r="J838">
        <v>9.6349999999999998</v>
      </c>
      <c r="K838">
        <v>192.7</v>
      </c>
      <c r="L838" s="1">
        <v>43511</v>
      </c>
      <c r="M838" s="2">
        <v>0.56527777777777777</v>
      </c>
      <c r="N838" t="s">
        <v>27</v>
      </c>
      <c r="O838">
        <v>192.7</v>
      </c>
      <c r="P838">
        <v>4.7619047620000003</v>
      </c>
      <c r="Q838">
        <v>0</v>
      </c>
      <c r="R838">
        <v>5.6</v>
      </c>
      <c r="S838">
        <v>96.173500000000004</v>
      </c>
      <c r="T838">
        <v>16.840900000000001</v>
      </c>
    </row>
    <row r="839" spans="1:20" x14ac:dyDescent="0.3">
      <c r="A839" t="s">
        <v>1311</v>
      </c>
      <c r="B839" t="s">
        <v>51</v>
      </c>
      <c r="C839" t="s">
        <v>83</v>
      </c>
      <c r="D839" t="s">
        <v>53</v>
      </c>
      <c r="E839" t="s">
        <v>32</v>
      </c>
      <c r="F839" t="s">
        <v>36</v>
      </c>
      <c r="G839" t="s">
        <v>68</v>
      </c>
      <c r="H839">
        <v>44.63</v>
      </c>
      <c r="I839">
        <v>8</v>
      </c>
      <c r="J839">
        <v>17.852</v>
      </c>
      <c r="K839">
        <v>357.04</v>
      </c>
      <c r="L839" s="1">
        <v>43485</v>
      </c>
      <c r="M839" s="2">
        <v>0.83888888888888891</v>
      </c>
      <c r="N839" t="s">
        <v>37</v>
      </c>
      <c r="O839">
        <v>267.77999999999997</v>
      </c>
      <c r="P839">
        <v>4.7619047620000003</v>
      </c>
      <c r="Q839">
        <v>89.26</v>
      </c>
      <c r="R839">
        <v>6.12</v>
      </c>
      <c r="S839">
        <v>96.089100000000002</v>
      </c>
      <c r="T839">
        <v>21.9588</v>
      </c>
    </row>
    <row r="840" spans="1:20" x14ac:dyDescent="0.3">
      <c r="A840" t="s">
        <v>1312</v>
      </c>
      <c r="B840" t="s">
        <v>29</v>
      </c>
      <c r="C840" t="s">
        <v>658</v>
      </c>
      <c r="D840" t="s">
        <v>31</v>
      </c>
      <c r="E840" t="s">
        <v>32</v>
      </c>
      <c r="F840" t="s">
        <v>36</v>
      </c>
      <c r="G840" t="s">
        <v>60</v>
      </c>
      <c r="H840">
        <v>55.87</v>
      </c>
      <c r="I840">
        <v>12</v>
      </c>
      <c r="J840">
        <v>33.521999999999998</v>
      </c>
      <c r="K840">
        <v>670.44</v>
      </c>
      <c r="L840" s="1">
        <v>43792</v>
      </c>
      <c r="M840" s="2">
        <v>0.62569444444444444</v>
      </c>
      <c r="N840" t="s">
        <v>33</v>
      </c>
      <c r="O840">
        <v>558.70000000000005</v>
      </c>
      <c r="P840">
        <v>4.7619047620000003</v>
      </c>
      <c r="Q840">
        <v>111.74</v>
      </c>
      <c r="R840">
        <v>6.09</v>
      </c>
      <c r="S840">
        <v>96.078500000000005</v>
      </c>
      <c r="T840">
        <v>19.763300000000001</v>
      </c>
    </row>
    <row r="841" spans="1:20" x14ac:dyDescent="0.3">
      <c r="A841" t="s">
        <v>1313</v>
      </c>
      <c r="B841" t="s">
        <v>29</v>
      </c>
      <c r="C841" t="s">
        <v>1064</v>
      </c>
      <c r="D841" t="s">
        <v>31</v>
      </c>
      <c r="E841" t="s">
        <v>32</v>
      </c>
      <c r="F841" t="s">
        <v>25</v>
      </c>
      <c r="G841" t="s">
        <v>68</v>
      </c>
      <c r="H841">
        <v>29.22</v>
      </c>
      <c r="I841">
        <v>7</v>
      </c>
      <c r="J841">
        <v>10.227</v>
      </c>
      <c r="K841">
        <v>204.54</v>
      </c>
      <c r="L841" s="1">
        <v>43691</v>
      </c>
      <c r="M841" s="2">
        <v>0.4861111111111111</v>
      </c>
      <c r="N841" t="s">
        <v>27</v>
      </c>
      <c r="O841">
        <v>175.32</v>
      </c>
      <c r="P841">
        <v>4.7619047620000003</v>
      </c>
      <c r="Q841">
        <v>29.22</v>
      </c>
      <c r="R841">
        <v>5.25</v>
      </c>
      <c r="S841">
        <v>96.078500000000005</v>
      </c>
      <c r="T841">
        <v>19.763300000000001</v>
      </c>
    </row>
    <row r="842" spans="1:20" x14ac:dyDescent="0.3">
      <c r="A842" t="s">
        <v>1314</v>
      </c>
      <c r="B842" t="s">
        <v>21</v>
      </c>
      <c r="C842" t="s">
        <v>714</v>
      </c>
      <c r="D842" t="s">
        <v>23</v>
      </c>
      <c r="E842" t="s">
        <v>32</v>
      </c>
      <c r="F842" t="s">
        <v>36</v>
      </c>
      <c r="G842" t="s">
        <v>100</v>
      </c>
      <c r="H842">
        <v>51.94</v>
      </c>
      <c r="I842">
        <v>3</v>
      </c>
      <c r="J842">
        <v>7.7910000000000004</v>
      </c>
      <c r="K842">
        <v>155.82</v>
      </c>
      <c r="L842" s="1">
        <v>43739</v>
      </c>
      <c r="M842" s="2">
        <v>0.63958333333333328</v>
      </c>
      <c r="N842" t="s">
        <v>33</v>
      </c>
      <c r="O842">
        <v>155.82</v>
      </c>
      <c r="P842">
        <v>4.7619047620000003</v>
      </c>
      <c r="Q842">
        <v>0</v>
      </c>
      <c r="R842">
        <v>7.9</v>
      </c>
      <c r="S842">
        <v>96.173500000000004</v>
      </c>
      <c r="T842">
        <v>16.840900000000001</v>
      </c>
    </row>
    <row r="843" spans="1:20" x14ac:dyDescent="0.3">
      <c r="A843" t="s">
        <v>1315</v>
      </c>
      <c r="B843" t="s">
        <v>51</v>
      </c>
      <c r="C843" t="s">
        <v>454</v>
      </c>
      <c r="D843" t="s">
        <v>53</v>
      </c>
      <c r="E843" t="s">
        <v>32</v>
      </c>
      <c r="F843" t="s">
        <v>36</v>
      </c>
      <c r="G843" t="s">
        <v>60</v>
      </c>
      <c r="H843">
        <v>60.3</v>
      </c>
      <c r="I843">
        <v>1</v>
      </c>
      <c r="J843">
        <v>3.0150000000000001</v>
      </c>
      <c r="K843">
        <v>60.3</v>
      </c>
      <c r="L843" s="1">
        <v>43672</v>
      </c>
      <c r="M843" s="2">
        <v>0.73472222222222228</v>
      </c>
      <c r="N843" t="s">
        <v>33</v>
      </c>
      <c r="O843">
        <v>60.3</v>
      </c>
      <c r="P843">
        <v>4.7619047620000003</v>
      </c>
      <c r="Q843">
        <v>0</v>
      </c>
      <c r="R843">
        <v>7.2</v>
      </c>
      <c r="S843">
        <v>96.089100000000002</v>
      </c>
      <c r="T843">
        <v>21.9588</v>
      </c>
    </row>
    <row r="844" spans="1:20" x14ac:dyDescent="0.3">
      <c r="A844" t="s">
        <v>1316</v>
      </c>
      <c r="B844" t="s">
        <v>21</v>
      </c>
      <c r="C844" t="s">
        <v>152</v>
      </c>
      <c r="D844" t="s">
        <v>23</v>
      </c>
      <c r="E844" t="s">
        <v>32</v>
      </c>
      <c r="F844" t="s">
        <v>25</v>
      </c>
      <c r="G844" t="s">
        <v>68</v>
      </c>
      <c r="H844">
        <v>39.47</v>
      </c>
      <c r="I844">
        <v>2</v>
      </c>
      <c r="J844">
        <v>3.9470000000000001</v>
      </c>
      <c r="K844">
        <v>78.94</v>
      </c>
      <c r="L844" s="1">
        <v>43608</v>
      </c>
      <c r="M844" s="2">
        <v>0.67777777777777781</v>
      </c>
      <c r="N844" t="s">
        <v>37</v>
      </c>
      <c r="O844">
        <v>78.94</v>
      </c>
      <c r="P844">
        <v>4.7619047620000003</v>
      </c>
      <c r="Q844">
        <v>0</v>
      </c>
      <c r="R844">
        <v>5</v>
      </c>
      <c r="S844">
        <v>96.173500000000004</v>
      </c>
      <c r="T844">
        <v>16.840900000000001</v>
      </c>
    </row>
    <row r="845" spans="1:20" x14ac:dyDescent="0.3">
      <c r="A845" t="s">
        <v>1317</v>
      </c>
      <c r="B845" t="s">
        <v>29</v>
      </c>
      <c r="C845" t="s">
        <v>1318</v>
      </c>
      <c r="D845" t="s">
        <v>31</v>
      </c>
      <c r="E845" t="s">
        <v>32</v>
      </c>
      <c r="F845" t="s">
        <v>25</v>
      </c>
      <c r="G845" t="s">
        <v>63</v>
      </c>
      <c r="H845">
        <v>14.87</v>
      </c>
      <c r="I845">
        <v>2</v>
      </c>
      <c r="J845">
        <v>1.4870000000000001</v>
      </c>
      <c r="K845">
        <v>29.74</v>
      </c>
      <c r="L845" s="1">
        <v>43586</v>
      </c>
      <c r="M845" s="2">
        <v>0.76041666666666663</v>
      </c>
      <c r="N845" t="s">
        <v>37</v>
      </c>
      <c r="O845">
        <v>29.74</v>
      </c>
      <c r="P845">
        <v>4.7619047620000003</v>
      </c>
      <c r="Q845">
        <v>0</v>
      </c>
      <c r="R845">
        <v>9.3450000000000006</v>
      </c>
      <c r="S845">
        <v>96.078500000000005</v>
      </c>
      <c r="T845">
        <v>19.763300000000001</v>
      </c>
    </row>
    <row r="846" spans="1:20" x14ac:dyDescent="0.3">
      <c r="A846" t="s">
        <v>1319</v>
      </c>
      <c r="B846" t="s">
        <v>21</v>
      </c>
      <c r="C846" t="s">
        <v>432</v>
      </c>
      <c r="D846" t="s">
        <v>23</v>
      </c>
      <c r="E846" t="s">
        <v>32</v>
      </c>
      <c r="F846" t="s">
        <v>36</v>
      </c>
      <c r="G846" t="s">
        <v>100</v>
      </c>
      <c r="H846">
        <v>21.32</v>
      </c>
      <c r="I846">
        <v>1</v>
      </c>
      <c r="J846">
        <v>1.0660000000000001</v>
      </c>
      <c r="K846">
        <v>21.32</v>
      </c>
      <c r="L846" s="1">
        <v>43637</v>
      </c>
      <c r="M846" s="2">
        <v>0.52986111111111112</v>
      </c>
      <c r="N846" t="s">
        <v>33</v>
      </c>
      <c r="O846">
        <v>21.32</v>
      </c>
      <c r="P846">
        <v>4.7619047620000003</v>
      </c>
      <c r="Q846">
        <v>0</v>
      </c>
      <c r="R846">
        <v>5.9</v>
      </c>
      <c r="S846">
        <v>96.173500000000004</v>
      </c>
      <c r="T846">
        <v>16.840900000000001</v>
      </c>
    </row>
    <row r="847" spans="1:20" x14ac:dyDescent="0.3">
      <c r="A847" t="s">
        <v>1320</v>
      </c>
      <c r="B847" t="s">
        <v>21</v>
      </c>
      <c r="C847" t="s">
        <v>1050</v>
      </c>
      <c r="D847" t="s">
        <v>23</v>
      </c>
      <c r="E847" t="s">
        <v>32</v>
      </c>
      <c r="F847" t="s">
        <v>36</v>
      </c>
      <c r="G847" t="s">
        <v>60</v>
      </c>
      <c r="H847">
        <v>93.78</v>
      </c>
      <c r="I847">
        <v>3</v>
      </c>
      <c r="J847">
        <v>14.067</v>
      </c>
      <c r="K847">
        <v>281.33999999999997</v>
      </c>
      <c r="L847" s="1">
        <v>43565</v>
      </c>
      <c r="M847" s="2">
        <v>0.48055555555555557</v>
      </c>
      <c r="N847" t="s">
        <v>37</v>
      </c>
      <c r="O847">
        <v>281.33999999999997</v>
      </c>
      <c r="P847">
        <v>4.7619047620000003</v>
      </c>
      <c r="Q847">
        <v>0</v>
      </c>
      <c r="R847">
        <v>5.9</v>
      </c>
      <c r="S847">
        <v>96.173500000000004</v>
      </c>
      <c r="T847">
        <v>16.840900000000001</v>
      </c>
    </row>
    <row r="848" spans="1:20" x14ac:dyDescent="0.3">
      <c r="A848" t="s">
        <v>1321</v>
      </c>
      <c r="B848" t="s">
        <v>21</v>
      </c>
      <c r="C848" t="s">
        <v>1322</v>
      </c>
      <c r="D848" t="s">
        <v>23</v>
      </c>
      <c r="E848" t="s">
        <v>32</v>
      </c>
      <c r="F848" t="s">
        <v>36</v>
      </c>
      <c r="G848" t="s">
        <v>60</v>
      </c>
      <c r="H848">
        <v>73.260000000000005</v>
      </c>
      <c r="I848">
        <v>1</v>
      </c>
      <c r="J848">
        <v>3.6629999999999998</v>
      </c>
      <c r="K848">
        <v>73.260000000000005</v>
      </c>
      <c r="L848" s="1">
        <v>43668</v>
      </c>
      <c r="M848" s="2">
        <v>0.75555555555555554</v>
      </c>
      <c r="N848" t="s">
        <v>27</v>
      </c>
      <c r="O848">
        <v>73.260000000000005</v>
      </c>
      <c r="P848">
        <v>4.7619047620000003</v>
      </c>
      <c r="Q848">
        <v>0</v>
      </c>
      <c r="R848">
        <v>9.6999999999999993</v>
      </c>
      <c r="S848">
        <v>96.173500000000004</v>
      </c>
      <c r="T848">
        <v>16.840900000000001</v>
      </c>
    </row>
    <row r="849" spans="1:20" x14ac:dyDescent="0.3">
      <c r="A849" t="s">
        <v>1323</v>
      </c>
      <c r="B849" t="s">
        <v>29</v>
      </c>
      <c r="C849" t="s">
        <v>596</v>
      </c>
      <c r="D849" t="s">
        <v>31</v>
      </c>
      <c r="E849" t="s">
        <v>32</v>
      </c>
      <c r="F849" t="s">
        <v>25</v>
      </c>
      <c r="G849" t="s">
        <v>68</v>
      </c>
      <c r="H849">
        <v>22.38</v>
      </c>
      <c r="I849">
        <v>1</v>
      </c>
      <c r="J849">
        <v>1.119</v>
      </c>
      <c r="K849">
        <v>22.38</v>
      </c>
      <c r="L849" s="1">
        <v>43803</v>
      </c>
      <c r="M849" s="2">
        <v>0.71388888888888891</v>
      </c>
      <c r="N849" t="s">
        <v>37</v>
      </c>
      <c r="O849">
        <v>22.38</v>
      </c>
      <c r="P849">
        <v>4.7619047620000003</v>
      </c>
      <c r="Q849">
        <v>0</v>
      </c>
      <c r="R849">
        <v>9.0299999999999994</v>
      </c>
      <c r="S849">
        <v>96.078500000000005</v>
      </c>
      <c r="T849">
        <v>19.763300000000001</v>
      </c>
    </row>
    <row r="850" spans="1:20" x14ac:dyDescent="0.3">
      <c r="A850" t="s">
        <v>1324</v>
      </c>
      <c r="B850" t="s">
        <v>29</v>
      </c>
      <c r="C850" t="s">
        <v>780</v>
      </c>
      <c r="D850" t="s">
        <v>31</v>
      </c>
      <c r="E850" t="s">
        <v>32</v>
      </c>
      <c r="F850" t="s">
        <v>25</v>
      </c>
      <c r="G850" t="s">
        <v>63</v>
      </c>
      <c r="H850">
        <v>72.88</v>
      </c>
      <c r="I850">
        <v>11</v>
      </c>
      <c r="J850">
        <v>40.084000000000003</v>
      </c>
      <c r="K850">
        <v>801.68</v>
      </c>
      <c r="L850" s="1">
        <v>43591</v>
      </c>
      <c r="M850" s="2">
        <v>0.81805555555555554</v>
      </c>
      <c r="N850" t="s">
        <v>33</v>
      </c>
      <c r="O850">
        <v>655.92</v>
      </c>
      <c r="P850">
        <v>4.7619047620000003</v>
      </c>
      <c r="Q850">
        <v>145.76</v>
      </c>
      <c r="R850">
        <v>4.2</v>
      </c>
      <c r="S850">
        <v>96.078500000000005</v>
      </c>
      <c r="T850">
        <v>19.763300000000001</v>
      </c>
    </row>
    <row r="851" spans="1:20" x14ac:dyDescent="0.3">
      <c r="A851" t="s">
        <v>1325</v>
      </c>
      <c r="B851" t="s">
        <v>21</v>
      </c>
      <c r="C851" t="s">
        <v>1326</v>
      </c>
      <c r="D851" t="s">
        <v>23</v>
      </c>
      <c r="E851" t="s">
        <v>32</v>
      </c>
      <c r="F851" t="s">
        <v>25</v>
      </c>
      <c r="G851" t="s">
        <v>100</v>
      </c>
      <c r="H851">
        <v>99.1</v>
      </c>
      <c r="I851">
        <v>6</v>
      </c>
      <c r="J851">
        <v>29.73</v>
      </c>
      <c r="K851">
        <v>594.6</v>
      </c>
      <c r="L851" s="1">
        <v>43529</v>
      </c>
      <c r="M851" s="2">
        <v>0.5493055555555556</v>
      </c>
      <c r="N851" t="s">
        <v>33</v>
      </c>
      <c r="O851">
        <v>594.6</v>
      </c>
      <c r="P851">
        <v>4.7619047620000003</v>
      </c>
      <c r="Q851">
        <v>0</v>
      </c>
      <c r="R851">
        <v>4.2</v>
      </c>
      <c r="S851">
        <v>96.173500000000004</v>
      </c>
      <c r="T851">
        <v>16.840900000000001</v>
      </c>
    </row>
    <row r="852" spans="1:20" x14ac:dyDescent="0.3">
      <c r="A852" t="s">
        <v>1327</v>
      </c>
      <c r="B852" t="s">
        <v>21</v>
      </c>
      <c r="C852" t="s">
        <v>1328</v>
      </c>
      <c r="D852" t="s">
        <v>23</v>
      </c>
      <c r="E852" t="s">
        <v>32</v>
      </c>
      <c r="F852" t="s">
        <v>36</v>
      </c>
      <c r="G852" t="s">
        <v>100</v>
      </c>
      <c r="H852">
        <v>74.099999999999994</v>
      </c>
      <c r="I852">
        <v>1</v>
      </c>
      <c r="J852">
        <v>3.7050000000000001</v>
      </c>
      <c r="K852">
        <v>74.099999999999994</v>
      </c>
      <c r="L852" s="1">
        <v>43592</v>
      </c>
      <c r="M852" s="2">
        <v>0.46180555555555558</v>
      </c>
      <c r="N852" t="s">
        <v>33</v>
      </c>
      <c r="O852">
        <v>74.099999999999994</v>
      </c>
      <c r="P852">
        <v>4.7619047620000003</v>
      </c>
      <c r="Q852">
        <v>0</v>
      </c>
      <c r="R852">
        <v>9.1999999999999993</v>
      </c>
      <c r="S852">
        <v>96.173500000000004</v>
      </c>
      <c r="T852">
        <v>16.840900000000001</v>
      </c>
    </row>
    <row r="853" spans="1:20" x14ac:dyDescent="0.3">
      <c r="A853" t="s">
        <v>1329</v>
      </c>
      <c r="B853" t="s">
        <v>21</v>
      </c>
      <c r="C853" t="s">
        <v>783</v>
      </c>
      <c r="D853" t="s">
        <v>23</v>
      </c>
      <c r="E853" t="s">
        <v>32</v>
      </c>
      <c r="F853" t="s">
        <v>25</v>
      </c>
      <c r="G853" t="s">
        <v>100</v>
      </c>
      <c r="H853">
        <v>98.48</v>
      </c>
      <c r="I853">
        <v>2</v>
      </c>
      <c r="J853">
        <v>9.8480000000000008</v>
      </c>
      <c r="K853">
        <v>196.96</v>
      </c>
      <c r="L853" s="1">
        <v>43785</v>
      </c>
      <c r="M853" s="2">
        <v>0.42499999999999999</v>
      </c>
      <c r="N853" t="s">
        <v>27</v>
      </c>
      <c r="O853">
        <v>196.96</v>
      </c>
      <c r="P853">
        <v>4.7619047620000003</v>
      </c>
      <c r="Q853">
        <v>0</v>
      </c>
      <c r="R853">
        <v>9.1999999999999993</v>
      </c>
      <c r="S853">
        <v>96.173500000000004</v>
      </c>
      <c r="T853">
        <v>16.840900000000001</v>
      </c>
    </row>
    <row r="854" spans="1:20" x14ac:dyDescent="0.3">
      <c r="A854" t="s">
        <v>1330</v>
      </c>
      <c r="B854" t="s">
        <v>29</v>
      </c>
      <c r="C854" t="s">
        <v>154</v>
      </c>
      <c r="D854" t="s">
        <v>31</v>
      </c>
      <c r="E854" t="s">
        <v>32</v>
      </c>
      <c r="F854" t="s">
        <v>36</v>
      </c>
      <c r="G854" t="s">
        <v>26</v>
      </c>
      <c r="H854">
        <v>53.19</v>
      </c>
      <c r="I854">
        <v>8</v>
      </c>
      <c r="J854">
        <v>21.276</v>
      </c>
      <c r="K854">
        <v>425.52</v>
      </c>
      <c r="L854" s="1">
        <v>43649</v>
      </c>
      <c r="M854" s="2">
        <v>0.65416666666666667</v>
      </c>
      <c r="N854" t="s">
        <v>27</v>
      </c>
      <c r="O854">
        <v>372.33</v>
      </c>
      <c r="P854">
        <v>4.7619047620000003</v>
      </c>
      <c r="Q854">
        <v>53.19</v>
      </c>
      <c r="R854">
        <v>5.25</v>
      </c>
      <c r="S854">
        <v>96.078500000000005</v>
      </c>
      <c r="T854">
        <v>19.763300000000001</v>
      </c>
    </row>
    <row r="855" spans="1:20" x14ac:dyDescent="0.3">
      <c r="A855" t="s">
        <v>1331</v>
      </c>
      <c r="B855" t="s">
        <v>51</v>
      </c>
      <c r="C855" t="s">
        <v>83</v>
      </c>
      <c r="D855" t="s">
        <v>53</v>
      </c>
      <c r="E855" t="s">
        <v>32</v>
      </c>
      <c r="F855" t="s">
        <v>25</v>
      </c>
      <c r="G855" t="s">
        <v>60</v>
      </c>
      <c r="H855">
        <v>52.79</v>
      </c>
      <c r="I855">
        <v>14</v>
      </c>
      <c r="J855">
        <v>36.953000000000003</v>
      </c>
      <c r="K855">
        <v>739.06</v>
      </c>
      <c r="L855" s="1">
        <v>43589</v>
      </c>
      <c r="M855" s="2">
        <v>0.49861111111111112</v>
      </c>
      <c r="N855" t="s">
        <v>27</v>
      </c>
      <c r="O855">
        <v>527.9</v>
      </c>
      <c r="P855">
        <v>4.7619047620000003</v>
      </c>
      <c r="Q855">
        <v>211.16</v>
      </c>
      <c r="R855">
        <v>10</v>
      </c>
      <c r="S855">
        <v>96.089100000000002</v>
      </c>
      <c r="T855">
        <v>21.9588</v>
      </c>
    </row>
    <row r="856" spans="1:20" x14ac:dyDescent="0.3">
      <c r="A856" t="s">
        <v>1332</v>
      </c>
      <c r="B856" t="s">
        <v>21</v>
      </c>
      <c r="C856" t="s">
        <v>97</v>
      </c>
      <c r="D856" t="s">
        <v>23</v>
      </c>
      <c r="E856" t="s">
        <v>32</v>
      </c>
      <c r="F856" t="s">
        <v>25</v>
      </c>
      <c r="G856" t="s">
        <v>26</v>
      </c>
      <c r="H856">
        <v>95.95</v>
      </c>
      <c r="I856">
        <v>5</v>
      </c>
      <c r="J856">
        <v>23.987500000000001</v>
      </c>
      <c r="K856">
        <v>479.75</v>
      </c>
      <c r="L856" s="1">
        <v>43643</v>
      </c>
      <c r="M856" s="2">
        <v>0.59791666666666665</v>
      </c>
      <c r="N856" t="s">
        <v>27</v>
      </c>
      <c r="O856">
        <v>479.75</v>
      </c>
      <c r="P856">
        <v>4.7619047620000003</v>
      </c>
      <c r="Q856">
        <v>0</v>
      </c>
      <c r="R856">
        <v>8.8000000000000007</v>
      </c>
      <c r="S856">
        <v>96.173500000000004</v>
      </c>
      <c r="T856">
        <v>16.840900000000001</v>
      </c>
    </row>
    <row r="857" spans="1:20" x14ac:dyDescent="0.3">
      <c r="A857" t="s">
        <v>1333</v>
      </c>
      <c r="B857" t="s">
        <v>51</v>
      </c>
      <c r="C857" t="s">
        <v>331</v>
      </c>
      <c r="D857" t="s">
        <v>53</v>
      </c>
      <c r="E857" t="s">
        <v>32</v>
      </c>
      <c r="F857" t="s">
        <v>25</v>
      </c>
      <c r="G857" t="s">
        <v>100</v>
      </c>
      <c r="H857">
        <v>36.51</v>
      </c>
      <c r="I857">
        <v>13</v>
      </c>
      <c r="J857">
        <v>23.7315</v>
      </c>
      <c r="K857">
        <v>474.63</v>
      </c>
      <c r="L857" s="1">
        <v>43793</v>
      </c>
      <c r="M857" s="2">
        <v>0.45277777777777778</v>
      </c>
      <c r="N857" t="s">
        <v>33</v>
      </c>
      <c r="O857">
        <v>328.59</v>
      </c>
      <c r="P857">
        <v>4.7619047620000003</v>
      </c>
      <c r="Q857">
        <v>146.04</v>
      </c>
      <c r="R857">
        <v>5.04</v>
      </c>
      <c r="S857">
        <v>96.089100000000002</v>
      </c>
      <c r="T857">
        <v>21.9588</v>
      </c>
    </row>
    <row r="858" spans="1:20" x14ac:dyDescent="0.3">
      <c r="A858" t="s">
        <v>1334</v>
      </c>
      <c r="B858" t="s">
        <v>51</v>
      </c>
      <c r="C858" t="s">
        <v>1052</v>
      </c>
      <c r="D858" t="s">
        <v>53</v>
      </c>
      <c r="E858" t="s">
        <v>32</v>
      </c>
      <c r="F858" t="s">
        <v>36</v>
      </c>
      <c r="G858" t="s">
        <v>63</v>
      </c>
      <c r="H858">
        <v>21.12</v>
      </c>
      <c r="I858">
        <v>11</v>
      </c>
      <c r="J858">
        <v>11.616</v>
      </c>
      <c r="K858">
        <v>232.32</v>
      </c>
      <c r="L858" s="1">
        <v>43739</v>
      </c>
      <c r="M858" s="2">
        <v>0.81319444444444444</v>
      </c>
      <c r="N858" t="s">
        <v>33</v>
      </c>
      <c r="O858">
        <v>168.96</v>
      </c>
      <c r="P858">
        <v>4.7619047620000003</v>
      </c>
      <c r="Q858">
        <v>63.36</v>
      </c>
      <c r="R858">
        <v>7.56</v>
      </c>
      <c r="S858">
        <v>96.089100000000002</v>
      </c>
      <c r="T858">
        <v>21.9588</v>
      </c>
    </row>
    <row r="859" spans="1:20" x14ac:dyDescent="0.3">
      <c r="A859" t="s">
        <v>1335</v>
      </c>
      <c r="B859" t="s">
        <v>21</v>
      </c>
      <c r="C859" t="s">
        <v>354</v>
      </c>
      <c r="D859" t="s">
        <v>23</v>
      </c>
      <c r="E859" t="s">
        <v>32</v>
      </c>
      <c r="F859" t="s">
        <v>25</v>
      </c>
      <c r="G859" t="s">
        <v>77</v>
      </c>
      <c r="H859">
        <v>28.31</v>
      </c>
      <c r="I859">
        <v>4</v>
      </c>
      <c r="J859">
        <v>5.6619999999999999</v>
      </c>
      <c r="K859">
        <v>113.24</v>
      </c>
      <c r="L859" s="1">
        <v>43602</v>
      </c>
      <c r="M859" s="2">
        <v>0.77430555555555558</v>
      </c>
      <c r="N859" t="s">
        <v>33</v>
      </c>
      <c r="O859">
        <v>113.24</v>
      </c>
      <c r="P859">
        <v>4.7619047620000003</v>
      </c>
      <c r="Q859">
        <v>0</v>
      </c>
      <c r="R859">
        <v>8.1999999999999993</v>
      </c>
      <c r="S859">
        <v>96.173500000000004</v>
      </c>
      <c r="T859">
        <v>16.840900000000001</v>
      </c>
    </row>
    <row r="860" spans="1:20" x14ac:dyDescent="0.3">
      <c r="A860" t="s">
        <v>1336</v>
      </c>
      <c r="B860" t="s">
        <v>51</v>
      </c>
      <c r="C860" t="s">
        <v>803</v>
      </c>
      <c r="D860" t="s">
        <v>53</v>
      </c>
      <c r="E860" t="s">
        <v>32</v>
      </c>
      <c r="F860" t="s">
        <v>36</v>
      </c>
      <c r="G860" t="s">
        <v>26</v>
      </c>
      <c r="H860">
        <v>57.59</v>
      </c>
      <c r="I860">
        <v>8</v>
      </c>
      <c r="J860">
        <v>23.036000000000001</v>
      </c>
      <c r="K860">
        <v>460.72</v>
      </c>
      <c r="L860" s="1">
        <v>43480</v>
      </c>
      <c r="M860" s="2">
        <v>0.57708333333333328</v>
      </c>
      <c r="N860" t="s">
        <v>33</v>
      </c>
      <c r="O860">
        <v>345.54</v>
      </c>
      <c r="P860">
        <v>4.7619047620000003</v>
      </c>
      <c r="Q860">
        <v>115.18</v>
      </c>
      <c r="R860">
        <v>6.12</v>
      </c>
      <c r="S860">
        <v>96.089100000000002</v>
      </c>
      <c r="T860">
        <v>21.9588</v>
      </c>
    </row>
    <row r="861" spans="1:20" x14ac:dyDescent="0.3">
      <c r="A861" t="s">
        <v>1337</v>
      </c>
      <c r="B861" t="s">
        <v>21</v>
      </c>
      <c r="C861" t="s">
        <v>387</v>
      </c>
      <c r="D861" t="s">
        <v>23</v>
      </c>
      <c r="E861" t="s">
        <v>32</v>
      </c>
      <c r="F861" t="s">
        <v>25</v>
      </c>
      <c r="G861" t="s">
        <v>68</v>
      </c>
      <c r="H861">
        <v>47.63</v>
      </c>
      <c r="I861">
        <v>9</v>
      </c>
      <c r="J861">
        <v>21.433499999999999</v>
      </c>
      <c r="K861">
        <v>428.67</v>
      </c>
      <c r="L861" s="1">
        <v>43537</v>
      </c>
      <c r="M861" s="2">
        <v>0.52430555555555558</v>
      </c>
      <c r="N861" t="s">
        <v>33</v>
      </c>
      <c r="O861">
        <v>428.67</v>
      </c>
      <c r="P861">
        <v>4.7619047620000003</v>
      </c>
      <c r="Q861">
        <v>0</v>
      </c>
      <c r="R861">
        <v>5</v>
      </c>
      <c r="S861">
        <v>96.173500000000004</v>
      </c>
      <c r="T861">
        <v>16.840900000000001</v>
      </c>
    </row>
    <row r="862" spans="1:20" x14ac:dyDescent="0.3">
      <c r="A862" t="s">
        <v>1338</v>
      </c>
      <c r="B862" t="s">
        <v>29</v>
      </c>
      <c r="C862" t="s">
        <v>424</v>
      </c>
      <c r="D862" t="s">
        <v>31</v>
      </c>
      <c r="E862" t="s">
        <v>32</v>
      </c>
      <c r="F862" t="s">
        <v>25</v>
      </c>
      <c r="G862" t="s">
        <v>68</v>
      </c>
      <c r="H862">
        <v>86.27</v>
      </c>
      <c r="I862">
        <v>1</v>
      </c>
      <c r="J862">
        <v>4.3135000000000003</v>
      </c>
      <c r="K862">
        <v>86.27</v>
      </c>
      <c r="L862" s="1">
        <v>43493</v>
      </c>
      <c r="M862" s="2">
        <v>0.55833333333333335</v>
      </c>
      <c r="N862" t="s">
        <v>27</v>
      </c>
      <c r="O862">
        <v>86.27</v>
      </c>
      <c r="P862">
        <v>4.7619047620000003</v>
      </c>
      <c r="Q862">
        <v>0</v>
      </c>
      <c r="R862">
        <v>7.35</v>
      </c>
      <c r="S862">
        <v>96.078500000000005</v>
      </c>
      <c r="T862">
        <v>19.763300000000001</v>
      </c>
    </row>
    <row r="863" spans="1:20" x14ac:dyDescent="0.3">
      <c r="A863" t="s">
        <v>1339</v>
      </c>
      <c r="B863" t="s">
        <v>21</v>
      </c>
      <c r="C863" t="s">
        <v>700</v>
      </c>
      <c r="D863" t="s">
        <v>23</v>
      </c>
      <c r="E863" t="s">
        <v>32</v>
      </c>
      <c r="F863" t="s">
        <v>36</v>
      </c>
      <c r="G863" t="s">
        <v>68</v>
      </c>
      <c r="H863">
        <v>12.76</v>
      </c>
      <c r="I863">
        <v>2</v>
      </c>
      <c r="J863">
        <v>1.276</v>
      </c>
      <c r="K863">
        <v>25.52</v>
      </c>
      <c r="L863" s="1">
        <v>43655</v>
      </c>
      <c r="M863" s="2">
        <v>0.75416666666666665</v>
      </c>
      <c r="N863" t="s">
        <v>27</v>
      </c>
      <c r="O863">
        <v>25.52</v>
      </c>
      <c r="P863">
        <v>4.7619047620000003</v>
      </c>
      <c r="Q863">
        <v>0</v>
      </c>
      <c r="R863">
        <v>7.8</v>
      </c>
      <c r="S863">
        <v>96.173500000000004</v>
      </c>
      <c r="T863">
        <v>16.840900000000001</v>
      </c>
    </row>
    <row r="864" spans="1:20" x14ac:dyDescent="0.3">
      <c r="A864" t="s">
        <v>1340</v>
      </c>
      <c r="B864" t="s">
        <v>51</v>
      </c>
      <c r="C864" t="s">
        <v>91</v>
      </c>
      <c r="D864" t="s">
        <v>53</v>
      </c>
      <c r="E864" t="s">
        <v>32</v>
      </c>
      <c r="F864" t="s">
        <v>25</v>
      </c>
      <c r="G864" t="s">
        <v>68</v>
      </c>
      <c r="H864">
        <v>11.28</v>
      </c>
      <c r="I864">
        <v>13</v>
      </c>
      <c r="J864">
        <v>7.3319999999999999</v>
      </c>
      <c r="K864">
        <v>146.63999999999999</v>
      </c>
      <c r="L864" s="1">
        <v>43784</v>
      </c>
      <c r="M864" s="2">
        <v>0.49652777777777779</v>
      </c>
      <c r="N864" t="s">
        <v>37</v>
      </c>
      <c r="O864">
        <v>101.52</v>
      </c>
      <c r="P864">
        <v>4.7619047620000003</v>
      </c>
      <c r="Q864">
        <v>45.12</v>
      </c>
      <c r="R864">
        <v>5.16</v>
      </c>
      <c r="S864">
        <v>96.089100000000002</v>
      </c>
      <c r="T864">
        <v>21.9588</v>
      </c>
    </row>
    <row r="865" spans="1:20" x14ac:dyDescent="0.3">
      <c r="A865" t="s">
        <v>1341</v>
      </c>
      <c r="B865" t="s">
        <v>51</v>
      </c>
      <c r="C865" t="s">
        <v>636</v>
      </c>
      <c r="D865" t="s">
        <v>53</v>
      </c>
      <c r="E865" t="s">
        <v>32</v>
      </c>
      <c r="F865" t="s">
        <v>25</v>
      </c>
      <c r="G865" t="s">
        <v>68</v>
      </c>
      <c r="H865">
        <v>51.07</v>
      </c>
      <c r="I865">
        <v>10</v>
      </c>
      <c r="J865">
        <v>25.535</v>
      </c>
      <c r="K865">
        <v>510.7</v>
      </c>
      <c r="L865" s="1">
        <v>43720</v>
      </c>
      <c r="M865" s="2">
        <v>0.48749999999999999</v>
      </c>
      <c r="N865" t="s">
        <v>33</v>
      </c>
      <c r="O865">
        <v>357.49</v>
      </c>
      <c r="P865">
        <v>4.7619047620000003</v>
      </c>
      <c r="Q865">
        <v>153.21</v>
      </c>
      <c r="R865">
        <v>8.4</v>
      </c>
      <c r="S865">
        <v>96.089100000000002</v>
      </c>
      <c r="T865">
        <v>21.9588</v>
      </c>
    </row>
    <row r="866" spans="1:20" x14ac:dyDescent="0.3">
      <c r="A866" t="s">
        <v>1342</v>
      </c>
      <c r="B866" t="s">
        <v>21</v>
      </c>
      <c r="C866" t="s">
        <v>1343</v>
      </c>
      <c r="D866" t="s">
        <v>23</v>
      </c>
      <c r="E866" t="s">
        <v>32</v>
      </c>
      <c r="F866" t="s">
        <v>25</v>
      </c>
      <c r="G866" t="s">
        <v>68</v>
      </c>
      <c r="H866">
        <v>79.59</v>
      </c>
      <c r="I866">
        <v>3</v>
      </c>
      <c r="J866">
        <v>11.938499999999999</v>
      </c>
      <c r="K866">
        <v>238.77</v>
      </c>
      <c r="L866" s="1">
        <v>43608</v>
      </c>
      <c r="M866" s="2">
        <v>0.60416666666666663</v>
      </c>
      <c r="N866" t="s">
        <v>33</v>
      </c>
      <c r="O866">
        <v>238.77</v>
      </c>
      <c r="P866">
        <v>4.7619047620000003</v>
      </c>
      <c r="Q866">
        <v>0</v>
      </c>
      <c r="R866">
        <v>6.6</v>
      </c>
      <c r="S866">
        <v>96.173500000000004</v>
      </c>
      <c r="T866">
        <v>16.840900000000001</v>
      </c>
    </row>
    <row r="867" spans="1:20" x14ac:dyDescent="0.3">
      <c r="A867" t="s">
        <v>1344</v>
      </c>
      <c r="B867" t="s">
        <v>29</v>
      </c>
      <c r="C867" t="s">
        <v>999</v>
      </c>
      <c r="D867" t="s">
        <v>31</v>
      </c>
      <c r="E867" t="s">
        <v>32</v>
      </c>
      <c r="F867" t="s">
        <v>36</v>
      </c>
      <c r="G867" t="s">
        <v>26</v>
      </c>
      <c r="H867">
        <v>33.81</v>
      </c>
      <c r="I867">
        <v>4</v>
      </c>
      <c r="J867">
        <v>6.7619999999999996</v>
      </c>
      <c r="K867">
        <v>135.24</v>
      </c>
      <c r="L867" s="1">
        <v>43614</v>
      </c>
      <c r="M867" s="2">
        <v>0.63263888888888886</v>
      </c>
      <c r="N867" t="s">
        <v>27</v>
      </c>
      <c r="O867">
        <v>101.43</v>
      </c>
      <c r="P867">
        <v>4.7619047620000003</v>
      </c>
      <c r="Q867">
        <v>33.81</v>
      </c>
      <c r="R867">
        <v>7.665</v>
      </c>
      <c r="S867">
        <v>96.078500000000005</v>
      </c>
      <c r="T867">
        <v>19.763300000000001</v>
      </c>
    </row>
    <row r="868" spans="1:20" x14ac:dyDescent="0.3">
      <c r="A868" t="s">
        <v>1345</v>
      </c>
      <c r="B868" t="s">
        <v>51</v>
      </c>
      <c r="C868" t="s">
        <v>1346</v>
      </c>
      <c r="D868" t="s">
        <v>53</v>
      </c>
      <c r="E868" t="s">
        <v>32</v>
      </c>
      <c r="F868" t="s">
        <v>36</v>
      </c>
      <c r="G868" t="s">
        <v>68</v>
      </c>
      <c r="H868">
        <v>90.53</v>
      </c>
      <c r="I868">
        <v>11</v>
      </c>
      <c r="J868">
        <v>49.791499999999999</v>
      </c>
      <c r="K868">
        <v>995.83</v>
      </c>
      <c r="L868" s="1">
        <v>43547</v>
      </c>
      <c r="M868" s="2">
        <v>0.6166666666666667</v>
      </c>
      <c r="N868" t="s">
        <v>37</v>
      </c>
      <c r="O868">
        <v>724.24</v>
      </c>
      <c r="P868">
        <v>4.7619047620000003</v>
      </c>
      <c r="Q868">
        <v>271.58999999999997</v>
      </c>
      <c r="R868">
        <v>7.8</v>
      </c>
      <c r="S868">
        <v>96.089100000000002</v>
      </c>
      <c r="T868">
        <v>21.9588</v>
      </c>
    </row>
    <row r="869" spans="1:20" x14ac:dyDescent="0.3">
      <c r="A869" t="s">
        <v>1347</v>
      </c>
      <c r="B869" t="s">
        <v>29</v>
      </c>
      <c r="C869" t="s">
        <v>1150</v>
      </c>
      <c r="D869" t="s">
        <v>31</v>
      </c>
      <c r="E869" t="s">
        <v>32</v>
      </c>
      <c r="F869" t="s">
        <v>25</v>
      </c>
      <c r="G869" t="s">
        <v>100</v>
      </c>
      <c r="H869">
        <v>62.82</v>
      </c>
      <c r="I869">
        <v>2</v>
      </c>
      <c r="J869">
        <v>6.282</v>
      </c>
      <c r="K869">
        <v>125.64</v>
      </c>
      <c r="L869" s="1">
        <v>43780</v>
      </c>
      <c r="M869" s="2">
        <v>0.52500000000000002</v>
      </c>
      <c r="N869" t="s">
        <v>27</v>
      </c>
      <c r="O869">
        <v>125.64</v>
      </c>
      <c r="P869">
        <v>4.7619047620000003</v>
      </c>
      <c r="Q869">
        <v>0</v>
      </c>
      <c r="R869">
        <v>5.1449999999999996</v>
      </c>
      <c r="S869">
        <v>96.078500000000005</v>
      </c>
      <c r="T869">
        <v>19.763300000000001</v>
      </c>
    </row>
    <row r="870" spans="1:20" x14ac:dyDescent="0.3">
      <c r="A870" t="s">
        <v>1348</v>
      </c>
      <c r="B870" t="s">
        <v>29</v>
      </c>
      <c r="C870" t="s">
        <v>1349</v>
      </c>
      <c r="D870" t="s">
        <v>31</v>
      </c>
      <c r="E870" t="s">
        <v>24</v>
      </c>
      <c r="F870" t="s">
        <v>36</v>
      </c>
      <c r="G870" t="s">
        <v>100</v>
      </c>
      <c r="H870">
        <v>24.31</v>
      </c>
      <c r="I870">
        <v>6</v>
      </c>
      <c r="J870">
        <v>7.2930000000000001</v>
      </c>
      <c r="K870">
        <v>145.86000000000001</v>
      </c>
      <c r="L870" s="1">
        <v>43734</v>
      </c>
      <c r="M870" s="2">
        <v>0.79791666666666672</v>
      </c>
      <c r="N870" t="s">
        <v>37</v>
      </c>
      <c r="O870">
        <v>72.930000000000007</v>
      </c>
      <c r="P870">
        <v>4.7619047620000003</v>
      </c>
      <c r="Q870">
        <v>72.930000000000007</v>
      </c>
      <c r="R870">
        <v>4.5149999999999997</v>
      </c>
      <c r="S870">
        <v>96.078500000000005</v>
      </c>
      <c r="T870">
        <v>19.763300000000001</v>
      </c>
    </row>
    <row r="871" spans="1:20" x14ac:dyDescent="0.3">
      <c r="A871" t="s">
        <v>1350</v>
      </c>
      <c r="B871" t="s">
        <v>21</v>
      </c>
      <c r="C871" t="s">
        <v>365</v>
      </c>
      <c r="D871" t="s">
        <v>23</v>
      </c>
      <c r="E871" t="s">
        <v>32</v>
      </c>
      <c r="F871" t="s">
        <v>36</v>
      </c>
      <c r="G871" t="s">
        <v>100</v>
      </c>
      <c r="H871">
        <v>64.59</v>
      </c>
      <c r="I871">
        <v>4</v>
      </c>
      <c r="J871">
        <v>12.917999999999999</v>
      </c>
      <c r="K871">
        <v>258.36</v>
      </c>
      <c r="L871" s="1">
        <v>43528</v>
      </c>
      <c r="M871" s="2">
        <v>0.56597222222222221</v>
      </c>
      <c r="N871" t="s">
        <v>27</v>
      </c>
      <c r="O871">
        <v>258.36</v>
      </c>
      <c r="P871">
        <v>4.7619047620000003</v>
      </c>
      <c r="Q871">
        <v>0</v>
      </c>
      <c r="R871">
        <v>9.3000000000000007</v>
      </c>
      <c r="S871">
        <v>96.173500000000004</v>
      </c>
      <c r="T871">
        <v>16.840900000000001</v>
      </c>
    </row>
    <row r="872" spans="1:20" x14ac:dyDescent="0.3">
      <c r="A872" t="s">
        <v>1351</v>
      </c>
      <c r="B872" t="s">
        <v>21</v>
      </c>
      <c r="C872" t="s">
        <v>1297</v>
      </c>
      <c r="D872" t="s">
        <v>23</v>
      </c>
      <c r="E872" t="s">
        <v>24</v>
      </c>
      <c r="F872" t="s">
        <v>36</v>
      </c>
      <c r="G872" t="s">
        <v>100</v>
      </c>
      <c r="H872">
        <v>24.82</v>
      </c>
      <c r="I872">
        <v>10</v>
      </c>
      <c r="J872">
        <v>12.41</v>
      </c>
      <c r="K872">
        <v>248.2</v>
      </c>
      <c r="L872" s="1">
        <v>43645</v>
      </c>
      <c r="M872" s="2">
        <v>0.43958333333333333</v>
      </c>
      <c r="N872" t="s">
        <v>37</v>
      </c>
      <c r="O872">
        <v>173.74</v>
      </c>
      <c r="P872">
        <v>4.7619047620000003</v>
      </c>
      <c r="Q872">
        <v>74.459999999999994</v>
      </c>
      <c r="R872">
        <v>7.1</v>
      </c>
      <c r="S872">
        <v>96.173500000000004</v>
      </c>
      <c r="T872">
        <v>16.840900000000001</v>
      </c>
    </row>
    <row r="873" spans="1:20" x14ac:dyDescent="0.3">
      <c r="A873" t="s">
        <v>1352</v>
      </c>
      <c r="B873" t="s">
        <v>29</v>
      </c>
      <c r="C873" t="s">
        <v>107</v>
      </c>
      <c r="D873" t="s">
        <v>31</v>
      </c>
      <c r="E873" t="s">
        <v>32</v>
      </c>
      <c r="F873" t="s">
        <v>36</v>
      </c>
      <c r="G873" t="s">
        <v>100</v>
      </c>
      <c r="H873">
        <v>56.5</v>
      </c>
      <c r="I873">
        <v>1</v>
      </c>
      <c r="J873">
        <v>2.8250000000000002</v>
      </c>
      <c r="K873">
        <v>56.5</v>
      </c>
      <c r="L873" s="1">
        <v>43541</v>
      </c>
      <c r="M873" s="2">
        <v>0.65625</v>
      </c>
      <c r="N873" t="s">
        <v>27</v>
      </c>
      <c r="O873">
        <v>56.5</v>
      </c>
      <c r="P873">
        <v>4.7619047620000003</v>
      </c>
      <c r="Q873">
        <v>0</v>
      </c>
      <c r="R873">
        <v>10</v>
      </c>
      <c r="S873">
        <v>96.078500000000005</v>
      </c>
      <c r="T873">
        <v>19.763300000000001</v>
      </c>
    </row>
    <row r="874" spans="1:20" x14ac:dyDescent="0.3">
      <c r="A874" t="s">
        <v>1353</v>
      </c>
      <c r="B874" t="s">
        <v>51</v>
      </c>
      <c r="C874" t="s">
        <v>575</v>
      </c>
      <c r="D874" t="s">
        <v>53</v>
      </c>
      <c r="E874" t="s">
        <v>24</v>
      </c>
      <c r="F874" t="s">
        <v>25</v>
      </c>
      <c r="G874" t="s">
        <v>60</v>
      </c>
      <c r="H874">
        <v>21.43</v>
      </c>
      <c r="I874">
        <v>20</v>
      </c>
      <c r="J874">
        <v>21.43</v>
      </c>
      <c r="K874">
        <v>428.6</v>
      </c>
      <c r="L874" s="1">
        <v>43561</v>
      </c>
      <c r="M874" s="2">
        <v>0.49375000000000002</v>
      </c>
      <c r="N874" t="s">
        <v>33</v>
      </c>
      <c r="O874">
        <v>214.3</v>
      </c>
      <c r="P874">
        <v>4.7619047620000003</v>
      </c>
      <c r="Q874">
        <v>214.3</v>
      </c>
      <c r="R874">
        <v>7.44</v>
      </c>
      <c r="S874">
        <v>96.089100000000002</v>
      </c>
      <c r="T874">
        <v>21.9588</v>
      </c>
    </row>
    <row r="875" spans="1:20" x14ac:dyDescent="0.3">
      <c r="A875" t="s">
        <v>1354</v>
      </c>
      <c r="B875" t="s">
        <v>21</v>
      </c>
      <c r="C875" t="s">
        <v>1355</v>
      </c>
      <c r="D875" t="s">
        <v>23</v>
      </c>
      <c r="E875" t="s">
        <v>24</v>
      </c>
      <c r="F875" t="s">
        <v>36</v>
      </c>
      <c r="G875" t="s">
        <v>68</v>
      </c>
      <c r="H875">
        <v>89.06</v>
      </c>
      <c r="I875">
        <v>8</v>
      </c>
      <c r="J875">
        <v>35.624000000000002</v>
      </c>
      <c r="K875">
        <v>712.48</v>
      </c>
      <c r="L875" s="1">
        <v>43630</v>
      </c>
      <c r="M875" s="2">
        <v>0.72638888888888886</v>
      </c>
      <c r="N875" t="s">
        <v>33</v>
      </c>
      <c r="O875">
        <v>534.36</v>
      </c>
      <c r="P875">
        <v>4.7619047620000003</v>
      </c>
      <c r="Q875">
        <v>178.12</v>
      </c>
      <c r="R875">
        <v>9.9</v>
      </c>
      <c r="S875">
        <v>96.173500000000004</v>
      </c>
      <c r="T875">
        <v>16.840900000000001</v>
      </c>
    </row>
    <row r="876" spans="1:20" x14ac:dyDescent="0.3">
      <c r="A876" t="s">
        <v>1356</v>
      </c>
      <c r="B876" t="s">
        <v>21</v>
      </c>
      <c r="C876" t="s">
        <v>1172</v>
      </c>
      <c r="D876" t="s">
        <v>23</v>
      </c>
      <c r="E876" t="s">
        <v>24</v>
      </c>
      <c r="F876" t="s">
        <v>36</v>
      </c>
      <c r="G876" t="s">
        <v>77</v>
      </c>
      <c r="H876">
        <v>23.29</v>
      </c>
      <c r="I876">
        <v>6</v>
      </c>
      <c r="J876">
        <v>6.9870000000000001</v>
      </c>
      <c r="K876">
        <v>139.74</v>
      </c>
      <c r="L876" s="1">
        <v>43504</v>
      </c>
      <c r="M876" s="2">
        <v>0.49444444444444446</v>
      </c>
      <c r="N876" t="s">
        <v>37</v>
      </c>
      <c r="O876">
        <v>93.16</v>
      </c>
      <c r="P876">
        <v>4.7619047620000003</v>
      </c>
      <c r="Q876">
        <v>46.58</v>
      </c>
      <c r="R876">
        <v>5.9</v>
      </c>
      <c r="S876">
        <v>96.173500000000004</v>
      </c>
      <c r="T876">
        <v>16.840900000000001</v>
      </c>
    </row>
    <row r="877" spans="1:20" x14ac:dyDescent="0.3">
      <c r="A877" t="s">
        <v>1357</v>
      </c>
      <c r="B877" t="s">
        <v>29</v>
      </c>
      <c r="C877" t="s">
        <v>862</v>
      </c>
      <c r="D877" t="s">
        <v>31</v>
      </c>
      <c r="E877" t="s">
        <v>32</v>
      </c>
      <c r="F877" t="s">
        <v>36</v>
      </c>
      <c r="G877" t="s">
        <v>77</v>
      </c>
      <c r="H877">
        <v>65.260000000000005</v>
      </c>
      <c r="I877">
        <v>10</v>
      </c>
      <c r="J877">
        <v>32.630000000000003</v>
      </c>
      <c r="K877">
        <v>652.6</v>
      </c>
      <c r="L877" s="1">
        <v>43521</v>
      </c>
      <c r="M877" s="2">
        <v>0.58611111111111114</v>
      </c>
      <c r="N877" t="s">
        <v>27</v>
      </c>
      <c r="O877">
        <v>522.08000000000004</v>
      </c>
      <c r="P877">
        <v>4.7619047620000003</v>
      </c>
      <c r="Q877">
        <v>130.52000000000001</v>
      </c>
      <c r="R877">
        <v>6.6150000000000002</v>
      </c>
      <c r="S877">
        <v>96.078500000000005</v>
      </c>
      <c r="T877">
        <v>19.763300000000001</v>
      </c>
    </row>
    <row r="878" spans="1:20" x14ac:dyDescent="0.3">
      <c r="A878" t="s">
        <v>1358</v>
      </c>
      <c r="B878" t="s">
        <v>29</v>
      </c>
      <c r="C878" t="s">
        <v>217</v>
      </c>
      <c r="D878" t="s">
        <v>31</v>
      </c>
      <c r="E878" t="s">
        <v>32</v>
      </c>
      <c r="F878" t="s">
        <v>36</v>
      </c>
      <c r="G878" t="s">
        <v>100</v>
      </c>
      <c r="H878">
        <v>52.35</v>
      </c>
      <c r="I878">
        <v>1</v>
      </c>
      <c r="J878">
        <v>2.6175000000000002</v>
      </c>
      <c r="K878">
        <v>52.35</v>
      </c>
      <c r="L878" s="1">
        <v>43533</v>
      </c>
      <c r="M878" s="2">
        <v>0.74236111111111114</v>
      </c>
      <c r="N878" t="s">
        <v>33</v>
      </c>
      <c r="O878">
        <v>52.35</v>
      </c>
      <c r="P878">
        <v>4.7619047620000003</v>
      </c>
      <c r="Q878">
        <v>0</v>
      </c>
      <c r="R878">
        <v>4.2</v>
      </c>
      <c r="S878">
        <v>96.078500000000005</v>
      </c>
      <c r="T878">
        <v>19.763300000000001</v>
      </c>
    </row>
    <row r="879" spans="1:20" x14ac:dyDescent="0.3">
      <c r="A879" t="s">
        <v>1359</v>
      </c>
      <c r="B879" t="s">
        <v>51</v>
      </c>
      <c r="C879" t="s">
        <v>361</v>
      </c>
      <c r="D879" t="s">
        <v>53</v>
      </c>
      <c r="E879" t="s">
        <v>32</v>
      </c>
      <c r="F879" t="s">
        <v>36</v>
      </c>
      <c r="G879" t="s">
        <v>60</v>
      </c>
      <c r="H879">
        <v>39.75</v>
      </c>
      <c r="I879">
        <v>1</v>
      </c>
      <c r="J879">
        <v>1.9875</v>
      </c>
      <c r="K879">
        <v>39.75</v>
      </c>
      <c r="L879" s="1">
        <v>43495</v>
      </c>
      <c r="M879" s="2">
        <v>0.84652777777777777</v>
      </c>
      <c r="N879" t="s">
        <v>33</v>
      </c>
      <c r="O879">
        <v>39.75</v>
      </c>
      <c r="P879">
        <v>4.7619047620000003</v>
      </c>
      <c r="Q879">
        <v>0</v>
      </c>
      <c r="R879">
        <v>7.32</v>
      </c>
      <c r="S879">
        <v>96.089100000000002</v>
      </c>
      <c r="T879">
        <v>21.9588</v>
      </c>
    </row>
    <row r="880" spans="1:20" x14ac:dyDescent="0.3">
      <c r="A880" t="s">
        <v>1360</v>
      </c>
      <c r="B880" t="s">
        <v>21</v>
      </c>
      <c r="C880" t="s">
        <v>1361</v>
      </c>
      <c r="D880" t="s">
        <v>23</v>
      </c>
      <c r="E880" t="s">
        <v>32</v>
      </c>
      <c r="F880" t="s">
        <v>25</v>
      </c>
      <c r="G880" t="s">
        <v>60</v>
      </c>
      <c r="H880">
        <v>90.02</v>
      </c>
      <c r="I880">
        <v>8</v>
      </c>
      <c r="J880">
        <v>36.008000000000003</v>
      </c>
      <c r="K880">
        <v>720.16</v>
      </c>
      <c r="L880" s="1">
        <v>43726</v>
      </c>
      <c r="M880" s="2">
        <v>0.67222222222222228</v>
      </c>
      <c r="N880" t="s">
        <v>37</v>
      </c>
      <c r="O880">
        <v>720.16</v>
      </c>
      <c r="P880">
        <v>4.7619047620000003</v>
      </c>
      <c r="Q880">
        <v>0</v>
      </c>
      <c r="R880">
        <v>4.5</v>
      </c>
      <c r="S880">
        <v>96.173500000000004</v>
      </c>
      <c r="T880">
        <v>16.840900000000001</v>
      </c>
    </row>
    <row r="881" spans="1:20" x14ac:dyDescent="0.3">
      <c r="A881" t="s">
        <v>1362</v>
      </c>
      <c r="B881" t="s">
        <v>51</v>
      </c>
      <c r="C881" t="s">
        <v>859</v>
      </c>
      <c r="D881" t="s">
        <v>53</v>
      </c>
      <c r="E881" t="s">
        <v>32</v>
      </c>
      <c r="F881" t="s">
        <v>25</v>
      </c>
      <c r="G881" t="s">
        <v>60</v>
      </c>
      <c r="H881">
        <v>12.1</v>
      </c>
      <c r="I881">
        <v>11</v>
      </c>
      <c r="J881">
        <v>6.6550000000000002</v>
      </c>
      <c r="K881">
        <v>133.1</v>
      </c>
      <c r="L881" s="1">
        <v>43671</v>
      </c>
      <c r="M881" s="2">
        <v>0.4284722222222222</v>
      </c>
      <c r="N881" t="s">
        <v>27</v>
      </c>
      <c r="O881">
        <v>96.8</v>
      </c>
      <c r="P881">
        <v>4.7619047620000003</v>
      </c>
      <c r="Q881">
        <v>36.299999999999997</v>
      </c>
      <c r="R881">
        <v>10</v>
      </c>
      <c r="S881">
        <v>96.089100000000002</v>
      </c>
      <c r="T881">
        <v>21.9588</v>
      </c>
    </row>
    <row r="882" spans="1:20" x14ac:dyDescent="0.3">
      <c r="A882" t="s">
        <v>1363</v>
      </c>
      <c r="B882" t="s">
        <v>51</v>
      </c>
      <c r="C882" t="s">
        <v>52</v>
      </c>
      <c r="D882" t="s">
        <v>53</v>
      </c>
      <c r="E882" t="s">
        <v>32</v>
      </c>
      <c r="F882" t="s">
        <v>25</v>
      </c>
      <c r="G882" t="s">
        <v>63</v>
      </c>
      <c r="H882">
        <v>33.21</v>
      </c>
      <c r="I882">
        <v>14</v>
      </c>
      <c r="J882">
        <v>23.247</v>
      </c>
      <c r="K882">
        <v>464.94</v>
      </c>
      <c r="L882" s="1">
        <v>43815</v>
      </c>
      <c r="M882" s="2">
        <v>0.60069444444444442</v>
      </c>
      <c r="N882" t="s">
        <v>27</v>
      </c>
      <c r="O882">
        <v>332.1</v>
      </c>
      <c r="P882">
        <v>4.7619047620000003</v>
      </c>
      <c r="Q882">
        <v>132.84</v>
      </c>
      <c r="R882">
        <v>7.2</v>
      </c>
      <c r="S882">
        <v>96.089100000000002</v>
      </c>
      <c r="T882">
        <v>21.9588</v>
      </c>
    </row>
    <row r="883" spans="1:20" x14ac:dyDescent="0.3">
      <c r="A883" t="s">
        <v>1364</v>
      </c>
      <c r="B883" t="s">
        <v>29</v>
      </c>
      <c r="C883" t="s">
        <v>183</v>
      </c>
      <c r="D883" t="s">
        <v>31</v>
      </c>
      <c r="E883" t="s">
        <v>32</v>
      </c>
      <c r="F883" t="s">
        <v>25</v>
      </c>
      <c r="G883" t="s">
        <v>100</v>
      </c>
      <c r="H883">
        <v>10.18</v>
      </c>
      <c r="I883">
        <v>10</v>
      </c>
      <c r="J883">
        <v>5.09</v>
      </c>
      <c r="K883">
        <v>101.8</v>
      </c>
      <c r="L883" s="1">
        <v>43709</v>
      </c>
      <c r="M883" s="2">
        <v>0.53541666666666665</v>
      </c>
      <c r="N883" t="s">
        <v>37</v>
      </c>
      <c r="O883">
        <v>81.44</v>
      </c>
      <c r="P883">
        <v>4.7619047620000003</v>
      </c>
      <c r="Q883">
        <v>20.36</v>
      </c>
      <c r="R883">
        <v>9.9749999999999996</v>
      </c>
      <c r="S883">
        <v>96.078500000000005</v>
      </c>
      <c r="T883">
        <v>19.763300000000001</v>
      </c>
    </row>
    <row r="884" spans="1:20" x14ac:dyDescent="0.3">
      <c r="A884" t="s">
        <v>1365</v>
      </c>
      <c r="B884" t="s">
        <v>51</v>
      </c>
      <c r="C884" t="s">
        <v>791</v>
      </c>
      <c r="D884" t="s">
        <v>53</v>
      </c>
      <c r="E884" t="s">
        <v>32</v>
      </c>
      <c r="F884" t="s">
        <v>36</v>
      </c>
      <c r="G884" t="s">
        <v>68</v>
      </c>
      <c r="H884">
        <v>31.99</v>
      </c>
      <c r="I884">
        <v>14</v>
      </c>
      <c r="J884">
        <v>22.393000000000001</v>
      </c>
      <c r="K884">
        <v>447.86</v>
      </c>
      <c r="L884" s="1">
        <v>43665</v>
      </c>
      <c r="M884" s="2">
        <v>0.63749999999999996</v>
      </c>
      <c r="N884" t="s">
        <v>37</v>
      </c>
      <c r="O884">
        <v>319.89999999999998</v>
      </c>
      <c r="P884">
        <v>4.7619047620000003</v>
      </c>
      <c r="Q884">
        <v>127.96</v>
      </c>
      <c r="R884">
        <v>10</v>
      </c>
      <c r="S884">
        <v>96.089100000000002</v>
      </c>
      <c r="T884">
        <v>21.9588</v>
      </c>
    </row>
    <row r="885" spans="1:20" x14ac:dyDescent="0.3">
      <c r="A885" t="s">
        <v>1366</v>
      </c>
      <c r="B885" t="s">
        <v>21</v>
      </c>
      <c r="C885" t="s">
        <v>1367</v>
      </c>
      <c r="D885" t="s">
        <v>23</v>
      </c>
      <c r="E885" t="s">
        <v>32</v>
      </c>
      <c r="F885" t="s">
        <v>25</v>
      </c>
      <c r="G885" t="s">
        <v>77</v>
      </c>
      <c r="H885">
        <v>34.42</v>
      </c>
      <c r="I885">
        <v>6</v>
      </c>
      <c r="J885">
        <v>10.326000000000001</v>
      </c>
      <c r="K885">
        <v>206.52</v>
      </c>
      <c r="L885" s="1">
        <v>43790</v>
      </c>
      <c r="M885" s="2">
        <v>0.53125</v>
      </c>
      <c r="N885" t="s">
        <v>27</v>
      </c>
      <c r="O885">
        <v>206.52</v>
      </c>
      <c r="P885">
        <v>4.7619047620000003</v>
      </c>
      <c r="Q885">
        <v>0</v>
      </c>
      <c r="R885">
        <v>7.5</v>
      </c>
      <c r="S885">
        <v>96.173500000000004</v>
      </c>
      <c r="T885">
        <v>16.840900000000001</v>
      </c>
    </row>
    <row r="886" spans="1:20" x14ac:dyDescent="0.3">
      <c r="A886" t="s">
        <v>1368</v>
      </c>
      <c r="B886" t="s">
        <v>21</v>
      </c>
      <c r="C886" t="s">
        <v>1369</v>
      </c>
      <c r="D886" t="s">
        <v>23</v>
      </c>
      <c r="E886" t="s">
        <v>32</v>
      </c>
      <c r="F886" t="s">
        <v>25</v>
      </c>
      <c r="G886" t="s">
        <v>63</v>
      </c>
      <c r="H886">
        <v>83.34</v>
      </c>
      <c r="I886">
        <v>2</v>
      </c>
      <c r="J886">
        <v>8.3339999999999996</v>
      </c>
      <c r="K886">
        <v>166.68</v>
      </c>
      <c r="L886" s="1">
        <v>43708</v>
      </c>
      <c r="M886" s="2">
        <v>0.56736111111111109</v>
      </c>
      <c r="N886" t="s">
        <v>33</v>
      </c>
      <c r="O886">
        <v>166.68</v>
      </c>
      <c r="P886">
        <v>4.7619047620000003</v>
      </c>
      <c r="Q886">
        <v>0</v>
      </c>
      <c r="R886">
        <v>7.6</v>
      </c>
      <c r="S886">
        <v>96.173500000000004</v>
      </c>
      <c r="T886">
        <v>16.840900000000001</v>
      </c>
    </row>
    <row r="887" spans="1:20" x14ac:dyDescent="0.3">
      <c r="A887" t="s">
        <v>1370</v>
      </c>
      <c r="B887" t="s">
        <v>21</v>
      </c>
      <c r="C887" t="s">
        <v>1328</v>
      </c>
      <c r="D887" t="s">
        <v>23</v>
      </c>
      <c r="E887" t="s">
        <v>32</v>
      </c>
      <c r="F887" t="s">
        <v>36</v>
      </c>
      <c r="G887" t="s">
        <v>68</v>
      </c>
      <c r="H887">
        <v>45.58</v>
      </c>
      <c r="I887">
        <v>7</v>
      </c>
      <c r="J887">
        <v>15.952999999999999</v>
      </c>
      <c r="K887">
        <v>319.06</v>
      </c>
      <c r="L887" s="1">
        <v>43736</v>
      </c>
      <c r="M887" s="2">
        <v>0.41875000000000001</v>
      </c>
      <c r="N887" t="s">
        <v>33</v>
      </c>
      <c r="O887">
        <v>319.06</v>
      </c>
      <c r="P887">
        <v>4.7619047620000003</v>
      </c>
      <c r="Q887">
        <v>0</v>
      </c>
      <c r="R887">
        <v>5</v>
      </c>
      <c r="S887">
        <v>96.173500000000004</v>
      </c>
      <c r="T887">
        <v>16.840900000000001</v>
      </c>
    </row>
    <row r="888" spans="1:20" x14ac:dyDescent="0.3">
      <c r="A888" t="s">
        <v>1371</v>
      </c>
      <c r="B888" t="s">
        <v>21</v>
      </c>
      <c r="C888" t="s">
        <v>179</v>
      </c>
      <c r="D888" t="s">
        <v>23</v>
      </c>
      <c r="E888" t="s">
        <v>32</v>
      </c>
      <c r="F888" t="s">
        <v>36</v>
      </c>
      <c r="G888" t="s">
        <v>63</v>
      </c>
      <c r="H888">
        <v>87.9</v>
      </c>
      <c r="I888">
        <v>1</v>
      </c>
      <c r="J888">
        <v>4.3949999999999996</v>
      </c>
      <c r="K888">
        <v>87.9</v>
      </c>
      <c r="L888" s="1">
        <v>43580</v>
      </c>
      <c r="M888" s="2">
        <v>0.8208333333333333</v>
      </c>
      <c r="N888" t="s">
        <v>27</v>
      </c>
      <c r="O888">
        <v>87.9</v>
      </c>
      <c r="P888">
        <v>4.7619047620000003</v>
      </c>
      <c r="Q888">
        <v>0</v>
      </c>
      <c r="R888">
        <v>6.7</v>
      </c>
      <c r="S888">
        <v>96.173500000000004</v>
      </c>
      <c r="T888">
        <v>16.840900000000001</v>
      </c>
    </row>
    <row r="889" spans="1:20" x14ac:dyDescent="0.3">
      <c r="A889" t="s">
        <v>1372</v>
      </c>
      <c r="B889" t="s">
        <v>21</v>
      </c>
      <c r="C889" t="s">
        <v>1373</v>
      </c>
      <c r="D889" t="s">
        <v>23</v>
      </c>
      <c r="E889" t="s">
        <v>32</v>
      </c>
      <c r="F889" t="s">
        <v>25</v>
      </c>
      <c r="G889" t="s">
        <v>60</v>
      </c>
      <c r="H889">
        <v>73.47</v>
      </c>
      <c r="I889">
        <v>10</v>
      </c>
      <c r="J889">
        <v>36.734999999999999</v>
      </c>
      <c r="K889">
        <v>734.7</v>
      </c>
      <c r="L889" s="1">
        <v>43511</v>
      </c>
      <c r="M889" s="2">
        <v>0.55138888888888893</v>
      </c>
      <c r="N889" t="s">
        <v>27</v>
      </c>
      <c r="O889">
        <v>734.7</v>
      </c>
      <c r="P889">
        <v>4.7619047620000003</v>
      </c>
      <c r="Q889">
        <v>0</v>
      </c>
      <c r="R889">
        <v>9.5</v>
      </c>
      <c r="S889">
        <v>96.173500000000004</v>
      </c>
      <c r="T889">
        <v>16.840900000000001</v>
      </c>
    </row>
    <row r="890" spans="1:20" x14ac:dyDescent="0.3">
      <c r="A890" t="s">
        <v>1374</v>
      </c>
      <c r="B890" t="s">
        <v>29</v>
      </c>
      <c r="C890" t="s">
        <v>367</v>
      </c>
      <c r="D890" t="s">
        <v>31</v>
      </c>
      <c r="E890" t="s">
        <v>32</v>
      </c>
      <c r="F890" t="s">
        <v>25</v>
      </c>
      <c r="G890" t="s">
        <v>100</v>
      </c>
      <c r="H890">
        <v>12.19</v>
      </c>
      <c r="I890">
        <v>10</v>
      </c>
      <c r="J890">
        <v>6.0949999999999998</v>
      </c>
      <c r="K890">
        <v>121.9</v>
      </c>
      <c r="L890" s="1">
        <v>43722</v>
      </c>
      <c r="M890" s="2">
        <v>0.53263888888888888</v>
      </c>
      <c r="N890" t="s">
        <v>27</v>
      </c>
      <c r="O890">
        <v>97.52</v>
      </c>
      <c r="P890">
        <v>4.7619047620000003</v>
      </c>
      <c r="Q890">
        <v>24.38</v>
      </c>
      <c r="R890">
        <v>7.14</v>
      </c>
      <c r="S890">
        <v>96.078500000000005</v>
      </c>
      <c r="T890">
        <v>19.763300000000001</v>
      </c>
    </row>
    <row r="891" spans="1:20" x14ac:dyDescent="0.3">
      <c r="A891" t="s">
        <v>1375</v>
      </c>
      <c r="B891" t="s">
        <v>21</v>
      </c>
      <c r="C891" t="s">
        <v>606</v>
      </c>
      <c r="D891" t="s">
        <v>23</v>
      </c>
      <c r="E891" t="s">
        <v>32</v>
      </c>
      <c r="F891" t="s">
        <v>36</v>
      </c>
      <c r="G891" t="s">
        <v>68</v>
      </c>
      <c r="H891">
        <v>76.92</v>
      </c>
      <c r="I891">
        <v>10</v>
      </c>
      <c r="J891">
        <v>38.46</v>
      </c>
      <c r="K891">
        <v>769.2</v>
      </c>
      <c r="L891" s="1">
        <v>43819</v>
      </c>
      <c r="M891" s="2">
        <v>0.82847222222222228</v>
      </c>
      <c r="N891" t="s">
        <v>27</v>
      </c>
      <c r="O891">
        <v>769.2</v>
      </c>
      <c r="P891">
        <v>4.7619047620000003</v>
      </c>
      <c r="Q891">
        <v>0</v>
      </c>
      <c r="R891">
        <v>5.6</v>
      </c>
      <c r="S891">
        <v>96.173500000000004</v>
      </c>
      <c r="T891">
        <v>16.840900000000001</v>
      </c>
    </row>
    <row r="892" spans="1:20" x14ac:dyDescent="0.3">
      <c r="A892" t="s">
        <v>1376</v>
      </c>
      <c r="B892" t="s">
        <v>29</v>
      </c>
      <c r="C892" t="s">
        <v>1377</v>
      </c>
      <c r="D892" t="s">
        <v>31</v>
      </c>
      <c r="E892" t="s">
        <v>32</v>
      </c>
      <c r="F892" t="s">
        <v>25</v>
      </c>
      <c r="G892" t="s">
        <v>26</v>
      </c>
      <c r="H892">
        <v>83.66</v>
      </c>
      <c r="I892">
        <v>6</v>
      </c>
      <c r="J892">
        <v>25.097999999999999</v>
      </c>
      <c r="K892">
        <v>501.96</v>
      </c>
      <c r="L892" s="1">
        <v>43724</v>
      </c>
      <c r="M892" s="2">
        <v>0.43472222222222223</v>
      </c>
      <c r="N892" t="s">
        <v>33</v>
      </c>
      <c r="O892">
        <v>418.3</v>
      </c>
      <c r="P892">
        <v>4.7619047620000003</v>
      </c>
      <c r="Q892">
        <v>83.66</v>
      </c>
      <c r="R892">
        <v>7.56</v>
      </c>
      <c r="S892">
        <v>96.078500000000005</v>
      </c>
      <c r="T892">
        <v>19.763300000000001</v>
      </c>
    </row>
    <row r="893" spans="1:20" x14ac:dyDescent="0.3">
      <c r="A893" t="s">
        <v>1378</v>
      </c>
      <c r="B893" t="s">
        <v>51</v>
      </c>
      <c r="C893" t="s">
        <v>656</v>
      </c>
      <c r="D893" t="s">
        <v>53</v>
      </c>
      <c r="E893" t="s">
        <v>32</v>
      </c>
      <c r="F893" t="s">
        <v>25</v>
      </c>
      <c r="G893" t="s">
        <v>68</v>
      </c>
      <c r="H893">
        <v>57.91</v>
      </c>
      <c r="I893">
        <v>11</v>
      </c>
      <c r="J893">
        <v>31.8505</v>
      </c>
      <c r="K893">
        <v>637.01</v>
      </c>
      <c r="L893" s="1">
        <v>43657</v>
      </c>
      <c r="M893" s="2">
        <v>0.62916666666666665</v>
      </c>
      <c r="N893" t="s">
        <v>33</v>
      </c>
      <c r="O893">
        <v>463.28</v>
      </c>
      <c r="P893">
        <v>4.7619047620000003</v>
      </c>
      <c r="Q893">
        <v>173.73</v>
      </c>
      <c r="R893">
        <v>9.7200000000000006</v>
      </c>
      <c r="S893">
        <v>96.089100000000002</v>
      </c>
      <c r="T893">
        <v>21.9588</v>
      </c>
    </row>
    <row r="894" spans="1:20" x14ac:dyDescent="0.3">
      <c r="A894" t="s">
        <v>1379</v>
      </c>
      <c r="B894" t="s">
        <v>29</v>
      </c>
      <c r="C894" t="s">
        <v>278</v>
      </c>
      <c r="D894" t="s">
        <v>31</v>
      </c>
      <c r="E894" t="s">
        <v>32</v>
      </c>
      <c r="F894" t="s">
        <v>25</v>
      </c>
      <c r="G894" t="s">
        <v>68</v>
      </c>
      <c r="H894">
        <v>92.49</v>
      </c>
      <c r="I894">
        <v>6</v>
      </c>
      <c r="J894">
        <v>27.747</v>
      </c>
      <c r="K894">
        <v>554.94000000000005</v>
      </c>
      <c r="L894" s="1">
        <v>43584</v>
      </c>
      <c r="M894" s="2">
        <v>0.69097222222222221</v>
      </c>
      <c r="N894" t="s">
        <v>37</v>
      </c>
      <c r="O894">
        <v>462.45</v>
      </c>
      <c r="P894">
        <v>4.7619047620000003</v>
      </c>
      <c r="Q894">
        <v>92.49</v>
      </c>
      <c r="R894">
        <v>9.0299999999999994</v>
      </c>
      <c r="S894">
        <v>96.078500000000005</v>
      </c>
      <c r="T894">
        <v>19.763300000000001</v>
      </c>
    </row>
    <row r="895" spans="1:20" x14ac:dyDescent="0.3">
      <c r="A895" t="s">
        <v>1380</v>
      </c>
      <c r="B895" t="s">
        <v>51</v>
      </c>
      <c r="C895" t="s">
        <v>328</v>
      </c>
      <c r="D895" t="s">
        <v>53</v>
      </c>
      <c r="E895" t="s">
        <v>32</v>
      </c>
      <c r="F895" t="s">
        <v>36</v>
      </c>
      <c r="G895" t="s">
        <v>68</v>
      </c>
      <c r="H895">
        <v>28.38</v>
      </c>
      <c r="I895">
        <v>7</v>
      </c>
      <c r="J895">
        <v>9.9329999999999998</v>
      </c>
      <c r="K895">
        <v>198.66</v>
      </c>
      <c r="L895" s="1">
        <v>43762</v>
      </c>
      <c r="M895" s="2">
        <v>0.87291666666666667</v>
      </c>
      <c r="N895" t="s">
        <v>33</v>
      </c>
      <c r="O895">
        <v>141.9</v>
      </c>
      <c r="P895">
        <v>4.7619047620000003</v>
      </c>
      <c r="Q895">
        <v>56.76</v>
      </c>
      <c r="R895">
        <v>10</v>
      </c>
      <c r="S895">
        <v>96.089100000000002</v>
      </c>
      <c r="T895">
        <v>21.9588</v>
      </c>
    </row>
    <row r="896" spans="1:20" x14ac:dyDescent="0.3">
      <c r="A896" t="s">
        <v>1381</v>
      </c>
      <c r="B896" t="s">
        <v>51</v>
      </c>
      <c r="C896" t="s">
        <v>95</v>
      </c>
      <c r="D896" t="s">
        <v>53</v>
      </c>
      <c r="E896" t="s">
        <v>32</v>
      </c>
      <c r="F896" t="s">
        <v>36</v>
      </c>
      <c r="G896" t="s">
        <v>68</v>
      </c>
      <c r="H896">
        <v>50.45</v>
      </c>
      <c r="I896">
        <v>8</v>
      </c>
      <c r="J896">
        <v>20.18</v>
      </c>
      <c r="K896">
        <v>403.6</v>
      </c>
      <c r="L896" s="1">
        <v>43546</v>
      </c>
      <c r="M896" s="2">
        <v>0.63611111111111107</v>
      </c>
      <c r="N896" t="s">
        <v>37</v>
      </c>
      <c r="O896">
        <v>302.7</v>
      </c>
      <c r="P896">
        <v>4.7619047620000003</v>
      </c>
      <c r="Q896">
        <v>100.9</v>
      </c>
      <c r="R896">
        <v>10</v>
      </c>
      <c r="S896">
        <v>96.089100000000002</v>
      </c>
      <c r="T896">
        <v>21.9588</v>
      </c>
    </row>
    <row r="897" spans="1:20" x14ac:dyDescent="0.3">
      <c r="A897" t="s">
        <v>1382</v>
      </c>
      <c r="B897" t="s">
        <v>51</v>
      </c>
      <c r="C897" t="s">
        <v>333</v>
      </c>
      <c r="D897" t="s">
        <v>53</v>
      </c>
      <c r="E897" t="s">
        <v>32</v>
      </c>
      <c r="F897" t="s">
        <v>36</v>
      </c>
      <c r="G897" t="s">
        <v>68</v>
      </c>
      <c r="H897">
        <v>99.16</v>
      </c>
      <c r="I897">
        <v>11</v>
      </c>
      <c r="J897">
        <v>54.537999999999997</v>
      </c>
      <c r="K897">
        <v>1090.76</v>
      </c>
      <c r="L897" s="1">
        <v>43745</v>
      </c>
      <c r="M897" s="2">
        <v>0.74097222222222225</v>
      </c>
      <c r="N897" t="s">
        <v>37</v>
      </c>
      <c r="O897">
        <v>793.28</v>
      </c>
      <c r="P897">
        <v>4.7619047620000003</v>
      </c>
      <c r="Q897">
        <v>297.48</v>
      </c>
      <c r="R897">
        <v>5.04</v>
      </c>
      <c r="S897">
        <v>96.089100000000002</v>
      </c>
      <c r="T897">
        <v>21.9588</v>
      </c>
    </row>
    <row r="898" spans="1:20" x14ac:dyDescent="0.3">
      <c r="A898" t="s">
        <v>1383</v>
      </c>
      <c r="B898" t="s">
        <v>29</v>
      </c>
      <c r="C898" t="s">
        <v>685</v>
      </c>
      <c r="D898" t="s">
        <v>31</v>
      </c>
      <c r="E898" t="s">
        <v>32</v>
      </c>
      <c r="F898" t="s">
        <v>36</v>
      </c>
      <c r="G898" t="s">
        <v>68</v>
      </c>
      <c r="H898">
        <v>60.74</v>
      </c>
      <c r="I898">
        <v>8</v>
      </c>
      <c r="J898">
        <v>24.295999999999999</v>
      </c>
      <c r="K898">
        <v>485.92</v>
      </c>
      <c r="L898" s="1">
        <v>43761</v>
      </c>
      <c r="M898" s="2">
        <v>0.68263888888888891</v>
      </c>
      <c r="N898" t="s">
        <v>27</v>
      </c>
      <c r="O898">
        <v>425.18</v>
      </c>
      <c r="P898">
        <v>4.7619047620000003</v>
      </c>
      <c r="Q898">
        <v>60.74</v>
      </c>
      <c r="R898">
        <v>5.25</v>
      </c>
      <c r="S898">
        <v>96.078500000000005</v>
      </c>
      <c r="T898">
        <v>19.763300000000001</v>
      </c>
    </row>
    <row r="899" spans="1:20" x14ac:dyDescent="0.3">
      <c r="A899" t="s">
        <v>1384</v>
      </c>
      <c r="B899" t="s">
        <v>29</v>
      </c>
      <c r="C899" t="s">
        <v>509</v>
      </c>
      <c r="D899" t="s">
        <v>31</v>
      </c>
      <c r="E899" t="s">
        <v>32</v>
      </c>
      <c r="F899" t="s">
        <v>25</v>
      </c>
      <c r="G899" t="s">
        <v>68</v>
      </c>
      <c r="H899">
        <v>47.27</v>
      </c>
      <c r="I899">
        <v>7</v>
      </c>
      <c r="J899">
        <v>16.544499999999999</v>
      </c>
      <c r="K899">
        <v>330.89</v>
      </c>
      <c r="L899" s="1">
        <v>43468</v>
      </c>
      <c r="M899" s="2">
        <v>0.4284722222222222</v>
      </c>
      <c r="N899" t="s">
        <v>33</v>
      </c>
      <c r="O899">
        <v>283.62</v>
      </c>
      <c r="P899">
        <v>4.7619047620000003</v>
      </c>
      <c r="Q899">
        <v>47.27</v>
      </c>
      <c r="R899">
        <v>9.24</v>
      </c>
      <c r="S899">
        <v>96.078500000000005</v>
      </c>
      <c r="T899">
        <v>19.763300000000001</v>
      </c>
    </row>
    <row r="900" spans="1:20" x14ac:dyDescent="0.3">
      <c r="A900" t="s">
        <v>1385</v>
      </c>
      <c r="B900" t="s">
        <v>29</v>
      </c>
      <c r="C900" t="s">
        <v>347</v>
      </c>
      <c r="D900" t="s">
        <v>31</v>
      </c>
      <c r="E900" t="s">
        <v>32</v>
      </c>
      <c r="F900" t="s">
        <v>36</v>
      </c>
      <c r="G900" t="s">
        <v>68</v>
      </c>
      <c r="H900">
        <v>85.6</v>
      </c>
      <c r="I900">
        <v>8</v>
      </c>
      <c r="J900">
        <v>34.24</v>
      </c>
      <c r="K900">
        <v>684.8</v>
      </c>
      <c r="L900" s="1">
        <v>43679</v>
      </c>
      <c r="M900" s="2">
        <v>0.57638888888888884</v>
      </c>
      <c r="N900" t="s">
        <v>33</v>
      </c>
      <c r="O900">
        <v>599.20000000000005</v>
      </c>
      <c r="P900">
        <v>4.7619047620000003</v>
      </c>
      <c r="Q900">
        <v>85.6</v>
      </c>
      <c r="R900">
        <v>5.5650000000000004</v>
      </c>
      <c r="S900">
        <v>96.078500000000005</v>
      </c>
      <c r="T900">
        <v>19.763300000000001</v>
      </c>
    </row>
    <row r="901" spans="1:20" x14ac:dyDescent="0.3">
      <c r="A901" t="s">
        <v>1386</v>
      </c>
      <c r="B901" t="s">
        <v>21</v>
      </c>
      <c r="C901" t="s">
        <v>1387</v>
      </c>
      <c r="D901" t="s">
        <v>23</v>
      </c>
      <c r="E901" t="s">
        <v>32</v>
      </c>
      <c r="F901" t="s">
        <v>36</v>
      </c>
      <c r="G901" t="s">
        <v>68</v>
      </c>
      <c r="H901">
        <v>35.04</v>
      </c>
      <c r="I901">
        <v>9</v>
      </c>
      <c r="J901">
        <v>15.768000000000001</v>
      </c>
      <c r="K901">
        <v>315.36</v>
      </c>
      <c r="L901" s="1">
        <v>43518</v>
      </c>
      <c r="M901" s="2">
        <v>0.80347222222222225</v>
      </c>
      <c r="N901" t="s">
        <v>27</v>
      </c>
      <c r="O901">
        <v>315.36</v>
      </c>
      <c r="P901">
        <v>4.7619047620000003</v>
      </c>
      <c r="Q901">
        <v>0</v>
      </c>
      <c r="R901">
        <v>4.5999999999999996</v>
      </c>
      <c r="S901">
        <v>96.173500000000004</v>
      </c>
      <c r="T901">
        <v>16.840900000000001</v>
      </c>
    </row>
    <row r="902" spans="1:20" x14ac:dyDescent="0.3">
      <c r="A902" t="s">
        <v>1388</v>
      </c>
      <c r="B902" t="s">
        <v>29</v>
      </c>
      <c r="C902" t="s">
        <v>1389</v>
      </c>
      <c r="D902" t="s">
        <v>31</v>
      </c>
      <c r="E902" t="s">
        <v>32</v>
      </c>
      <c r="F902" t="s">
        <v>25</v>
      </c>
      <c r="G902" t="s">
        <v>68</v>
      </c>
      <c r="H902">
        <v>44.84</v>
      </c>
      <c r="I902">
        <v>11</v>
      </c>
      <c r="J902">
        <v>24.661999999999999</v>
      </c>
      <c r="K902">
        <v>493.24</v>
      </c>
      <c r="L902" s="1">
        <v>43805</v>
      </c>
      <c r="M902" s="2">
        <v>0.58333333333333337</v>
      </c>
      <c r="N902" t="s">
        <v>37</v>
      </c>
      <c r="O902">
        <v>403.56</v>
      </c>
      <c r="P902">
        <v>4.7619047620000003</v>
      </c>
      <c r="Q902">
        <v>89.68</v>
      </c>
      <c r="R902">
        <v>7.875</v>
      </c>
      <c r="S902">
        <v>96.078500000000005</v>
      </c>
      <c r="T902">
        <v>19.763300000000001</v>
      </c>
    </row>
    <row r="903" spans="1:20" x14ac:dyDescent="0.3">
      <c r="A903" t="s">
        <v>1390</v>
      </c>
      <c r="B903" t="s">
        <v>51</v>
      </c>
      <c r="C903" t="s">
        <v>665</v>
      </c>
      <c r="D903" t="s">
        <v>53</v>
      </c>
      <c r="E903" t="s">
        <v>32</v>
      </c>
      <c r="F903" t="s">
        <v>36</v>
      </c>
      <c r="G903" t="s">
        <v>68</v>
      </c>
      <c r="H903">
        <v>45.97</v>
      </c>
      <c r="I903">
        <v>6</v>
      </c>
      <c r="J903">
        <v>13.791</v>
      </c>
      <c r="K903">
        <v>275.82</v>
      </c>
      <c r="L903" s="1">
        <v>43608</v>
      </c>
      <c r="M903" s="2">
        <v>0.50138888888888888</v>
      </c>
      <c r="N903" t="s">
        <v>27</v>
      </c>
      <c r="O903">
        <v>183.88</v>
      </c>
      <c r="P903">
        <v>4.7619047620000003</v>
      </c>
      <c r="Q903">
        <v>91.94</v>
      </c>
      <c r="R903">
        <v>6.12</v>
      </c>
      <c r="S903">
        <v>96.089100000000002</v>
      </c>
      <c r="T903">
        <v>21.9588</v>
      </c>
    </row>
    <row r="904" spans="1:20" x14ac:dyDescent="0.3">
      <c r="A904" t="s">
        <v>1391</v>
      </c>
      <c r="B904" t="s">
        <v>21</v>
      </c>
      <c r="C904" t="s">
        <v>1294</v>
      </c>
      <c r="D904" t="s">
        <v>23</v>
      </c>
      <c r="E904" t="s">
        <v>32</v>
      </c>
      <c r="F904" t="s">
        <v>25</v>
      </c>
      <c r="G904" t="s">
        <v>26</v>
      </c>
      <c r="H904">
        <v>27.73</v>
      </c>
      <c r="I904">
        <v>5</v>
      </c>
      <c r="J904">
        <v>6.9325000000000001</v>
      </c>
      <c r="K904">
        <v>138.65</v>
      </c>
      <c r="L904" s="1">
        <v>43612</v>
      </c>
      <c r="M904" s="2">
        <v>0.84791666666666665</v>
      </c>
      <c r="N904" t="s">
        <v>37</v>
      </c>
      <c r="O904">
        <v>138.65</v>
      </c>
      <c r="P904">
        <v>4.7619047620000003</v>
      </c>
      <c r="Q904">
        <v>0</v>
      </c>
      <c r="R904">
        <v>4.2</v>
      </c>
      <c r="S904">
        <v>96.173500000000004</v>
      </c>
      <c r="T904">
        <v>16.840900000000001</v>
      </c>
    </row>
    <row r="905" spans="1:20" x14ac:dyDescent="0.3">
      <c r="A905" t="s">
        <v>1392</v>
      </c>
      <c r="B905" t="s">
        <v>21</v>
      </c>
      <c r="C905" t="s">
        <v>1146</v>
      </c>
      <c r="D905" t="s">
        <v>23</v>
      </c>
      <c r="E905" t="s">
        <v>32</v>
      </c>
      <c r="F905" t="s">
        <v>36</v>
      </c>
      <c r="G905" t="s">
        <v>63</v>
      </c>
      <c r="H905">
        <v>11.53</v>
      </c>
      <c r="I905">
        <v>7</v>
      </c>
      <c r="J905">
        <v>4.0354999999999999</v>
      </c>
      <c r="K905">
        <v>80.709999999999994</v>
      </c>
      <c r="L905" s="1">
        <v>43477</v>
      </c>
      <c r="M905" s="2">
        <v>0.73263888888888884</v>
      </c>
      <c r="N905" t="s">
        <v>33</v>
      </c>
      <c r="O905">
        <v>80.709999999999994</v>
      </c>
      <c r="P905">
        <v>4.7619047620000003</v>
      </c>
      <c r="Q905">
        <v>0</v>
      </c>
      <c r="R905">
        <v>8.1</v>
      </c>
      <c r="S905">
        <v>96.173500000000004</v>
      </c>
      <c r="T905">
        <v>16.840900000000001</v>
      </c>
    </row>
    <row r="906" spans="1:20" x14ac:dyDescent="0.3">
      <c r="A906" t="s">
        <v>1393</v>
      </c>
      <c r="B906" t="s">
        <v>29</v>
      </c>
      <c r="C906" t="s">
        <v>1394</v>
      </c>
      <c r="D906" t="s">
        <v>31</v>
      </c>
      <c r="E906" t="s">
        <v>32</v>
      </c>
      <c r="F906" t="s">
        <v>25</v>
      </c>
      <c r="G906" t="s">
        <v>26</v>
      </c>
      <c r="H906">
        <v>58.32</v>
      </c>
      <c r="I906">
        <v>2</v>
      </c>
      <c r="J906">
        <v>5.8319999999999999</v>
      </c>
      <c r="K906">
        <v>116.64</v>
      </c>
      <c r="L906" s="1">
        <v>43743</v>
      </c>
      <c r="M906" s="2">
        <v>0.52916666666666667</v>
      </c>
      <c r="N906" t="s">
        <v>27</v>
      </c>
      <c r="O906">
        <v>116.64</v>
      </c>
      <c r="P906">
        <v>4.7619047620000003</v>
      </c>
      <c r="Q906">
        <v>0</v>
      </c>
      <c r="R906">
        <v>6.3</v>
      </c>
      <c r="S906">
        <v>96.078500000000005</v>
      </c>
      <c r="T906">
        <v>19.763300000000001</v>
      </c>
    </row>
    <row r="907" spans="1:20" x14ac:dyDescent="0.3">
      <c r="A907" t="s">
        <v>1395</v>
      </c>
      <c r="B907" t="s">
        <v>29</v>
      </c>
      <c r="C907" t="s">
        <v>270</v>
      </c>
      <c r="D907" t="s">
        <v>31</v>
      </c>
      <c r="E907" t="s">
        <v>32</v>
      </c>
      <c r="F907" t="s">
        <v>25</v>
      </c>
      <c r="G907" t="s">
        <v>77</v>
      </c>
      <c r="H907">
        <v>78.38</v>
      </c>
      <c r="I907">
        <v>5</v>
      </c>
      <c r="J907">
        <v>19.594999999999999</v>
      </c>
      <c r="K907">
        <v>391.9</v>
      </c>
      <c r="L907" s="1">
        <v>43696</v>
      </c>
      <c r="M907" s="2">
        <v>0.74722222222222223</v>
      </c>
      <c r="N907" t="s">
        <v>33</v>
      </c>
      <c r="O907">
        <v>313.52</v>
      </c>
      <c r="P907">
        <v>4.7619047620000003</v>
      </c>
      <c r="Q907">
        <v>78.38</v>
      </c>
      <c r="R907">
        <v>8.2949999999999999</v>
      </c>
      <c r="S907">
        <v>96.078500000000005</v>
      </c>
      <c r="T907">
        <v>19.763300000000001</v>
      </c>
    </row>
    <row r="908" spans="1:20" x14ac:dyDescent="0.3">
      <c r="A908" t="s">
        <v>1396</v>
      </c>
      <c r="B908" t="s">
        <v>29</v>
      </c>
      <c r="C908" t="s">
        <v>1397</v>
      </c>
      <c r="D908" t="s">
        <v>31</v>
      </c>
      <c r="E908" t="s">
        <v>32</v>
      </c>
      <c r="F908" t="s">
        <v>36</v>
      </c>
      <c r="G908" t="s">
        <v>26</v>
      </c>
      <c r="H908">
        <v>84.61</v>
      </c>
      <c r="I908">
        <v>12</v>
      </c>
      <c r="J908">
        <v>50.765999999999998</v>
      </c>
      <c r="K908">
        <v>1015.32</v>
      </c>
      <c r="L908" s="1">
        <v>43602</v>
      </c>
      <c r="M908" s="2">
        <v>0.79027777777777775</v>
      </c>
      <c r="N908" t="s">
        <v>37</v>
      </c>
      <c r="O908">
        <v>846.1</v>
      </c>
      <c r="P908">
        <v>4.7619047620000003</v>
      </c>
      <c r="Q908">
        <v>169.22</v>
      </c>
      <c r="R908">
        <v>9.24</v>
      </c>
      <c r="S908">
        <v>96.078500000000005</v>
      </c>
      <c r="T908">
        <v>19.763300000000001</v>
      </c>
    </row>
    <row r="909" spans="1:20" x14ac:dyDescent="0.3">
      <c r="A909" t="s">
        <v>1398</v>
      </c>
      <c r="B909" t="s">
        <v>51</v>
      </c>
      <c r="C909" t="s">
        <v>821</v>
      </c>
      <c r="D909" t="s">
        <v>53</v>
      </c>
      <c r="E909" t="s">
        <v>32</v>
      </c>
      <c r="F909" t="s">
        <v>25</v>
      </c>
      <c r="G909" t="s">
        <v>26</v>
      </c>
      <c r="H909">
        <v>82.88</v>
      </c>
      <c r="I909">
        <v>7</v>
      </c>
      <c r="J909">
        <v>29.007999999999999</v>
      </c>
      <c r="K909">
        <v>580.16</v>
      </c>
      <c r="L909" s="1">
        <v>43538</v>
      </c>
      <c r="M909" s="2">
        <v>0.58888888888888891</v>
      </c>
      <c r="N909" t="s">
        <v>37</v>
      </c>
      <c r="O909">
        <v>414.4</v>
      </c>
      <c r="P909">
        <v>4.7619047620000003</v>
      </c>
      <c r="Q909">
        <v>165.76</v>
      </c>
      <c r="R909">
        <v>7.92</v>
      </c>
      <c r="S909">
        <v>96.089100000000002</v>
      </c>
      <c r="T909">
        <v>21.9588</v>
      </c>
    </row>
    <row r="910" spans="1:20" x14ac:dyDescent="0.3">
      <c r="A910" t="s">
        <v>1399</v>
      </c>
      <c r="B910" t="s">
        <v>21</v>
      </c>
      <c r="C910" t="s">
        <v>1400</v>
      </c>
      <c r="D910" t="s">
        <v>23</v>
      </c>
      <c r="E910" t="s">
        <v>32</v>
      </c>
      <c r="F910" t="s">
        <v>25</v>
      </c>
      <c r="G910" t="s">
        <v>63</v>
      </c>
      <c r="H910">
        <v>79.540000000000006</v>
      </c>
      <c r="I910">
        <v>2</v>
      </c>
      <c r="J910">
        <v>7.9539999999999997</v>
      </c>
      <c r="K910">
        <v>159.08000000000001</v>
      </c>
      <c r="L910" s="1">
        <v>43689</v>
      </c>
      <c r="M910" s="2">
        <v>0.6875</v>
      </c>
      <c r="N910" t="s">
        <v>27</v>
      </c>
      <c r="O910">
        <v>159.08000000000001</v>
      </c>
      <c r="P910">
        <v>4.7619047620000003</v>
      </c>
      <c r="Q910">
        <v>0</v>
      </c>
      <c r="R910">
        <v>6.2</v>
      </c>
      <c r="S910">
        <v>96.173500000000004</v>
      </c>
      <c r="T910">
        <v>16.840900000000001</v>
      </c>
    </row>
    <row r="911" spans="1:20" x14ac:dyDescent="0.3">
      <c r="A911" t="s">
        <v>1401</v>
      </c>
      <c r="B911" t="s">
        <v>51</v>
      </c>
      <c r="C911" t="s">
        <v>119</v>
      </c>
      <c r="D911" t="s">
        <v>53</v>
      </c>
      <c r="E911" t="s">
        <v>32</v>
      </c>
      <c r="F911" t="s">
        <v>25</v>
      </c>
      <c r="G911" t="s">
        <v>77</v>
      </c>
      <c r="H911">
        <v>49.01</v>
      </c>
      <c r="I911">
        <v>14</v>
      </c>
      <c r="J911">
        <v>34.307000000000002</v>
      </c>
      <c r="K911">
        <v>686.14</v>
      </c>
      <c r="L911" s="1">
        <v>43694</v>
      </c>
      <c r="M911" s="2">
        <v>0.44722222222222224</v>
      </c>
      <c r="N911" t="s">
        <v>37</v>
      </c>
      <c r="O911">
        <v>490.1</v>
      </c>
      <c r="P911">
        <v>4.7619047620000003</v>
      </c>
      <c r="Q911">
        <v>196.04</v>
      </c>
      <c r="R911">
        <v>5.04</v>
      </c>
      <c r="S911">
        <v>96.089100000000002</v>
      </c>
      <c r="T911">
        <v>21.9588</v>
      </c>
    </row>
    <row r="912" spans="1:20" x14ac:dyDescent="0.3">
      <c r="A912" t="s">
        <v>1402</v>
      </c>
      <c r="B912" t="s">
        <v>51</v>
      </c>
      <c r="C912" t="s">
        <v>1258</v>
      </c>
      <c r="D912" t="s">
        <v>53</v>
      </c>
      <c r="E912" t="s">
        <v>32</v>
      </c>
      <c r="F912" t="s">
        <v>25</v>
      </c>
      <c r="G912" t="s">
        <v>63</v>
      </c>
      <c r="H912">
        <v>29.15</v>
      </c>
      <c r="I912">
        <v>4</v>
      </c>
      <c r="J912">
        <v>5.83</v>
      </c>
      <c r="K912">
        <v>116.6</v>
      </c>
      <c r="L912" s="1">
        <v>43744</v>
      </c>
      <c r="M912" s="2">
        <v>0.85347222222222219</v>
      </c>
      <c r="N912" t="s">
        <v>37</v>
      </c>
      <c r="O912">
        <v>87.45</v>
      </c>
      <c r="P912">
        <v>4.7619047620000003</v>
      </c>
      <c r="Q912">
        <v>29.15</v>
      </c>
      <c r="R912">
        <v>8.76</v>
      </c>
      <c r="S912">
        <v>96.089100000000002</v>
      </c>
      <c r="T912">
        <v>21.9588</v>
      </c>
    </row>
    <row r="913" spans="1:20" x14ac:dyDescent="0.3">
      <c r="A913" t="s">
        <v>1403</v>
      </c>
      <c r="B913" t="s">
        <v>29</v>
      </c>
      <c r="C913" t="s">
        <v>675</v>
      </c>
      <c r="D913" t="s">
        <v>31</v>
      </c>
      <c r="E913" t="s">
        <v>32</v>
      </c>
      <c r="F913" t="s">
        <v>25</v>
      </c>
      <c r="G913" t="s">
        <v>60</v>
      </c>
      <c r="H913">
        <v>56.13</v>
      </c>
      <c r="I913">
        <v>5</v>
      </c>
      <c r="J913">
        <v>14.032500000000001</v>
      </c>
      <c r="K913">
        <v>280.64999999999998</v>
      </c>
      <c r="L913" s="1">
        <v>43542</v>
      </c>
      <c r="M913" s="2">
        <v>0.48819444444444443</v>
      </c>
      <c r="N913" t="s">
        <v>27</v>
      </c>
      <c r="O913">
        <v>224.52</v>
      </c>
      <c r="P913">
        <v>4.7619047620000003</v>
      </c>
      <c r="Q913">
        <v>56.13</v>
      </c>
      <c r="R913">
        <v>9.0299999999999994</v>
      </c>
      <c r="S913">
        <v>96.078500000000005</v>
      </c>
      <c r="T913">
        <v>19.763300000000001</v>
      </c>
    </row>
    <row r="914" spans="1:20" x14ac:dyDescent="0.3">
      <c r="A914" t="s">
        <v>1404</v>
      </c>
      <c r="B914" t="s">
        <v>21</v>
      </c>
      <c r="C914" t="s">
        <v>462</v>
      </c>
      <c r="D914" t="s">
        <v>23</v>
      </c>
      <c r="E914" t="s">
        <v>32</v>
      </c>
      <c r="F914" t="s">
        <v>25</v>
      </c>
      <c r="G914" t="s">
        <v>77</v>
      </c>
      <c r="H914">
        <v>93.12</v>
      </c>
      <c r="I914">
        <v>8</v>
      </c>
      <c r="J914">
        <v>37.247999999999998</v>
      </c>
      <c r="K914">
        <v>744.96</v>
      </c>
      <c r="L914" s="1">
        <v>43721</v>
      </c>
      <c r="M914" s="2">
        <v>0.42291666666666666</v>
      </c>
      <c r="N914" t="s">
        <v>33</v>
      </c>
      <c r="O914">
        <v>744.96</v>
      </c>
      <c r="P914">
        <v>4.7619047620000003</v>
      </c>
      <c r="Q914">
        <v>0</v>
      </c>
      <c r="R914">
        <v>6.8</v>
      </c>
      <c r="S914">
        <v>96.173500000000004</v>
      </c>
      <c r="T914">
        <v>16.840900000000001</v>
      </c>
    </row>
    <row r="915" spans="1:20" x14ac:dyDescent="0.3">
      <c r="A915" t="s">
        <v>1405</v>
      </c>
      <c r="B915" t="s">
        <v>21</v>
      </c>
      <c r="C915" t="s">
        <v>1406</v>
      </c>
      <c r="D915" t="s">
        <v>23</v>
      </c>
      <c r="E915" t="s">
        <v>32</v>
      </c>
      <c r="F915" t="s">
        <v>36</v>
      </c>
      <c r="G915" t="s">
        <v>100</v>
      </c>
      <c r="H915">
        <v>51.34</v>
      </c>
      <c r="I915">
        <v>8</v>
      </c>
      <c r="J915">
        <v>20.536000000000001</v>
      </c>
      <c r="K915">
        <v>410.72</v>
      </c>
      <c r="L915" s="1">
        <v>43648</v>
      </c>
      <c r="M915" s="2">
        <v>0.41666666666666669</v>
      </c>
      <c r="N915" t="s">
        <v>27</v>
      </c>
      <c r="O915">
        <v>410.72</v>
      </c>
      <c r="P915">
        <v>4.7619047620000003</v>
      </c>
      <c r="Q915">
        <v>0</v>
      </c>
      <c r="R915">
        <v>7.6</v>
      </c>
      <c r="S915">
        <v>96.173500000000004</v>
      </c>
      <c r="T915">
        <v>16.840900000000001</v>
      </c>
    </row>
    <row r="916" spans="1:20" x14ac:dyDescent="0.3">
      <c r="A916" t="s">
        <v>1407</v>
      </c>
      <c r="B916" t="s">
        <v>21</v>
      </c>
      <c r="C916" t="s">
        <v>1408</v>
      </c>
      <c r="D916" t="s">
        <v>23</v>
      </c>
      <c r="E916" t="s">
        <v>32</v>
      </c>
      <c r="F916" t="s">
        <v>25</v>
      </c>
      <c r="G916" t="s">
        <v>63</v>
      </c>
      <c r="H916">
        <v>99.6</v>
      </c>
      <c r="I916">
        <v>3</v>
      </c>
      <c r="J916">
        <v>14.94</v>
      </c>
      <c r="K916">
        <v>298.8</v>
      </c>
      <c r="L916" s="1">
        <v>43812</v>
      </c>
      <c r="M916" s="2">
        <v>0.78125</v>
      </c>
      <c r="N916" t="s">
        <v>33</v>
      </c>
      <c r="O916">
        <v>298.8</v>
      </c>
      <c r="P916">
        <v>4.7619047620000003</v>
      </c>
      <c r="Q916">
        <v>0</v>
      </c>
      <c r="R916">
        <v>5.8</v>
      </c>
      <c r="S916">
        <v>96.173500000000004</v>
      </c>
      <c r="T916">
        <v>16.840900000000001</v>
      </c>
    </row>
    <row r="917" spans="1:20" x14ac:dyDescent="0.3">
      <c r="A917" t="s">
        <v>1409</v>
      </c>
      <c r="B917" t="s">
        <v>29</v>
      </c>
      <c r="C917" t="s">
        <v>819</v>
      </c>
      <c r="D917" t="s">
        <v>31</v>
      </c>
      <c r="E917" t="s">
        <v>32</v>
      </c>
      <c r="F917" t="s">
        <v>25</v>
      </c>
      <c r="G917" t="s">
        <v>60</v>
      </c>
      <c r="H917">
        <v>35.49</v>
      </c>
      <c r="I917">
        <v>7</v>
      </c>
      <c r="J917">
        <v>12.4215</v>
      </c>
      <c r="K917">
        <v>248.43</v>
      </c>
      <c r="L917" s="1">
        <v>43543</v>
      </c>
      <c r="M917" s="2">
        <v>0.52777777777777779</v>
      </c>
      <c r="N917" t="s">
        <v>33</v>
      </c>
      <c r="O917">
        <v>212.94</v>
      </c>
      <c r="P917">
        <v>4.7619047620000003</v>
      </c>
      <c r="Q917">
        <v>35.49</v>
      </c>
      <c r="R917">
        <v>4.3049999999999997</v>
      </c>
      <c r="S917">
        <v>96.078500000000005</v>
      </c>
      <c r="T917">
        <v>19.763300000000001</v>
      </c>
    </row>
    <row r="918" spans="1:20" x14ac:dyDescent="0.3">
      <c r="A918" t="s">
        <v>1410</v>
      </c>
      <c r="B918" t="s">
        <v>29</v>
      </c>
      <c r="C918" t="s">
        <v>323</v>
      </c>
      <c r="D918" t="s">
        <v>31</v>
      </c>
      <c r="E918" t="s">
        <v>32</v>
      </c>
      <c r="F918" t="s">
        <v>36</v>
      </c>
      <c r="G918" t="s">
        <v>68</v>
      </c>
      <c r="H918">
        <v>42.85</v>
      </c>
      <c r="I918">
        <v>1</v>
      </c>
      <c r="J918">
        <v>2.1425000000000001</v>
      </c>
      <c r="K918">
        <v>42.85</v>
      </c>
      <c r="L918" s="1">
        <v>43525</v>
      </c>
      <c r="M918" s="2">
        <v>0.65</v>
      </c>
      <c r="N918" t="s">
        <v>37</v>
      </c>
      <c r="O918">
        <v>42.85</v>
      </c>
      <c r="P918">
        <v>4.7619047620000003</v>
      </c>
      <c r="Q918">
        <v>0</v>
      </c>
      <c r="R918">
        <v>9.7650000000000006</v>
      </c>
      <c r="S918">
        <v>96.078500000000005</v>
      </c>
      <c r="T918">
        <v>19.763300000000001</v>
      </c>
    </row>
    <row r="919" spans="1:20" x14ac:dyDescent="0.3">
      <c r="A919" t="s">
        <v>1411</v>
      </c>
      <c r="B919" t="s">
        <v>21</v>
      </c>
      <c r="C919" t="s">
        <v>589</v>
      </c>
      <c r="D919" t="s">
        <v>23</v>
      </c>
      <c r="E919" t="s">
        <v>32</v>
      </c>
      <c r="F919" t="s">
        <v>25</v>
      </c>
      <c r="G919" t="s">
        <v>100</v>
      </c>
      <c r="H919">
        <v>94.67</v>
      </c>
      <c r="I919">
        <v>4</v>
      </c>
      <c r="J919">
        <v>18.934000000000001</v>
      </c>
      <c r="K919">
        <v>378.68</v>
      </c>
      <c r="L919" s="1">
        <v>43665</v>
      </c>
      <c r="M919" s="2">
        <v>0.50277777777777777</v>
      </c>
      <c r="N919" t="s">
        <v>33</v>
      </c>
      <c r="O919">
        <v>378.68</v>
      </c>
      <c r="P919">
        <v>4.7619047620000003</v>
      </c>
      <c r="Q919">
        <v>0</v>
      </c>
      <c r="R919">
        <v>6.8</v>
      </c>
      <c r="S919">
        <v>96.173500000000004</v>
      </c>
      <c r="T919">
        <v>16.840900000000001</v>
      </c>
    </row>
    <row r="920" spans="1:20" x14ac:dyDescent="0.3">
      <c r="A920" t="s">
        <v>1412</v>
      </c>
      <c r="B920" t="s">
        <v>51</v>
      </c>
      <c r="C920" t="s">
        <v>426</v>
      </c>
      <c r="D920" t="s">
        <v>53</v>
      </c>
      <c r="E920" t="s">
        <v>32</v>
      </c>
      <c r="F920" t="s">
        <v>36</v>
      </c>
      <c r="G920" t="s">
        <v>77</v>
      </c>
      <c r="H920">
        <v>68.97</v>
      </c>
      <c r="I920">
        <v>4</v>
      </c>
      <c r="J920">
        <v>13.794</v>
      </c>
      <c r="K920">
        <v>275.88</v>
      </c>
      <c r="L920" s="1">
        <v>43766</v>
      </c>
      <c r="M920" s="2">
        <v>0.47638888888888886</v>
      </c>
      <c r="N920" t="s">
        <v>27</v>
      </c>
      <c r="O920">
        <v>206.91</v>
      </c>
      <c r="P920">
        <v>4.7619047620000003</v>
      </c>
      <c r="Q920">
        <v>68.97</v>
      </c>
      <c r="R920">
        <v>10</v>
      </c>
      <c r="S920">
        <v>96.089100000000002</v>
      </c>
      <c r="T920">
        <v>21.9588</v>
      </c>
    </row>
    <row r="921" spans="1:20" x14ac:dyDescent="0.3">
      <c r="A921" t="s">
        <v>1413</v>
      </c>
      <c r="B921" t="s">
        <v>51</v>
      </c>
      <c r="C921" t="s">
        <v>382</v>
      </c>
      <c r="D921" t="s">
        <v>53</v>
      </c>
      <c r="E921" t="s">
        <v>32</v>
      </c>
      <c r="F921" t="s">
        <v>25</v>
      </c>
      <c r="G921" t="s">
        <v>60</v>
      </c>
      <c r="H921">
        <v>26.26</v>
      </c>
      <c r="I921">
        <v>4</v>
      </c>
      <c r="J921">
        <v>5.2519999999999998</v>
      </c>
      <c r="K921">
        <v>105.04</v>
      </c>
      <c r="L921" s="1">
        <v>43642</v>
      </c>
      <c r="M921" s="2">
        <v>0.52500000000000002</v>
      </c>
      <c r="N921" t="s">
        <v>27</v>
      </c>
      <c r="O921">
        <v>78.78</v>
      </c>
      <c r="P921">
        <v>4.7619047620000003</v>
      </c>
      <c r="Q921">
        <v>26.26</v>
      </c>
      <c r="R921">
        <v>7.56</v>
      </c>
      <c r="S921">
        <v>96.089100000000002</v>
      </c>
      <c r="T921">
        <v>21.9588</v>
      </c>
    </row>
    <row r="922" spans="1:20" x14ac:dyDescent="0.3">
      <c r="A922" t="s">
        <v>1414</v>
      </c>
      <c r="B922" t="s">
        <v>29</v>
      </c>
      <c r="C922" t="s">
        <v>1415</v>
      </c>
      <c r="D922" t="s">
        <v>31</v>
      </c>
      <c r="E922" t="s">
        <v>32</v>
      </c>
      <c r="F922" t="s">
        <v>25</v>
      </c>
      <c r="G922" t="s">
        <v>77</v>
      </c>
      <c r="H922">
        <v>35.79</v>
      </c>
      <c r="I922">
        <v>11</v>
      </c>
      <c r="J922">
        <v>19.6845</v>
      </c>
      <c r="K922">
        <v>393.69</v>
      </c>
      <c r="L922" s="1">
        <v>43572</v>
      </c>
      <c r="M922" s="2">
        <v>0.62916666666666665</v>
      </c>
      <c r="N922" t="s">
        <v>37</v>
      </c>
      <c r="O922">
        <v>322.11</v>
      </c>
      <c r="P922">
        <v>4.7619047620000003</v>
      </c>
      <c r="Q922">
        <v>71.58</v>
      </c>
      <c r="R922">
        <v>5.3550000000000004</v>
      </c>
      <c r="S922">
        <v>96.078500000000005</v>
      </c>
      <c r="T922">
        <v>19.763300000000001</v>
      </c>
    </row>
    <row r="923" spans="1:20" x14ac:dyDescent="0.3">
      <c r="A923" t="s">
        <v>1416</v>
      </c>
      <c r="B923" t="s">
        <v>51</v>
      </c>
      <c r="C923" t="s">
        <v>52</v>
      </c>
      <c r="D923" t="s">
        <v>53</v>
      </c>
      <c r="E923" t="s">
        <v>32</v>
      </c>
      <c r="F923" t="s">
        <v>25</v>
      </c>
      <c r="G923" t="s">
        <v>77</v>
      </c>
      <c r="H923">
        <v>16.37</v>
      </c>
      <c r="I923">
        <v>8</v>
      </c>
      <c r="J923">
        <v>6.548</v>
      </c>
      <c r="K923">
        <v>130.96</v>
      </c>
      <c r="L923" s="1">
        <v>43671</v>
      </c>
      <c r="M923" s="2">
        <v>0.45694444444444443</v>
      </c>
      <c r="N923" t="s">
        <v>33</v>
      </c>
      <c r="O923">
        <v>98.22</v>
      </c>
      <c r="P923">
        <v>4.7619047620000003</v>
      </c>
      <c r="Q923">
        <v>32.74</v>
      </c>
      <c r="R923">
        <v>8.4</v>
      </c>
      <c r="S923">
        <v>96.089100000000002</v>
      </c>
      <c r="T923">
        <v>21.9588</v>
      </c>
    </row>
    <row r="924" spans="1:20" x14ac:dyDescent="0.3">
      <c r="A924" t="s">
        <v>1417</v>
      </c>
      <c r="B924" t="s">
        <v>29</v>
      </c>
      <c r="C924" t="s">
        <v>1418</v>
      </c>
      <c r="D924" t="s">
        <v>31</v>
      </c>
      <c r="E924" t="s">
        <v>32</v>
      </c>
      <c r="F924" t="s">
        <v>25</v>
      </c>
      <c r="G924" t="s">
        <v>77</v>
      </c>
      <c r="H924">
        <v>12.73</v>
      </c>
      <c r="I924">
        <v>2</v>
      </c>
      <c r="J924">
        <v>1.2729999999999999</v>
      </c>
      <c r="K924">
        <v>25.46</v>
      </c>
      <c r="L924" s="1">
        <v>43566</v>
      </c>
      <c r="M924" s="2">
        <v>0.50694444444444442</v>
      </c>
      <c r="N924" t="s">
        <v>37</v>
      </c>
      <c r="O924">
        <v>25.46</v>
      </c>
      <c r="P924">
        <v>4.7619047620000003</v>
      </c>
      <c r="Q924">
        <v>0</v>
      </c>
      <c r="R924">
        <v>5.46</v>
      </c>
      <c r="S924">
        <v>96.078500000000005</v>
      </c>
      <c r="T924">
        <v>19.763300000000001</v>
      </c>
    </row>
    <row r="925" spans="1:20" x14ac:dyDescent="0.3">
      <c r="A925" t="s">
        <v>1419</v>
      </c>
      <c r="B925" t="s">
        <v>29</v>
      </c>
      <c r="C925" t="s">
        <v>1292</v>
      </c>
      <c r="D925" t="s">
        <v>31</v>
      </c>
      <c r="E925" t="s">
        <v>32</v>
      </c>
      <c r="F925" t="s">
        <v>25</v>
      </c>
      <c r="G925" t="s">
        <v>68</v>
      </c>
      <c r="H925">
        <v>83.14</v>
      </c>
      <c r="I925">
        <v>8</v>
      </c>
      <c r="J925">
        <v>33.256</v>
      </c>
      <c r="K925">
        <v>665.12</v>
      </c>
      <c r="L925" s="1">
        <v>43673</v>
      </c>
      <c r="M925" s="2">
        <v>0.43819444444444444</v>
      </c>
      <c r="N925" t="s">
        <v>37</v>
      </c>
      <c r="O925">
        <v>581.98</v>
      </c>
      <c r="P925">
        <v>4.7619047620000003</v>
      </c>
      <c r="Q925">
        <v>83.14</v>
      </c>
      <c r="R925">
        <v>6.93</v>
      </c>
      <c r="S925">
        <v>96.078500000000005</v>
      </c>
      <c r="T925">
        <v>19.763300000000001</v>
      </c>
    </row>
    <row r="926" spans="1:20" x14ac:dyDescent="0.3">
      <c r="A926" t="s">
        <v>1420</v>
      </c>
      <c r="B926" t="s">
        <v>29</v>
      </c>
      <c r="C926" t="s">
        <v>1064</v>
      </c>
      <c r="D926" t="s">
        <v>31</v>
      </c>
      <c r="E926" t="s">
        <v>32</v>
      </c>
      <c r="F926" t="s">
        <v>25</v>
      </c>
      <c r="G926" t="s">
        <v>68</v>
      </c>
      <c r="H926">
        <v>35.22</v>
      </c>
      <c r="I926">
        <v>7</v>
      </c>
      <c r="J926">
        <v>12.327</v>
      </c>
      <c r="K926">
        <v>246.54</v>
      </c>
      <c r="L926" s="1">
        <v>43785</v>
      </c>
      <c r="M926" s="2">
        <v>0.5756944444444444</v>
      </c>
      <c r="N926" t="s">
        <v>27</v>
      </c>
      <c r="O926">
        <v>211.32</v>
      </c>
      <c r="P926">
        <v>4.7619047620000003</v>
      </c>
      <c r="Q926">
        <v>35.22</v>
      </c>
      <c r="R926">
        <v>6.8250000000000002</v>
      </c>
      <c r="S926">
        <v>96.078500000000005</v>
      </c>
      <c r="T926">
        <v>19.763300000000001</v>
      </c>
    </row>
    <row r="927" spans="1:20" x14ac:dyDescent="0.3">
      <c r="A927" t="s">
        <v>1421</v>
      </c>
      <c r="B927" t="s">
        <v>51</v>
      </c>
      <c r="C927" t="s">
        <v>392</v>
      </c>
      <c r="D927" t="s">
        <v>53</v>
      </c>
      <c r="E927" t="s">
        <v>32</v>
      </c>
      <c r="F927" t="s">
        <v>25</v>
      </c>
      <c r="G927" t="s">
        <v>60</v>
      </c>
      <c r="H927">
        <v>13.78</v>
      </c>
      <c r="I927">
        <v>6</v>
      </c>
      <c r="J927">
        <v>4.1340000000000003</v>
      </c>
      <c r="K927">
        <v>82.68</v>
      </c>
      <c r="L927" s="1">
        <v>43512</v>
      </c>
      <c r="M927" s="2">
        <v>0.46527777777777779</v>
      </c>
      <c r="N927" t="s">
        <v>27</v>
      </c>
      <c r="O927">
        <v>55.12</v>
      </c>
      <c r="P927">
        <v>4.7619047620000003</v>
      </c>
      <c r="Q927">
        <v>27.56</v>
      </c>
      <c r="R927">
        <v>10</v>
      </c>
      <c r="S927">
        <v>96.089100000000002</v>
      </c>
      <c r="T927">
        <v>21.9588</v>
      </c>
    </row>
    <row r="928" spans="1:20" x14ac:dyDescent="0.3">
      <c r="A928" t="s">
        <v>1422</v>
      </c>
      <c r="B928" t="s">
        <v>51</v>
      </c>
      <c r="C928" t="s">
        <v>1423</v>
      </c>
      <c r="D928" t="s">
        <v>53</v>
      </c>
      <c r="E928" t="s">
        <v>32</v>
      </c>
      <c r="F928" t="s">
        <v>36</v>
      </c>
      <c r="G928" t="s">
        <v>68</v>
      </c>
      <c r="H928">
        <v>88.31</v>
      </c>
      <c r="I928">
        <v>1</v>
      </c>
      <c r="J928">
        <v>4.4154999999999998</v>
      </c>
      <c r="K928">
        <v>88.31</v>
      </c>
      <c r="L928" s="1">
        <v>43583</v>
      </c>
      <c r="M928" s="2">
        <v>0.73472222222222228</v>
      </c>
      <c r="N928" t="s">
        <v>37</v>
      </c>
      <c r="O928">
        <v>88.31</v>
      </c>
      <c r="P928">
        <v>4.7619047620000003</v>
      </c>
      <c r="Q928">
        <v>0</v>
      </c>
      <c r="R928">
        <v>6.24</v>
      </c>
      <c r="S928">
        <v>96.089100000000002</v>
      </c>
      <c r="T928">
        <v>21.9588</v>
      </c>
    </row>
    <row r="929" spans="1:20" x14ac:dyDescent="0.3">
      <c r="A929" t="s">
        <v>1424</v>
      </c>
      <c r="B929" t="s">
        <v>21</v>
      </c>
      <c r="C929" t="s">
        <v>74</v>
      </c>
      <c r="D929" t="s">
        <v>23</v>
      </c>
      <c r="E929" t="s">
        <v>32</v>
      </c>
      <c r="F929" t="s">
        <v>25</v>
      </c>
      <c r="G929" t="s">
        <v>26</v>
      </c>
      <c r="H929">
        <v>39.619999999999997</v>
      </c>
      <c r="I929">
        <v>9</v>
      </c>
      <c r="J929">
        <v>17.829000000000001</v>
      </c>
      <c r="K929">
        <v>356.58</v>
      </c>
      <c r="L929" s="1">
        <v>43765</v>
      </c>
      <c r="M929" s="2">
        <v>0.74583333333333335</v>
      </c>
      <c r="N929" t="s">
        <v>37</v>
      </c>
      <c r="O929">
        <v>356.58</v>
      </c>
      <c r="P929">
        <v>4.7619047620000003</v>
      </c>
      <c r="Q929">
        <v>0</v>
      </c>
      <c r="R929">
        <v>6.8</v>
      </c>
      <c r="S929">
        <v>96.173500000000004</v>
      </c>
      <c r="T929">
        <v>16.840900000000001</v>
      </c>
    </row>
    <row r="930" spans="1:20" x14ac:dyDescent="0.3">
      <c r="A930" t="s">
        <v>1425</v>
      </c>
      <c r="B930" t="s">
        <v>51</v>
      </c>
      <c r="C930" t="s">
        <v>102</v>
      </c>
      <c r="D930" t="s">
        <v>53</v>
      </c>
      <c r="E930" t="s">
        <v>32</v>
      </c>
      <c r="F930" t="s">
        <v>25</v>
      </c>
      <c r="G930" t="s">
        <v>60</v>
      </c>
      <c r="H930">
        <v>88.25</v>
      </c>
      <c r="I930">
        <v>13</v>
      </c>
      <c r="J930">
        <v>57.362499999999997</v>
      </c>
      <c r="K930">
        <v>1147.25</v>
      </c>
      <c r="L930" s="1">
        <v>43744</v>
      </c>
      <c r="M930" s="2">
        <v>0.86875000000000002</v>
      </c>
      <c r="N930" t="s">
        <v>37</v>
      </c>
      <c r="O930">
        <v>794.25</v>
      </c>
      <c r="P930">
        <v>4.7619047620000003</v>
      </c>
      <c r="Q930">
        <v>353</v>
      </c>
      <c r="R930">
        <v>9.1199999999999992</v>
      </c>
      <c r="S930">
        <v>96.089100000000002</v>
      </c>
      <c r="T930">
        <v>21.9588</v>
      </c>
    </row>
    <row r="931" spans="1:20" x14ac:dyDescent="0.3">
      <c r="A931" t="s">
        <v>1426</v>
      </c>
      <c r="B931" t="s">
        <v>51</v>
      </c>
      <c r="C931" t="s">
        <v>791</v>
      </c>
      <c r="D931" t="s">
        <v>53</v>
      </c>
      <c r="E931" t="s">
        <v>32</v>
      </c>
      <c r="F931" t="s">
        <v>36</v>
      </c>
      <c r="G931" t="s">
        <v>68</v>
      </c>
      <c r="H931">
        <v>25.31</v>
      </c>
      <c r="I931">
        <v>3</v>
      </c>
      <c r="J931">
        <v>3.7965</v>
      </c>
      <c r="K931">
        <v>75.930000000000007</v>
      </c>
      <c r="L931" s="1">
        <v>43539</v>
      </c>
      <c r="M931" s="2">
        <v>0.80972222222222223</v>
      </c>
      <c r="N931" t="s">
        <v>27</v>
      </c>
      <c r="O931">
        <v>50.62</v>
      </c>
      <c r="P931">
        <v>4.7619047620000003</v>
      </c>
      <c r="Q931">
        <v>25.31</v>
      </c>
      <c r="R931">
        <v>8.64</v>
      </c>
      <c r="S931">
        <v>96.089100000000002</v>
      </c>
      <c r="T931">
        <v>21.9588</v>
      </c>
    </row>
    <row r="932" spans="1:20" x14ac:dyDescent="0.3">
      <c r="A932" t="s">
        <v>1427</v>
      </c>
      <c r="B932" t="s">
        <v>51</v>
      </c>
      <c r="C932" t="s">
        <v>52</v>
      </c>
      <c r="D932" t="s">
        <v>53</v>
      </c>
      <c r="E932" t="s">
        <v>32</v>
      </c>
      <c r="F932" t="s">
        <v>36</v>
      </c>
      <c r="G932" t="s">
        <v>77</v>
      </c>
      <c r="H932">
        <v>99.92</v>
      </c>
      <c r="I932">
        <v>8</v>
      </c>
      <c r="J932">
        <v>39.968000000000004</v>
      </c>
      <c r="K932">
        <v>799.36</v>
      </c>
      <c r="L932" s="1">
        <v>43663</v>
      </c>
      <c r="M932" s="2">
        <v>0.56458333333333333</v>
      </c>
      <c r="N932" t="s">
        <v>27</v>
      </c>
      <c r="O932">
        <v>599.52</v>
      </c>
      <c r="P932">
        <v>4.7619047620000003</v>
      </c>
      <c r="Q932">
        <v>199.84</v>
      </c>
      <c r="R932">
        <v>8.52</v>
      </c>
      <c r="S932">
        <v>96.089100000000002</v>
      </c>
      <c r="T932">
        <v>21.9588</v>
      </c>
    </row>
    <row r="933" spans="1:20" x14ac:dyDescent="0.3">
      <c r="A933" t="s">
        <v>1428</v>
      </c>
      <c r="B933" t="s">
        <v>29</v>
      </c>
      <c r="C933" t="s">
        <v>1429</v>
      </c>
      <c r="D933" t="s">
        <v>31</v>
      </c>
      <c r="E933" t="s">
        <v>32</v>
      </c>
      <c r="F933" t="s">
        <v>25</v>
      </c>
      <c r="G933" t="s">
        <v>68</v>
      </c>
      <c r="H933">
        <v>83.35</v>
      </c>
      <c r="I933">
        <v>2</v>
      </c>
      <c r="J933">
        <v>8.3350000000000009</v>
      </c>
      <c r="K933">
        <v>166.7</v>
      </c>
      <c r="L933" s="1">
        <v>43824</v>
      </c>
      <c r="M933" s="2">
        <v>0.58680555555555558</v>
      </c>
      <c r="N933" t="s">
        <v>37</v>
      </c>
      <c r="O933">
        <v>166.7</v>
      </c>
      <c r="P933">
        <v>4.7619047620000003</v>
      </c>
      <c r="Q933">
        <v>0</v>
      </c>
      <c r="R933">
        <v>9.9749999999999996</v>
      </c>
      <c r="S933">
        <v>96.078500000000005</v>
      </c>
      <c r="T933">
        <v>19.763300000000001</v>
      </c>
    </row>
    <row r="934" spans="1:20" x14ac:dyDescent="0.3">
      <c r="A934" t="s">
        <v>1430</v>
      </c>
      <c r="B934" t="s">
        <v>21</v>
      </c>
      <c r="C934" t="s">
        <v>971</v>
      </c>
      <c r="D934" t="s">
        <v>23</v>
      </c>
      <c r="E934" t="s">
        <v>32</v>
      </c>
      <c r="F934" t="s">
        <v>25</v>
      </c>
      <c r="G934" t="s">
        <v>68</v>
      </c>
      <c r="H934">
        <v>74.44</v>
      </c>
      <c r="I934">
        <v>10</v>
      </c>
      <c r="J934">
        <v>37.22</v>
      </c>
      <c r="K934">
        <v>744.4</v>
      </c>
      <c r="L934" s="1">
        <v>43745</v>
      </c>
      <c r="M934" s="2">
        <v>0.4861111111111111</v>
      </c>
      <c r="N934" t="s">
        <v>27</v>
      </c>
      <c r="O934">
        <v>744.4</v>
      </c>
      <c r="P934">
        <v>4.7619047620000003</v>
      </c>
      <c r="Q934">
        <v>0</v>
      </c>
      <c r="R934">
        <v>5.0999999999999996</v>
      </c>
      <c r="S934">
        <v>96.173500000000004</v>
      </c>
      <c r="T934">
        <v>16.840900000000001</v>
      </c>
    </row>
    <row r="935" spans="1:20" x14ac:dyDescent="0.3">
      <c r="A935" t="s">
        <v>1431</v>
      </c>
      <c r="B935" t="s">
        <v>29</v>
      </c>
      <c r="C935" t="s">
        <v>158</v>
      </c>
      <c r="D935" t="s">
        <v>31</v>
      </c>
      <c r="E935" t="s">
        <v>32</v>
      </c>
      <c r="F935" t="s">
        <v>36</v>
      </c>
      <c r="G935" t="s">
        <v>68</v>
      </c>
      <c r="H935">
        <v>64.08</v>
      </c>
      <c r="I935">
        <v>8</v>
      </c>
      <c r="J935">
        <v>25.632000000000001</v>
      </c>
      <c r="K935">
        <v>512.64</v>
      </c>
      <c r="L935" s="1">
        <v>43650</v>
      </c>
      <c r="M935" s="2">
        <v>0.51875000000000004</v>
      </c>
      <c r="N935" t="s">
        <v>27</v>
      </c>
      <c r="O935">
        <v>448.56</v>
      </c>
      <c r="P935">
        <v>4.7619047620000003</v>
      </c>
      <c r="Q935">
        <v>64.08</v>
      </c>
      <c r="R935">
        <v>7.98</v>
      </c>
      <c r="S935">
        <v>96.078500000000005</v>
      </c>
      <c r="T935">
        <v>19.763300000000001</v>
      </c>
    </row>
    <row r="936" spans="1:20" x14ac:dyDescent="0.3">
      <c r="A936" t="s">
        <v>1432</v>
      </c>
      <c r="B936" t="s">
        <v>51</v>
      </c>
      <c r="C936" t="s">
        <v>192</v>
      </c>
      <c r="D936" t="s">
        <v>53</v>
      </c>
      <c r="E936" t="s">
        <v>32</v>
      </c>
      <c r="F936" t="s">
        <v>25</v>
      </c>
      <c r="G936" t="s">
        <v>68</v>
      </c>
      <c r="H936">
        <v>63.15</v>
      </c>
      <c r="I936">
        <v>8</v>
      </c>
      <c r="J936">
        <v>25.26</v>
      </c>
      <c r="K936">
        <v>505.2</v>
      </c>
      <c r="L936" s="1">
        <v>43516</v>
      </c>
      <c r="M936" s="2">
        <v>0.85</v>
      </c>
      <c r="N936" t="s">
        <v>27</v>
      </c>
      <c r="O936">
        <v>378.9</v>
      </c>
      <c r="P936">
        <v>4.7619047620000003</v>
      </c>
      <c r="Q936">
        <v>126.3</v>
      </c>
      <c r="R936">
        <v>10</v>
      </c>
      <c r="S936">
        <v>96.089100000000002</v>
      </c>
      <c r="T936">
        <v>21.9588</v>
      </c>
    </row>
    <row r="937" spans="1:20" x14ac:dyDescent="0.3">
      <c r="A937" t="s">
        <v>1433</v>
      </c>
      <c r="B937" t="s">
        <v>29</v>
      </c>
      <c r="C937" t="s">
        <v>592</v>
      </c>
      <c r="D937" t="s">
        <v>31</v>
      </c>
      <c r="E937" t="s">
        <v>32</v>
      </c>
      <c r="F937" t="s">
        <v>36</v>
      </c>
      <c r="G937" t="s">
        <v>68</v>
      </c>
      <c r="H937">
        <v>85.72</v>
      </c>
      <c r="I937">
        <v>4</v>
      </c>
      <c r="J937">
        <v>17.143999999999998</v>
      </c>
      <c r="K937">
        <v>342.88</v>
      </c>
      <c r="L937" s="1">
        <v>43580</v>
      </c>
      <c r="M937" s="2">
        <v>0.87430555555555556</v>
      </c>
      <c r="N937" t="s">
        <v>27</v>
      </c>
      <c r="O937">
        <v>257.16000000000003</v>
      </c>
      <c r="P937">
        <v>4.7619047620000003</v>
      </c>
      <c r="Q937">
        <v>85.72</v>
      </c>
      <c r="R937">
        <v>5.3550000000000004</v>
      </c>
      <c r="S937">
        <v>96.078500000000005</v>
      </c>
      <c r="T937">
        <v>19.763300000000001</v>
      </c>
    </row>
    <row r="938" spans="1:20" x14ac:dyDescent="0.3">
      <c r="A938" t="s">
        <v>1434</v>
      </c>
      <c r="B938" t="s">
        <v>29</v>
      </c>
      <c r="C938" t="s">
        <v>1435</v>
      </c>
      <c r="D938" t="s">
        <v>31</v>
      </c>
      <c r="E938" t="s">
        <v>32</v>
      </c>
      <c r="F938" t="s">
        <v>25</v>
      </c>
      <c r="G938" t="s">
        <v>68</v>
      </c>
      <c r="H938">
        <v>78.89</v>
      </c>
      <c r="I938">
        <v>8</v>
      </c>
      <c r="J938">
        <v>31.556000000000001</v>
      </c>
      <c r="K938">
        <v>631.12</v>
      </c>
      <c r="L938" s="1">
        <v>43778</v>
      </c>
      <c r="M938" s="2">
        <v>0.82499999999999996</v>
      </c>
      <c r="N938" t="s">
        <v>27</v>
      </c>
      <c r="O938">
        <v>552.23</v>
      </c>
      <c r="P938">
        <v>4.7619047620000003</v>
      </c>
      <c r="Q938">
        <v>78.89</v>
      </c>
      <c r="R938">
        <v>7.875</v>
      </c>
      <c r="S938">
        <v>96.078500000000005</v>
      </c>
      <c r="T938">
        <v>19.763300000000001</v>
      </c>
    </row>
    <row r="939" spans="1:20" x14ac:dyDescent="0.3">
      <c r="A939" t="s">
        <v>1436</v>
      </c>
      <c r="B939" t="s">
        <v>21</v>
      </c>
      <c r="C939" t="s">
        <v>1437</v>
      </c>
      <c r="D939" t="s">
        <v>23</v>
      </c>
      <c r="E939" t="s">
        <v>32</v>
      </c>
      <c r="F939" t="s">
        <v>25</v>
      </c>
      <c r="G939" t="s">
        <v>68</v>
      </c>
      <c r="H939">
        <v>89.48</v>
      </c>
      <c r="I939">
        <v>5</v>
      </c>
      <c r="J939">
        <v>22.37</v>
      </c>
      <c r="K939">
        <v>447.4</v>
      </c>
      <c r="L939" s="1">
        <v>43541</v>
      </c>
      <c r="M939" s="2">
        <v>0.42916666666666664</v>
      </c>
      <c r="N939" t="s">
        <v>33</v>
      </c>
      <c r="O939">
        <v>447.4</v>
      </c>
      <c r="P939">
        <v>4.7619047620000003</v>
      </c>
      <c r="Q939">
        <v>0</v>
      </c>
      <c r="R939">
        <v>7.4</v>
      </c>
      <c r="S939">
        <v>96.173500000000004</v>
      </c>
      <c r="T939">
        <v>16.840900000000001</v>
      </c>
    </row>
    <row r="940" spans="1:20" x14ac:dyDescent="0.3">
      <c r="A940" t="s">
        <v>1438</v>
      </c>
      <c r="B940" t="s">
        <v>21</v>
      </c>
      <c r="C940" t="s">
        <v>339</v>
      </c>
      <c r="D940" t="s">
        <v>23</v>
      </c>
      <c r="E940" t="s">
        <v>32</v>
      </c>
      <c r="F940" t="s">
        <v>25</v>
      </c>
      <c r="G940" t="s">
        <v>68</v>
      </c>
      <c r="H940">
        <v>92.09</v>
      </c>
      <c r="I940">
        <v>3</v>
      </c>
      <c r="J940">
        <v>13.813499999999999</v>
      </c>
      <c r="K940">
        <v>276.27</v>
      </c>
      <c r="L940" s="1">
        <v>43724</v>
      </c>
      <c r="M940" s="2">
        <v>0.68541666666666667</v>
      </c>
      <c r="N940" t="s">
        <v>33</v>
      </c>
      <c r="O940">
        <v>276.27</v>
      </c>
      <c r="P940">
        <v>4.7619047620000003</v>
      </c>
      <c r="Q940">
        <v>0</v>
      </c>
      <c r="R940">
        <v>4.2</v>
      </c>
      <c r="S940">
        <v>96.173500000000004</v>
      </c>
      <c r="T940">
        <v>16.840900000000001</v>
      </c>
    </row>
    <row r="941" spans="1:20" x14ac:dyDescent="0.3">
      <c r="A941" t="s">
        <v>1439</v>
      </c>
      <c r="B941" t="s">
        <v>29</v>
      </c>
      <c r="C941" t="s">
        <v>999</v>
      </c>
      <c r="D941" t="s">
        <v>31</v>
      </c>
      <c r="E941" t="s">
        <v>32</v>
      </c>
      <c r="F941" t="s">
        <v>25</v>
      </c>
      <c r="G941" t="s">
        <v>68</v>
      </c>
      <c r="H941">
        <v>57.29</v>
      </c>
      <c r="I941">
        <v>7</v>
      </c>
      <c r="J941">
        <v>20.051500000000001</v>
      </c>
      <c r="K941">
        <v>401.03</v>
      </c>
      <c r="L941" s="1">
        <v>43498</v>
      </c>
      <c r="M941" s="2">
        <v>0.71111111111111114</v>
      </c>
      <c r="N941" t="s">
        <v>27</v>
      </c>
      <c r="O941">
        <v>343.74</v>
      </c>
      <c r="P941">
        <v>4.7619047620000003</v>
      </c>
      <c r="Q941">
        <v>57.29</v>
      </c>
      <c r="R941">
        <v>6.1950000000000003</v>
      </c>
      <c r="S941">
        <v>96.078500000000005</v>
      </c>
      <c r="T941">
        <v>19.763300000000001</v>
      </c>
    </row>
    <row r="942" spans="1:20" x14ac:dyDescent="0.3">
      <c r="A942" t="s">
        <v>1440</v>
      </c>
      <c r="B942" t="s">
        <v>21</v>
      </c>
      <c r="C942" t="s">
        <v>1441</v>
      </c>
      <c r="D942" t="s">
        <v>23</v>
      </c>
      <c r="E942" t="s">
        <v>32</v>
      </c>
      <c r="F942" t="s">
        <v>36</v>
      </c>
      <c r="G942" t="s">
        <v>68</v>
      </c>
      <c r="H942">
        <v>66.52</v>
      </c>
      <c r="I942">
        <v>4</v>
      </c>
      <c r="J942">
        <v>13.304</v>
      </c>
      <c r="K942">
        <v>266.08</v>
      </c>
      <c r="L942" s="1">
        <v>43556</v>
      </c>
      <c r="M942" s="2">
        <v>0.75972222222222219</v>
      </c>
      <c r="N942" t="s">
        <v>27</v>
      </c>
      <c r="O942">
        <v>266.08</v>
      </c>
      <c r="P942">
        <v>4.7619047620000003</v>
      </c>
      <c r="Q942">
        <v>0</v>
      </c>
      <c r="R942">
        <v>6.9</v>
      </c>
      <c r="S942">
        <v>96.173500000000004</v>
      </c>
      <c r="T942">
        <v>16.840900000000001</v>
      </c>
    </row>
    <row r="943" spans="1:20" x14ac:dyDescent="0.3">
      <c r="A943" t="s">
        <v>1442</v>
      </c>
      <c r="B943" t="s">
        <v>29</v>
      </c>
      <c r="C943" t="s">
        <v>1010</v>
      </c>
      <c r="D943" t="s">
        <v>31</v>
      </c>
      <c r="E943" t="s">
        <v>32</v>
      </c>
      <c r="F943" t="s">
        <v>36</v>
      </c>
      <c r="G943" t="s">
        <v>68</v>
      </c>
      <c r="H943">
        <v>99.82</v>
      </c>
      <c r="I943">
        <v>11</v>
      </c>
      <c r="J943">
        <v>54.901000000000003</v>
      </c>
      <c r="K943">
        <v>1098.02</v>
      </c>
      <c r="L943" s="1">
        <v>43691</v>
      </c>
      <c r="M943" s="2">
        <v>0.4465277777777778</v>
      </c>
      <c r="N943" t="s">
        <v>33</v>
      </c>
      <c r="O943">
        <v>898.38</v>
      </c>
      <c r="P943">
        <v>4.7619047620000003</v>
      </c>
      <c r="Q943">
        <v>199.64</v>
      </c>
      <c r="R943">
        <v>6.93</v>
      </c>
      <c r="S943">
        <v>96.078500000000005</v>
      </c>
      <c r="T943">
        <v>19.763300000000001</v>
      </c>
    </row>
    <row r="944" spans="1:20" x14ac:dyDescent="0.3">
      <c r="A944" t="s">
        <v>1443</v>
      </c>
      <c r="B944" t="s">
        <v>21</v>
      </c>
      <c r="C944" t="s">
        <v>1300</v>
      </c>
      <c r="D944" t="s">
        <v>23</v>
      </c>
      <c r="E944" t="s">
        <v>32</v>
      </c>
      <c r="F944" t="s">
        <v>25</v>
      </c>
      <c r="G944" t="s">
        <v>77</v>
      </c>
      <c r="H944">
        <v>45.68</v>
      </c>
      <c r="I944">
        <v>10</v>
      </c>
      <c r="J944">
        <v>22.84</v>
      </c>
      <c r="K944">
        <v>456.8</v>
      </c>
      <c r="L944" s="1">
        <v>43696</v>
      </c>
      <c r="M944" s="2">
        <v>0.8125</v>
      </c>
      <c r="N944" t="s">
        <v>27</v>
      </c>
      <c r="O944">
        <v>456.8</v>
      </c>
      <c r="P944">
        <v>4.7619047620000003</v>
      </c>
      <c r="Q944">
        <v>0</v>
      </c>
      <c r="R944">
        <v>5.7</v>
      </c>
      <c r="S944">
        <v>96.173500000000004</v>
      </c>
      <c r="T944">
        <v>16.840900000000001</v>
      </c>
    </row>
    <row r="945" spans="1:20" x14ac:dyDescent="0.3">
      <c r="A945" t="s">
        <v>1444</v>
      </c>
      <c r="B945" t="s">
        <v>21</v>
      </c>
      <c r="C945" t="s">
        <v>238</v>
      </c>
      <c r="D945" t="s">
        <v>23</v>
      </c>
      <c r="E945" t="s">
        <v>32</v>
      </c>
      <c r="F945" t="s">
        <v>36</v>
      </c>
      <c r="G945" t="s">
        <v>26</v>
      </c>
      <c r="H945">
        <v>50.79</v>
      </c>
      <c r="I945">
        <v>5</v>
      </c>
      <c r="J945">
        <v>12.6975</v>
      </c>
      <c r="K945">
        <v>253.95</v>
      </c>
      <c r="L945" s="1">
        <v>43620</v>
      </c>
      <c r="M945" s="2">
        <v>0.62013888888888891</v>
      </c>
      <c r="N945" t="s">
        <v>37</v>
      </c>
      <c r="O945">
        <v>253.95</v>
      </c>
      <c r="P945">
        <v>4.7619047620000003</v>
      </c>
      <c r="Q945">
        <v>0</v>
      </c>
      <c r="R945">
        <v>5.3</v>
      </c>
      <c r="S945">
        <v>96.173500000000004</v>
      </c>
      <c r="T945">
        <v>16.840900000000001</v>
      </c>
    </row>
    <row r="946" spans="1:20" x14ac:dyDescent="0.3">
      <c r="A946" t="s">
        <v>1445</v>
      </c>
      <c r="B946" t="s">
        <v>21</v>
      </c>
      <c r="C946" t="s">
        <v>743</v>
      </c>
      <c r="D946" t="s">
        <v>23</v>
      </c>
      <c r="E946" t="s">
        <v>32</v>
      </c>
      <c r="F946" t="s">
        <v>36</v>
      </c>
      <c r="G946" t="s">
        <v>26</v>
      </c>
      <c r="H946">
        <v>10.08</v>
      </c>
      <c r="I946">
        <v>7</v>
      </c>
      <c r="J946">
        <v>3.528</v>
      </c>
      <c r="K946">
        <v>70.56</v>
      </c>
      <c r="L946" s="1">
        <v>43787</v>
      </c>
      <c r="M946" s="2">
        <v>0.84305555555555556</v>
      </c>
      <c r="N946" t="s">
        <v>33</v>
      </c>
      <c r="O946">
        <v>70.56</v>
      </c>
      <c r="P946">
        <v>4.7619047620000003</v>
      </c>
      <c r="Q946">
        <v>0</v>
      </c>
      <c r="R946">
        <v>4.2</v>
      </c>
      <c r="S946">
        <v>96.173500000000004</v>
      </c>
      <c r="T946">
        <v>16.840900000000001</v>
      </c>
    </row>
    <row r="947" spans="1:20" x14ac:dyDescent="0.3">
      <c r="A947" t="s">
        <v>1446</v>
      </c>
      <c r="B947" t="s">
        <v>21</v>
      </c>
      <c r="C947" t="s">
        <v>1447</v>
      </c>
      <c r="D947" t="s">
        <v>23</v>
      </c>
      <c r="E947" t="s">
        <v>32</v>
      </c>
      <c r="F947" t="s">
        <v>25</v>
      </c>
      <c r="G947" t="s">
        <v>60</v>
      </c>
      <c r="H947">
        <v>93.88</v>
      </c>
      <c r="I947">
        <v>7</v>
      </c>
      <c r="J947">
        <v>32.857999999999997</v>
      </c>
      <c r="K947">
        <v>657.16</v>
      </c>
      <c r="L947" s="1">
        <v>43476</v>
      </c>
      <c r="M947" s="2">
        <v>0.49375000000000002</v>
      </c>
      <c r="N947" t="s">
        <v>37</v>
      </c>
      <c r="O947">
        <v>657.16</v>
      </c>
      <c r="P947">
        <v>4.7619047620000003</v>
      </c>
      <c r="Q947">
        <v>0</v>
      </c>
      <c r="R947">
        <v>7.3</v>
      </c>
      <c r="S947">
        <v>96.173500000000004</v>
      </c>
      <c r="T947">
        <v>16.840900000000001</v>
      </c>
    </row>
    <row r="948" spans="1:20" x14ac:dyDescent="0.3">
      <c r="A948" t="s">
        <v>1448</v>
      </c>
      <c r="B948" t="s">
        <v>29</v>
      </c>
      <c r="C948" t="s">
        <v>371</v>
      </c>
      <c r="D948" t="s">
        <v>31</v>
      </c>
      <c r="E948" t="s">
        <v>32</v>
      </c>
      <c r="F948" t="s">
        <v>36</v>
      </c>
      <c r="G948" t="s">
        <v>60</v>
      </c>
      <c r="H948">
        <v>84.25</v>
      </c>
      <c r="I948">
        <v>2</v>
      </c>
      <c r="J948">
        <v>8.4250000000000007</v>
      </c>
      <c r="K948">
        <v>168.5</v>
      </c>
      <c r="L948" s="1">
        <v>43553</v>
      </c>
      <c r="M948" s="2">
        <v>0.59236111111111112</v>
      </c>
      <c r="N948" t="s">
        <v>37</v>
      </c>
      <c r="O948">
        <v>168.5</v>
      </c>
      <c r="P948">
        <v>4.7619047620000003</v>
      </c>
      <c r="Q948">
        <v>0</v>
      </c>
      <c r="R948">
        <v>5.5650000000000004</v>
      </c>
      <c r="S948">
        <v>96.078500000000005</v>
      </c>
      <c r="T948">
        <v>19.763300000000001</v>
      </c>
    </row>
    <row r="949" spans="1:20" x14ac:dyDescent="0.3">
      <c r="A949" t="s">
        <v>1449</v>
      </c>
      <c r="B949" t="s">
        <v>51</v>
      </c>
      <c r="C949" t="s">
        <v>872</v>
      </c>
      <c r="D949" t="s">
        <v>53</v>
      </c>
      <c r="E949" t="s">
        <v>32</v>
      </c>
      <c r="F949" t="s">
        <v>36</v>
      </c>
      <c r="G949" t="s">
        <v>100</v>
      </c>
      <c r="H949">
        <v>53.78</v>
      </c>
      <c r="I949">
        <v>1</v>
      </c>
      <c r="J949">
        <v>2.6890000000000001</v>
      </c>
      <c r="K949">
        <v>53.78</v>
      </c>
      <c r="L949" s="1">
        <v>43521</v>
      </c>
      <c r="M949" s="2">
        <v>0.84236111111111112</v>
      </c>
      <c r="N949" t="s">
        <v>27</v>
      </c>
      <c r="O949">
        <v>53.78</v>
      </c>
      <c r="P949">
        <v>4.7619047620000003</v>
      </c>
      <c r="Q949">
        <v>0</v>
      </c>
      <c r="R949">
        <v>5.64</v>
      </c>
      <c r="S949">
        <v>96.089100000000002</v>
      </c>
      <c r="T949">
        <v>21.9588</v>
      </c>
    </row>
    <row r="950" spans="1:20" x14ac:dyDescent="0.3">
      <c r="A950" t="s">
        <v>1450</v>
      </c>
      <c r="B950" t="s">
        <v>29</v>
      </c>
      <c r="C950" t="s">
        <v>1418</v>
      </c>
      <c r="D950" t="s">
        <v>31</v>
      </c>
      <c r="E950" t="s">
        <v>32</v>
      </c>
      <c r="F950" t="s">
        <v>36</v>
      </c>
      <c r="G950" t="s">
        <v>77</v>
      </c>
      <c r="H950">
        <v>35.81</v>
      </c>
      <c r="I950">
        <v>6</v>
      </c>
      <c r="J950">
        <v>10.743</v>
      </c>
      <c r="K950">
        <v>214.86</v>
      </c>
      <c r="L950" s="1">
        <v>43636</v>
      </c>
      <c r="M950" s="2">
        <v>0.78055555555555556</v>
      </c>
      <c r="N950" t="s">
        <v>27</v>
      </c>
      <c r="O950">
        <v>179.05</v>
      </c>
      <c r="P950">
        <v>4.7619047620000003</v>
      </c>
      <c r="Q950">
        <v>35.81</v>
      </c>
      <c r="R950">
        <v>8.2949999999999999</v>
      </c>
      <c r="S950">
        <v>96.078500000000005</v>
      </c>
      <c r="T950">
        <v>19.763300000000001</v>
      </c>
    </row>
    <row r="951" spans="1:20" x14ac:dyDescent="0.3">
      <c r="A951" t="s">
        <v>1451</v>
      </c>
      <c r="B951" t="s">
        <v>51</v>
      </c>
      <c r="C951" t="s">
        <v>844</v>
      </c>
      <c r="D951" t="s">
        <v>53</v>
      </c>
      <c r="E951" t="s">
        <v>32</v>
      </c>
      <c r="F951" t="s">
        <v>25</v>
      </c>
      <c r="G951" t="s">
        <v>63</v>
      </c>
      <c r="H951">
        <v>26.43</v>
      </c>
      <c r="I951">
        <v>11</v>
      </c>
      <c r="J951">
        <v>14.5365</v>
      </c>
      <c r="K951">
        <v>290.73</v>
      </c>
      <c r="L951" s="1">
        <v>43522</v>
      </c>
      <c r="M951" s="2">
        <v>0.60138888888888886</v>
      </c>
      <c r="N951" t="s">
        <v>27</v>
      </c>
      <c r="O951">
        <v>211.44</v>
      </c>
      <c r="P951">
        <v>4.7619047620000003</v>
      </c>
      <c r="Q951">
        <v>79.290000000000006</v>
      </c>
      <c r="R951">
        <v>10</v>
      </c>
      <c r="S951">
        <v>96.089100000000002</v>
      </c>
      <c r="T951">
        <v>21.9588</v>
      </c>
    </row>
    <row r="952" spans="1:20" x14ac:dyDescent="0.3">
      <c r="A952" t="s">
        <v>1452</v>
      </c>
      <c r="B952" t="s">
        <v>51</v>
      </c>
      <c r="C952" t="s">
        <v>296</v>
      </c>
      <c r="D952" t="s">
        <v>53</v>
      </c>
      <c r="E952" t="s">
        <v>32</v>
      </c>
      <c r="F952" t="s">
        <v>36</v>
      </c>
      <c r="G952" t="s">
        <v>26</v>
      </c>
      <c r="H952">
        <v>39.909999999999997</v>
      </c>
      <c r="I952">
        <v>4</v>
      </c>
      <c r="J952">
        <v>7.9820000000000002</v>
      </c>
      <c r="K952">
        <v>159.63999999999999</v>
      </c>
      <c r="L952" s="1">
        <v>43742</v>
      </c>
      <c r="M952" s="2">
        <v>0.52777777777777779</v>
      </c>
      <c r="N952" t="s">
        <v>27</v>
      </c>
      <c r="O952">
        <v>119.73</v>
      </c>
      <c r="P952">
        <v>4.7619047620000003</v>
      </c>
      <c r="Q952">
        <v>39.909999999999997</v>
      </c>
      <c r="R952">
        <v>10</v>
      </c>
      <c r="S952">
        <v>96.089100000000002</v>
      </c>
      <c r="T952">
        <v>21.9588</v>
      </c>
    </row>
    <row r="953" spans="1:20" x14ac:dyDescent="0.3">
      <c r="A953" t="s">
        <v>1453</v>
      </c>
      <c r="B953" t="s">
        <v>51</v>
      </c>
      <c r="C953" t="s">
        <v>791</v>
      </c>
      <c r="D953" t="s">
        <v>53</v>
      </c>
      <c r="E953" t="s">
        <v>24</v>
      </c>
      <c r="F953" t="s">
        <v>25</v>
      </c>
      <c r="G953" t="s">
        <v>77</v>
      </c>
      <c r="H953">
        <v>21.9</v>
      </c>
      <c r="I953">
        <v>6</v>
      </c>
      <c r="J953">
        <v>6.57</v>
      </c>
      <c r="K953">
        <v>131.4</v>
      </c>
      <c r="L953" s="1">
        <v>43774</v>
      </c>
      <c r="M953" s="2">
        <v>0.77986111111111112</v>
      </c>
      <c r="N953" t="s">
        <v>27</v>
      </c>
      <c r="O953">
        <v>65.7</v>
      </c>
      <c r="P953">
        <v>4.7619047620000003</v>
      </c>
      <c r="Q953">
        <v>65.7</v>
      </c>
      <c r="R953">
        <v>5.64</v>
      </c>
      <c r="S953">
        <v>96.089100000000002</v>
      </c>
      <c r="T953">
        <v>21.9588</v>
      </c>
    </row>
    <row r="954" spans="1:20" x14ac:dyDescent="0.3">
      <c r="A954" t="s">
        <v>1454</v>
      </c>
      <c r="B954" t="s">
        <v>51</v>
      </c>
      <c r="C954" t="s">
        <v>67</v>
      </c>
      <c r="D954" t="s">
        <v>53</v>
      </c>
      <c r="E954" t="s">
        <v>24</v>
      </c>
      <c r="F954" t="s">
        <v>25</v>
      </c>
      <c r="G954" t="s">
        <v>63</v>
      </c>
      <c r="H954">
        <v>62.85</v>
      </c>
      <c r="I954">
        <v>8</v>
      </c>
      <c r="J954">
        <v>25.14</v>
      </c>
      <c r="K954">
        <v>502.8</v>
      </c>
      <c r="L954" s="1">
        <v>43619</v>
      </c>
      <c r="M954" s="2">
        <v>0.55694444444444446</v>
      </c>
      <c r="N954" t="s">
        <v>27</v>
      </c>
      <c r="O954">
        <v>251.4</v>
      </c>
      <c r="P954">
        <v>4.7619047620000003</v>
      </c>
      <c r="Q954">
        <v>251.4</v>
      </c>
      <c r="R954">
        <v>10</v>
      </c>
      <c r="S954">
        <v>96.089100000000002</v>
      </c>
      <c r="T954">
        <v>21.9588</v>
      </c>
    </row>
    <row r="955" spans="1:20" x14ac:dyDescent="0.3">
      <c r="A955" t="s">
        <v>1455</v>
      </c>
      <c r="B955" t="s">
        <v>29</v>
      </c>
      <c r="C955" t="s">
        <v>810</v>
      </c>
      <c r="D955" t="s">
        <v>31</v>
      </c>
      <c r="E955" t="s">
        <v>24</v>
      </c>
      <c r="F955" t="s">
        <v>25</v>
      </c>
      <c r="G955" t="s">
        <v>63</v>
      </c>
      <c r="H955">
        <v>21.04</v>
      </c>
      <c r="I955">
        <v>7</v>
      </c>
      <c r="J955">
        <v>7.3639999999999999</v>
      </c>
      <c r="K955">
        <v>147.28</v>
      </c>
      <c r="L955" s="1">
        <v>43550</v>
      </c>
      <c r="M955" s="2">
        <v>0.58194444444444449</v>
      </c>
      <c r="N955" t="s">
        <v>33</v>
      </c>
      <c r="O955">
        <v>84.16</v>
      </c>
      <c r="P955">
        <v>4.7619047620000003</v>
      </c>
      <c r="Q955">
        <v>63.12</v>
      </c>
      <c r="R955">
        <v>7.98</v>
      </c>
      <c r="S955">
        <v>96.078500000000005</v>
      </c>
      <c r="T955">
        <v>19.763300000000001</v>
      </c>
    </row>
    <row r="956" spans="1:20" x14ac:dyDescent="0.3">
      <c r="A956" t="s">
        <v>1456</v>
      </c>
      <c r="B956" t="s">
        <v>51</v>
      </c>
      <c r="C956" t="s">
        <v>440</v>
      </c>
      <c r="D956" t="s">
        <v>53</v>
      </c>
      <c r="E956" t="s">
        <v>24</v>
      </c>
      <c r="F956" t="s">
        <v>36</v>
      </c>
      <c r="G956" t="s">
        <v>77</v>
      </c>
      <c r="H956">
        <v>65.91</v>
      </c>
      <c r="I956">
        <v>11</v>
      </c>
      <c r="J956">
        <v>36.250500000000002</v>
      </c>
      <c r="K956">
        <v>725.01</v>
      </c>
      <c r="L956" s="1">
        <v>43527</v>
      </c>
      <c r="M956" s="2">
        <v>0.48958333333333331</v>
      </c>
      <c r="N956" t="s">
        <v>33</v>
      </c>
      <c r="O956">
        <v>395.46</v>
      </c>
      <c r="P956">
        <v>4.7619047620000003</v>
      </c>
      <c r="Q956">
        <v>329.55</v>
      </c>
      <c r="R956">
        <v>6.84</v>
      </c>
      <c r="S956">
        <v>96.089100000000002</v>
      </c>
      <c r="T956">
        <v>21.9588</v>
      </c>
    </row>
    <row r="957" spans="1:20" x14ac:dyDescent="0.3">
      <c r="A957" t="s">
        <v>1457</v>
      </c>
      <c r="B957" t="s">
        <v>21</v>
      </c>
      <c r="C957" t="s">
        <v>294</v>
      </c>
      <c r="D957" t="s">
        <v>23</v>
      </c>
      <c r="E957" t="s">
        <v>32</v>
      </c>
      <c r="F957" t="s">
        <v>25</v>
      </c>
      <c r="G957" t="s">
        <v>100</v>
      </c>
      <c r="H957">
        <v>42.57</v>
      </c>
      <c r="I957">
        <v>7</v>
      </c>
      <c r="J957">
        <v>14.8995</v>
      </c>
      <c r="K957">
        <v>297.99</v>
      </c>
      <c r="L957" s="1">
        <v>43623</v>
      </c>
      <c r="M957" s="2">
        <v>0.49375000000000002</v>
      </c>
      <c r="N957" t="s">
        <v>33</v>
      </c>
      <c r="O957">
        <v>297.99</v>
      </c>
      <c r="P957">
        <v>4.7619047620000003</v>
      </c>
      <c r="Q957">
        <v>0</v>
      </c>
      <c r="R957">
        <v>6.8</v>
      </c>
      <c r="S957">
        <v>96.173500000000004</v>
      </c>
      <c r="T957">
        <v>16.840900000000001</v>
      </c>
    </row>
    <row r="958" spans="1:20" x14ac:dyDescent="0.3">
      <c r="A958" t="s">
        <v>1458</v>
      </c>
      <c r="B958" t="s">
        <v>29</v>
      </c>
      <c r="C958" t="s">
        <v>209</v>
      </c>
      <c r="D958" t="s">
        <v>31</v>
      </c>
      <c r="E958" t="s">
        <v>24</v>
      </c>
      <c r="F958" t="s">
        <v>36</v>
      </c>
      <c r="G958" t="s">
        <v>63</v>
      </c>
      <c r="H958">
        <v>50.49</v>
      </c>
      <c r="I958">
        <v>15</v>
      </c>
      <c r="J958">
        <v>37.8675</v>
      </c>
      <c r="K958">
        <v>757.35</v>
      </c>
      <c r="L958" s="1">
        <v>43788</v>
      </c>
      <c r="M958" s="2">
        <v>0.71944444444444444</v>
      </c>
      <c r="N958" t="s">
        <v>33</v>
      </c>
      <c r="O958">
        <v>454.41</v>
      </c>
      <c r="P958">
        <v>4.7619047620000003</v>
      </c>
      <c r="Q958">
        <v>302.94</v>
      </c>
      <c r="R958">
        <v>5.67</v>
      </c>
      <c r="S958">
        <v>96.078500000000005</v>
      </c>
      <c r="T958">
        <v>19.763300000000001</v>
      </c>
    </row>
    <row r="959" spans="1:20" x14ac:dyDescent="0.3">
      <c r="A959" t="s">
        <v>1459</v>
      </c>
      <c r="B959" t="s">
        <v>51</v>
      </c>
      <c r="C959" t="s">
        <v>318</v>
      </c>
      <c r="D959" t="s">
        <v>53</v>
      </c>
      <c r="E959" t="s">
        <v>32</v>
      </c>
      <c r="F959" t="s">
        <v>36</v>
      </c>
      <c r="G959" t="s">
        <v>60</v>
      </c>
      <c r="H959">
        <v>46.02</v>
      </c>
      <c r="I959">
        <v>8</v>
      </c>
      <c r="J959">
        <v>18.408000000000001</v>
      </c>
      <c r="K959">
        <v>368.16</v>
      </c>
      <c r="L959" s="1">
        <v>43697</v>
      </c>
      <c r="M959" s="2">
        <v>0.66319444444444442</v>
      </c>
      <c r="N959" t="s">
        <v>33</v>
      </c>
      <c r="O959">
        <v>276.12</v>
      </c>
      <c r="P959">
        <v>4.7619047620000003</v>
      </c>
      <c r="Q959">
        <v>92.04</v>
      </c>
      <c r="R959">
        <v>8.52</v>
      </c>
      <c r="S959">
        <v>96.089100000000002</v>
      </c>
      <c r="T959">
        <v>21.9588</v>
      </c>
    </row>
    <row r="960" spans="1:20" x14ac:dyDescent="0.3">
      <c r="A960" t="s">
        <v>1460</v>
      </c>
      <c r="B960" t="s">
        <v>29</v>
      </c>
      <c r="C960" t="s">
        <v>109</v>
      </c>
      <c r="D960" t="s">
        <v>31</v>
      </c>
      <c r="E960" t="s">
        <v>32</v>
      </c>
      <c r="F960" t="s">
        <v>25</v>
      </c>
      <c r="G960" t="s">
        <v>77</v>
      </c>
      <c r="H960">
        <v>15.8</v>
      </c>
      <c r="I960">
        <v>12</v>
      </c>
      <c r="J960">
        <v>9.48</v>
      </c>
      <c r="K960">
        <v>189.6</v>
      </c>
      <c r="L960" s="1">
        <v>43517</v>
      </c>
      <c r="M960" s="2">
        <v>0.50486111111111109</v>
      </c>
      <c r="N960" t="s">
        <v>33</v>
      </c>
      <c r="O960">
        <v>158</v>
      </c>
      <c r="P960">
        <v>4.7619047620000003</v>
      </c>
      <c r="Q960">
        <v>31.6</v>
      </c>
      <c r="R960">
        <v>8.19</v>
      </c>
      <c r="S960">
        <v>96.078500000000005</v>
      </c>
      <c r="T960">
        <v>19.763300000000001</v>
      </c>
    </row>
    <row r="961" spans="1:20" x14ac:dyDescent="0.3">
      <c r="A961" t="s">
        <v>1461</v>
      </c>
      <c r="B961" t="s">
        <v>21</v>
      </c>
      <c r="C961" t="s">
        <v>1462</v>
      </c>
      <c r="D961" t="s">
        <v>23</v>
      </c>
      <c r="E961" t="s">
        <v>24</v>
      </c>
      <c r="F961" t="s">
        <v>25</v>
      </c>
      <c r="G961" t="s">
        <v>63</v>
      </c>
      <c r="H961">
        <v>98.66</v>
      </c>
      <c r="I961">
        <v>13</v>
      </c>
      <c r="J961">
        <v>64.129000000000005</v>
      </c>
      <c r="K961">
        <v>1282.58</v>
      </c>
      <c r="L961" s="1">
        <v>43673</v>
      </c>
      <c r="M961" s="2">
        <v>0.62986111111111109</v>
      </c>
      <c r="N961" t="s">
        <v>33</v>
      </c>
      <c r="O961">
        <v>887.94</v>
      </c>
      <c r="P961">
        <v>4.7619047620000003</v>
      </c>
      <c r="Q961">
        <v>394.64</v>
      </c>
      <c r="R961">
        <v>8.4</v>
      </c>
      <c r="S961">
        <v>96.173500000000004</v>
      </c>
      <c r="T961">
        <v>16.840900000000001</v>
      </c>
    </row>
    <row r="962" spans="1:20" x14ac:dyDescent="0.3">
      <c r="A962" t="s">
        <v>1463</v>
      </c>
      <c r="B962" t="s">
        <v>29</v>
      </c>
      <c r="C962" t="s">
        <v>819</v>
      </c>
      <c r="D962" t="s">
        <v>31</v>
      </c>
      <c r="E962" t="s">
        <v>24</v>
      </c>
      <c r="F962" t="s">
        <v>36</v>
      </c>
      <c r="G962" t="s">
        <v>100</v>
      </c>
      <c r="H962">
        <v>91.98</v>
      </c>
      <c r="I962">
        <v>1</v>
      </c>
      <c r="J962">
        <v>4.5990000000000002</v>
      </c>
      <c r="K962">
        <v>91.98</v>
      </c>
      <c r="L962" s="1">
        <v>43655</v>
      </c>
      <c r="M962" s="2">
        <v>0.64513888888888893</v>
      </c>
      <c r="N962" t="s">
        <v>33</v>
      </c>
      <c r="O962">
        <v>91.98</v>
      </c>
      <c r="P962">
        <v>4.7619047620000003</v>
      </c>
      <c r="Q962">
        <v>0</v>
      </c>
      <c r="R962">
        <v>10</v>
      </c>
      <c r="S962">
        <v>96.078500000000005</v>
      </c>
      <c r="T962">
        <v>19.763300000000001</v>
      </c>
    </row>
    <row r="963" spans="1:20" x14ac:dyDescent="0.3">
      <c r="A963" t="s">
        <v>1464</v>
      </c>
      <c r="B963" t="s">
        <v>21</v>
      </c>
      <c r="C963" t="s">
        <v>1031</v>
      </c>
      <c r="D963" t="s">
        <v>23</v>
      </c>
      <c r="E963" t="s">
        <v>24</v>
      </c>
      <c r="F963" t="s">
        <v>36</v>
      </c>
      <c r="G963" t="s">
        <v>60</v>
      </c>
      <c r="H963">
        <v>20.89</v>
      </c>
      <c r="I963">
        <v>3</v>
      </c>
      <c r="J963">
        <v>3.1335000000000002</v>
      </c>
      <c r="K963">
        <v>62.67</v>
      </c>
      <c r="L963" s="1">
        <v>43613</v>
      </c>
      <c r="M963" s="2">
        <v>0.78125</v>
      </c>
      <c r="N963" t="s">
        <v>33</v>
      </c>
      <c r="O963">
        <v>41.78</v>
      </c>
      <c r="P963">
        <v>4.7619047620000003</v>
      </c>
      <c r="Q963">
        <v>20.89</v>
      </c>
      <c r="R963">
        <v>9.8000000000000007</v>
      </c>
      <c r="S963">
        <v>96.173500000000004</v>
      </c>
      <c r="T963">
        <v>16.840900000000001</v>
      </c>
    </row>
    <row r="964" spans="1:20" x14ac:dyDescent="0.3">
      <c r="A964" t="s">
        <v>1465</v>
      </c>
      <c r="B964" t="s">
        <v>21</v>
      </c>
      <c r="C964" t="s">
        <v>543</v>
      </c>
      <c r="D964" t="s">
        <v>23</v>
      </c>
      <c r="E964" t="s">
        <v>32</v>
      </c>
      <c r="F964" t="s">
        <v>25</v>
      </c>
      <c r="G964" t="s">
        <v>100</v>
      </c>
      <c r="H964">
        <v>15.5</v>
      </c>
      <c r="I964">
        <v>1</v>
      </c>
      <c r="J964">
        <v>0.77500000000000002</v>
      </c>
      <c r="K964">
        <v>15.5</v>
      </c>
      <c r="L964" s="1">
        <v>43648</v>
      </c>
      <c r="M964" s="2">
        <v>0.64097222222222228</v>
      </c>
      <c r="N964" t="s">
        <v>37</v>
      </c>
      <c r="O964">
        <v>15.5</v>
      </c>
      <c r="P964">
        <v>4.7619047620000003</v>
      </c>
      <c r="Q964">
        <v>0</v>
      </c>
      <c r="R964">
        <v>7.4</v>
      </c>
      <c r="S964">
        <v>96.173500000000004</v>
      </c>
      <c r="T964">
        <v>16.840900000000001</v>
      </c>
    </row>
    <row r="965" spans="1:20" x14ac:dyDescent="0.3">
      <c r="A965" t="s">
        <v>1466</v>
      </c>
      <c r="B965" t="s">
        <v>29</v>
      </c>
      <c r="C965" t="s">
        <v>1394</v>
      </c>
      <c r="D965" t="s">
        <v>31</v>
      </c>
      <c r="E965" t="s">
        <v>24</v>
      </c>
      <c r="F965" t="s">
        <v>36</v>
      </c>
      <c r="G965" t="s">
        <v>60</v>
      </c>
      <c r="H965">
        <v>96.82</v>
      </c>
      <c r="I965">
        <v>6</v>
      </c>
      <c r="J965">
        <v>29.045999999999999</v>
      </c>
      <c r="K965">
        <v>580.91999999999996</v>
      </c>
      <c r="L965" s="1">
        <v>43515</v>
      </c>
      <c r="M965" s="2">
        <v>0.85902777777777772</v>
      </c>
      <c r="N965" t="s">
        <v>33</v>
      </c>
      <c r="O965">
        <v>290.45999999999998</v>
      </c>
      <c r="P965">
        <v>4.7619047620000003</v>
      </c>
      <c r="Q965">
        <v>290.45999999999998</v>
      </c>
      <c r="R965">
        <v>7.0350000000000001</v>
      </c>
      <c r="S965">
        <v>96.078500000000005</v>
      </c>
      <c r="T965">
        <v>19.763300000000001</v>
      </c>
    </row>
    <row r="966" spans="1:20" x14ac:dyDescent="0.3">
      <c r="A966" t="s">
        <v>1467</v>
      </c>
      <c r="B966" t="s">
        <v>51</v>
      </c>
      <c r="C966" t="s">
        <v>498</v>
      </c>
      <c r="D966" t="s">
        <v>53</v>
      </c>
      <c r="E966" t="s">
        <v>32</v>
      </c>
      <c r="F966" t="s">
        <v>36</v>
      </c>
      <c r="G966" t="s">
        <v>63</v>
      </c>
      <c r="H966">
        <v>33.33</v>
      </c>
      <c r="I966">
        <v>3</v>
      </c>
      <c r="J966">
        <v>4.9995000000000003</v>
      </c>
      <c r="K966">
        <v>99.99</v>
      </c>
      <c r="L966" s="1">
        <v>43513</v>
      </c>
      <c r="M966" s="2">
        <v>0.6118055555555556</v>
      </c>
      <c r="N966" t="s">
        <v>37</v>
      </c>
      <c r="O966">
        <v>66.66</v>
      </c>
      <c r="P966">
        <v>4.7619047620000003</v>
      </c>
      <c r="Q966">
        <v>33.33</v>
      </c>
      <c r="R966">
        <v>7.68</v>
      </c>
      <c r="S966">
        <v>96.089100000000002</v>
      </c>
      <c r="T966">
        <v>21.9588</v>
      </c>
    </row>
    <row r="967" spans="1:20" x14ac:dyDescent="0.3">
      <c r="A967" t="s">
        <v>1468</v>
      </c>
      <c r="B967" t="s">
        <v>51</v>
      </c>
      <c r="C967" t="s">
        <v>514</v>
      </c>
      <c r="D967" t="s">
        <v>53</v>
      </c>
      <c r="E967" t="s">
        <v>32</v>
      </c>
      <c r="F967" t="s">
        <v>25</v>
      </c>
      <c r="G967" t="s">
        <v>100</v>
      </c>
      <c r="H967">
        <v>38.270000000000003</v>
      </c>
      <c r="I967">
        <v>3</v>
      </c>
      <c r="J967">
        <v>5.7404999999999999</v>
      </c>
      <c r="K967">
        <v>114.81</v>
      </c>
      <c r="L967" s="1">
        <v>43467</v>
      </c>
      <c r="M967" s="2">
        <v>0.76249999999999996</v>
      </c>
      <c r="N967" t="s">
        <v>37</v>
      </c>
      <c r="O967">
        <v>76.540000000000006</v>
      </c>
      <c r="P967">
        <v>4.7619047620000003</v>
      </c>
      <c r="Q967">
        <v>38.270000000000003</v>
      </c>
      <c r="R967">
        <v>6.96</v>
      </c>
      <c r="S967">
        <v>96.089100000000002</v>
      </c>
      <c r="T967">
        <v>21.9588</v>
      </c>
    </row>
    <row r="968" spans="1:20" x14ac:dyDescent="0.3">
      <c r="A968" t="s">
        <v>1469</v>
      </c>
      <c r="B968" t="s">
        <v>21</v>
      </c>
      <c r="C968" t="s">
        <v>415</v>
      </c>
      <c r="D968" t="s">
        <v>23</v>
      </c>
      <c r="E968" t="s">
        <v>32</v>
      </c>
      <c r="F968" t="s">
        <v>25</v>
      </c>
      <c r="G968" t="s">
        <v>100</v>
      </c>
      <c r="H968">
        <v>33.299999999999997</v>
      </c>
      <c r="I968">
        <v>9</v>
      </c>
      <c r="J968">
        <v>14.984999999999999</v>
      </c>
      <c r="K968">
        <v>299.7</v>
      </c>
      <c r="L968" s="1">
        <v>43622</v>
      </c>
      <c r="M968" s="2">
        <v>0.64375000000000004</v>
      </c>
      <c r="N968" t="s">
        <v>27</v>
      </c>
      <c r="O968">
        <v>299.7</v>
      </c>
      <c r="P968">
        <v>4.7619047620000003</v>
      </c>
      <c r="Q968">
        <v>0</v>
      </c>
      <c r="R968">
        <v>7.2</v>
      </c>
      <c r="S968">
        <v>96.173500000000004</v>
      </c>
      <c r="T968">
        <v>16.840900000000001</v>
      </c>
    </row>
    <row r="969" spans="1:20" x14ac:dyDescent="0.3">
      <c r="A969" t="s">
        <v>1470</v>
      </c>
      <c r="B969" t="s">
        <v>21</v>
      </c>
      <c r="C969" t="s">
        <v>1471</v>
      </c>
      <c r="D969" t="s">
        <v>23</v>
      </c>
      <c r="E969" t="s">
        <v>24</v>
      </c>
      <c r="F969" t="s">
        <v>36</v>
      </c>
      <c r="G969" t="s">
        <v>100</v>
      </c>
      <c r="H969">
        <v>81.010000000000005</v>
      </c>
      <c r="I969">
        <v>4</v>
      </c>
      <c r="J969">
        <v>16.202000000000002</v>
      </c>
      <c r="K969">
        <v>324.04000000000002</v>
      </c>
      <c r="L969" s="1">
        <v>43532</v>
      </c>
      <c r="M969" s="2">
        <v>0.53819444444444442</v>
      </c>
      <c r="N969" t="s">
        <v>37</v>
      </c>
      <c r="O969">
        <v>243.03</v>
      </c>
      <c r="P969">
        <v>4.7619047620000003</v>
      </c>
      <c r="Q969">
        <v>81.010000000000005</v>
      </c>
      <c r="R969">
        <v>9.3000000000000007</v>
      </c>
      <c r="S969">
        <v>96.173500000000004</v>
      </c>
      <c r="T969">
        <v>16.840900000000001</v>
      </c>
    </row>
    <row r="970" spans="1:20" x14ac:dyDescent="0.3">
      <c r="A970" t="s">
        <v>1472</v>
      </c>
      <c r="B970" t="s">
        <v>21</v>
      </c>
      <c r="C970" t="s">
        <v>1031</v>
      </c>
      <c r="D970" t="s">
        <v>23</v>
      </c>
      <c r="E970" t="s">
        <v>32</v>
      </c>
      <c r="F970" t="s">
        <v>25</v>
      </c>
      <c r="G970" t="s">
        <v>100</v>
      </c>
      <c r="H970">
        <v>15.8</v>
      </c>
      <c r="I970">
        <v>3</v>
      </c>
      <c r="J970">
        <v>2.37</v>
      </c>
      <c r="K970">
        <v>47.4</v>
      </c>
      <c r="L970" s="1">
        <v>43727</v>
      </c>
      <c r="M970" s="2">
        <v>0.75138888888888888</v>
      </c>
      <c r="N970" t="s">
        <v>33</v>
      </c>
      <c r="O970">
        <v>47.4</v>
      </c>
      <c r="P970">
        <v>4.7619047620000003</v>
      </c>
      <c r="Q970">
        <v>0</v>
      </c>
      <c r="R970">
        <v>9.5</v>
      </c>
      <c r="S970">
        <v>96.173500000000004</v>
      </c>
      <c r="T970">
        <v>16.840900000000001</v>
      </c>
    </row>
    <row r="971" spans="1:20" x14ac:dyDescent="0.3">
      <c r="A971" t="s">
        <v>1473</v>
      </c>
      <c r="B971" t="s">
        <v>51</v>
      </c>
      <c r="C971" t="s">
        <v>207</v>
      </c>
      <c r="D971" t="s">
        <v>53</v>
      </c>
      <c r="E971" t="s">
        <v>24</v>
      </c>
      <c r="F971" t="s">
        <v>25</v>
      </c>
      <c r="G971" t="s">
        <v>100</v>
      </c>
      <c r="H971">
        <v>34.49</v>
      </c>
      <c r="I971">
        <v>10</v>
      </c>
      <c r="J971">
        <v>17.245000000000001</v>
      </c>
      <c r="K971">
        <v>344.9</v>
      </c>
      <c r="L971" s="1">
        <v>43809</v>
      </c>
      <c r="M971" s="2">
        <v>0.82222222222222219</v>
      </c>
      <c r="N971" t="s">
        <v>37</v>
      </c>
      <c r="O971">
        <v>172.45</v>
      </c>
      <c r="P971">
        <v>4.7619047620000003</v>
      </c>
      <c r="Q971">
        <v>172.45</v>
      </c>
      <c r="R971">
        <v>10</v>
      </c>
      <c r="S971">
        <v>96.089100000000002</v>
      </c>
      <c r="T971">
        <v>21.9588</v>
      </c>
    </row>
    <row r="972" spans="1:20" x14ac:dyDescent="0.3">
      <c r="A972" t="s">
        <v>1474</v>
      </c>
      <c r="B972" t="s">
        <v>51</v>
      </c>
      <c r="C972" t="s">
        <v>821</v>
      </c>
      <c r="D972" t="s">
        <v>53</v>
      </c>
      <c r="E972" t="s">
        <v>24</v>
      </c>
      <c r="F972" t="s">
        <v>25</v>
      </c>
      <c r="G972" t="s">
        <v>63</v>
      </c>
      <c r="H972">
        <v>84.63</v>
      </c>
      <c r="I972">
        <v>20</v>
      </c>
      <c r="J972">
        <v>84.63</v>
      </c>
      <c r="K972">
        <v>1692.6</v>
      </c>
      <c r="L972" s="1">
        <v>43534</v>
      </c>
      <c r="M972" s="2">
        <v>0.48333333333333334</v>
      </c>
      <c r="N972" t="s">
        <v>37</v>
      </c>
      <c r="O972">
        <v>846.3</v>
      </c>
      <c r="P972">
        <v>4.7619047620000003</v>
      </c>
      <c r="Q972">
        <v>846.3</v>
      </c>
      <c r="R972">
        <v>10</v>
      </c>
      <c r="S972">
        <v>96.089100000000002</v>
      </c>
      <c r="T972">
        <v>21.9588</v>
      </c>
    </row>
    <row r="973" spans="1:20" x14ac:dyDescent="0.3">
      <c r="A973" t="s">
        <v>1475</v>
      </c>
      <c r="B973" t="s">
        <v>51</v>
      </c>
      <c r="C973" t="s">
        <v>385</v>
      </c>
      <c r="D973" t="s">
        <v>53</v>
      </c>
      <c r="E973" t="s">
        <v>24</v>
      </c>
      <c r="F973" t="s">
        <v>36</v>
      </c>
      <c r="G973" t="s">
        <v>77</v>
      </c>
      <c r="H973">
        <v>36.909999999999997</v>
      </c>
      <c r="I973">
        <v>14</v>
      </c>
      <c r="J973">
        <v>25.837</v>
      </c>
      <c r="K973">
        <v>516.74</v>
      </c>
      <c r="L973" s="1">
        <v>43655</v>
      </c>
      <c r="M973" s="2">
        <v>0.57708333333333328</v>
      </c>
      <c r="N973" t="s">
        <v>27</v>
      </c>
      <c r="O973">
        <v>258.37</v>
      </c>
      <c r="P973">
        <v>4.7619047620000003</v>
      </c>
      <c r="Q973">
        <v>258.37</v>
      </c>
      <c r="R973">
        <v>8.0399999999999991</v>
      </c>
      <c r="S973">
        <v>96.089100000000002</v>
      </c>
      <c r="T973">
        <v>21.9588</v>
      </c>
    </row>
    <row r="974" spans="1:20" x14ac:dyDescent="0.3">
      <c r="A974" t="s">
        <v>1476</v>
      </c>
      <c r="B974" t="s">
        <v>51</v>
      </c>
      <c r="C974" t="s">
        <v>1176</v>
      </c>
      <c r="D974" t="s">
        <v>53</v>
      </c>
      <c r="E974" t="s">
        <v>32</v>
      </c>
      <c r="F974" t="s">
        <v>36</v>
      </c>
      <c r="G974" t="s">
        <v>60</v>
      </c>
      <c r="H974">
        <v>87.08</v>
      </c>
      <c r="I974">
        <v>10</v>
      </c>
      <c r="J974">
        <v>43.54</v>
      </c>
      <c r="K974">
        <v>870.8</v>
      </c>
      <c r="L974" s="1">
        <v>43574</v>
      </c>
      <c r="M974" s="2">
        <v>0.63680555555555551</v>
      </c>
      <c r="N974" t="s">
        <v>33</v>
      </c>
      <c r="O974">
        <v>609.55999999999995</v>
      </c>
      <c r="P974">
        <v>4.7619047620000003</v>
      </c>
      <c r="Q974">
        <v>261.24</v>
      </c>
      <c r="R974">
        <v>6.6</v>
      </c>
      <c r="S974">
        <v>96.089100000000002</v>
      </c>
      <c r="T974">
        <v>21.9588</v>
      </c>
    </row>
    <row r="975" spans="1:20" x14ac:dyDescent="0.3">
      <c r="A975" t="s">
        <v>1477</v>
      </c>
      <c r="B975" t="s">
        <v>21</v>
      </c>
      <c r="C975" t="s">
        <v>1478</v>
      </c>
      <c r="D975" t="s">
        <v>23</v>
      </c>
      <c r="E975" t="s">
        <v>32</v>
      </c>
      <c r="F975" t="s">
        <v>36</v>
      </c>
      <c r="G975" t="s">
        <v>68</v>
      </c>
      <c r="H975">
        <v>80.08</v>
      </c>
      <c r="I975">
        <v>3</v>
      </c>
      <c r="J975">
        <v>12.012</v>
      </c>
      <c r="K975">
        <v>240.24</v>
      </c>
      <c r="L975" s="1">
        <v>43556</v>
      </c>
      <c r="M975" s="2">
        <v>0.64513888888888893</v>
      </c>
      <c r="N975" t="s">
        <v>33</v>
      </c>
      <c r="O975">
        <v>240.24</v>
      </c>
      <c r="P975">
        <v>4.7619047620000003</v>
      </c>
      <c r="Q975">
        <v>0</v>
      </c>
      <c r="R975">
        <v>5.4</v>
      </c>
      <c r="S975">
        <v>96.173500000000004</v>
      </c>
      <c r="T975">
        <v>16.840900000000001</v>
      </c>
    </row>
    <row r="976" spans="1:20" x14ac:dyDescent="0.3">
      <c r="A976" t="s">
        <v>1479</v>
      </c>
      <c r="B976" t="s">
        <v>29</v>
      </c>
      <c r="C976" t="s">
        <v>1480</v>
      </c>
      <c r="D976" t="s">
        <v>31</v>
      </c>
      <c r="E976" t="s">
        <v>32</v>
      </c>
      <c r="F976" t="s">
        <v>36</v>
      </c>
      <c r="G976" t="s">
        <v>68</v>
      </c>
      <c r="H976">
        <v>86.13</v>
      </c>
      <c r="I976">
        <v>2</v>
      </c>
      <c r="J976">
        <v>8.6129999999999995</v>
      </c>
      <c r="K976">
        <v>172.26</v>
      </c>
      <c r="L976" s="1">
        <v>43670</v>
      </c>
      <c r="M976" s="2">
        <v>0.74930555555555556</v>
      </c>
      <c r="N976" t="s">
        <v>33</v>
      </c>
      <c r="O976">
        <v>172.26</v>
      </c>
      <c r="P976">
        <v>4.7619047620000003</v>
      </c>
      <c r="Q976">
        <v>0</v>
      </c>
      <c r="R976">
        <v>8.61</v>
      </c>
      <c r="S976">
        <v>96.078500000000005</v>
      </c>
      <c r="T976">
        <v>19.763300000000001</v>
      </c>
    </row>
    <row r="977" spans="1:20" x14ac:dyDescent="0.3">
      <c r="A977" t="s">
        <v>1481</v>
      </c>
      <c r="B977" t="s">
        <v>51</v>
      </c>
      <c r="C977" t="s">
        <v>633</v>
      </c>
      <c r="D977" t="s">
        <v>53</v>
      </c>
      <c r="E977" t="s">
        <v>24</v>
      </c>
      <c r="F977" t="s">
        <v>36</v>
      </c>
      <c r="G977" t="s">
        <v>68</v>
      </c>
      <c r="H977">
        <v>49.92</v>
      </c>
      <c r="I977">
        <v>4</v>
      </c>
      <c r="J977">
        <v>9.984</v>
      </c>
      <c r="K977">
        <v>199.68</v>
      </c>
      <c r="L977" s="1">
        <v>43557</v>
      </c>
      <c r="M977" s="2">
        <v>0.49652777777777779</v>
      </c>
      <c r="N977" t="s">
        <v>37</v>
      </c>
      <c r="O977">
        <v>99.84</v>
      </c>
      <c r="P977">
        <v>4.7619047620000003</v>
      </c>
      <c r="Q977">
        <v>99.84</v>
      </c>
      <c r="R977">
        <v>8.4</v>
      </c>
      <c r="S977">
        <v>96.089100000000002</v>
      </c>
      <c r="T977">
        <v>21.9588</v>
      </c>
    </row>
    <row r="978" spans="1:20" x14ac:dyDescent="0.3">
      <c r="A978" t="s">
        <v>1482</v>
      </c>
      <c r="B978" t="s">
        <v>21</v>
      </c>
      <c r="C978" t="s">
        <v>1483</v>
      </c>
      <c r="D978" t="s">
        <v>23</v>
      </c>
      <c r="E978" t="s">
        <v>32</v>
      </c>
      <c r="F978" t="s">
        <v>25</v>
      </c>
      <c r="G978" t="s">
        <v>68</v>
      </c>
      <c r="H978">
        <v>74.66</v>
      </c>
      <c r="I978">
        <v>4</v>
      </c>
      <c r="J978">
        <v>14.932</v>
      </c>
      <c r="K978">
        <v>298.64</v>
      </c>
      <c r="L978" s="1">
        <v>43761</v>
      </c>
      <c r="M978" s="2">
        <v>0.44374999999999998</v>
      </c>
      <c r="N978" t="s">
        <v>33</v>
      </c>
      <c r="O978">
        <v>298.64</v>
      </c>
      <c r="P978">
        <v>4.7619047620000003</v>
      </c>
      <c r="Q978">
        <v>0</v>
      </c>
      <c r="R978">
        <v>8.5</v>
      </c>
      <c r="S978">
        <v>96.173500000000004</v>
      </c>
      <c r="T978">
        <v>16.840900000000001</v>
      </c>
    </row>
    <row r="979" spans="1:20" x14ac:dyDescent="0.3">
      <c r="A979" t="s">
        <v>1484</v>
      </c>
      <c r="B979" t="s">
        <v>51</v>
      </c>
      <c r="C979" t="s">
        <v>250</v>
      </c>
      <c r="D979" t="s">
        <v>53</v>
      </c>
      <c r="E979" t="s">
        <v>24</v>
      </c>
      <c r="F979" t="s">
        <v>36</v>
      </c>
      <c r="G979" t="s">
        <v>68</v>
      </c>
      <c r="H979">
        <v>26.6</v>
      </c>
      <c r="I979">
        <v>11</v>
      </c>
      <c r="J979">
        <v>14.63</v>
      </c>
      <c r="K979">
        <v>292.60000000000002</v>
      </c>
      <c r="L979" s="1">
        <v>43780</v>
      </c>
      <c r="M979" s="2">
        <v>0.63194444444444442</v>
      </c>
      <c r="N979" t="s">
        <v>27</v>
      </c>
      <c r="O979">
        <v>159.6</v>
      </c>
      <c r="P979">
        <v>4.7619047620000003</v>
      </c>
      <c r="Q979">
        <v>133</v>
      </c>
      <c r="R979">
        <v>5.88</v>
      </c>
      <c r="S979">
        <v>96.089100000000002</v>
      </c>
      <c r="T979">
        <v>21.9588</v>
      </c>
    </row>
    <row r="980" spans="1:20" x14ac:dyDescent="0.3">
      <c r="A980" t="s">
        <v>1485</v>
      </c>
      <c r="B980" t="s">
        <v>51</v>
      </c>
      <c r="C980" t="s">
        <v>385</v>
      </c>
      <c r="D980" t="s">
        <v>53</v>
      </c>
      <c r="E980" t="s">
        <v>32</v>
      </c>
      <c r="F980" t="s">
        <v>25</v>
      </c>
      <c r="G980" t="s">
        <v>68</v>
      </c>
      <c r="H980">
        <v>25.45</v>
      </c>
      <c r="I980">
        <v>1</v>
      </c>
      <c r="J980">
        <v>1.2725</v>
      </c>
      <c r="K980">
        <v>25.45</v>
      </c>
      <c r="L980" s="1">
        <v>43675</v>
      </c>
      <c r="M980" s="2">
        <v>0.75694444444444442</v>
      </c>
      <c r="N980" t="s">
        <v>37</v>
      </c>
      <c r="O980">
        <v>25.45</v>
      </c>
      <c r="P980">
        <v>4.7619047620000003</v>
      </c>
      <c r="Q980">
        <v>0</v>
      </c>
      <c r="R980">
        <v>6.12</v>
      </c>
      <c r="S980">
        <v>96.089100000000002</v>
      </c>
      <c r="T980">
        <v>21.9588</v>
      </c>
    </row>
    <row r="981" spans="1:20" x14ac:dyDescent="0.3">
      <c r="A981" t="s">
        <v>1486</v>
      </c>
      <c r="B981" t="s">
        <v>51</v>
      </c>
      <c r="C981" t="s">
        <v>859</v>
      </c>
      <c r="D981" t="s">
        <v>53</v>
      </c>
      <c r="E981" t="s">
        <v>32</v>
      </c>
      <c r="F981" t="s">
        <v>25</v>
      </c>
      <c r="G981" t="s">
        <v>68</v>
      </c>
      <c r="H981">
        <v>67.77</v>
      </c>
      <c r="I981">
        <v>1</v>
      </c>
      <c r="J981">
        <v>3.3885000000000001</v>
      </c>
      <c r="K981">
        <v>67.77</v>
      </c>
      <c r="L981" s="1">
        <v>43801</v>
      </c>
      <c r="M981" s="2">
        <v>0.86319444444444449</v>
      </c>
      <c r="N981" t="s">
        <v>37</v>
      </c>
      <c r="O981">
        <v>67.77</v>
      </c>
      <c r="P981">
        <v>4.7619047620000003</v>
      </c>
      <c r="Q981">
        <v>0</v>
      </c>
      <c r="R981">
        <v>7.8</v>
      </c>
      <c r="S981">
        <v>96.089100000000002</v>
      </c>
      <c r="T981">
        <v>21.9588</v>
      </c>
    </row>
    <row r="982" spans="1:20" x14ac:dyDescent="0.3">
      <c r="A982" t="s">
        <v>1487</v>
      </c>
      <c r="B982" t="s">
        <v>29</v>
      </c>
      <c r="C982" t="s">
        <v>143</v>
      </c>
      <c r="D982" t="s">
        <v>31</v>
      </c>
      <c r="E982" t="s">
        <v>24</v>
      </c>
      <c r="F982" t="s">
        <v>36</v>
      </c>
      <c r="G982" t="s">
        <v>68</v>
      </c>
      <c r="H982">
        <v>59.59</v>
      </c>
      <c r="I982">
        <v>7</v>
      </c>
      <c r="J982">
        <v>20.8565</v>
      </c>
      <c r="K982">
        <v>417.13</v>
      </c>
      <c r="L982" s="1">
        <v>43595</v>
      </c>
      <c r="M982" s="2">
        <v>0.53194444444444444</v>
      </c>
      <c r="N982" t="s">
        <v>33</v>
      </c>
      <c r="O982">
        <v>238.36</v>
      </c>
      <c r="P982">
        <v>4.7619047620000003</v>
      </c>
      <c r="Q982">
        <v>178.77</v>
      </c>
      <c r="R982">
        <v>10</v>
      </c>
      <c r="S982">
        <v>96.078500000000005</v>
      </c>
      <c r="T982">
        <v>19.763300000000001</v>
      </c>
    </row>
    <row r="983" spans="1:20" x14ac:dyDescent="0.3">
      <c r="A983" t="s">
        <v>1488</v>
      </c>
      <c r="B983" t="s">
        <v>21</v>
      </c>
      <c r="C983" t="s">
        <v>1294</v>
      </c>
      <c r="D983" t="s">
        <v>23</v>
      </c>
      <c r="E983" t="s">
        <v>32</v>
      </c>
      <c r="F983" t="s">
        <v>36</v>
      </c>
      <c r="G983" t="s">
        <v>68</v>
      </c>
      <c r="H983">
        <v>58.15</v>
      </c>
      <c r="I983">
        <v>4</v>
      </c>
      <c r="J983">
        <v>11.63</v>
      </c>
      <c r="K983">
        <v>232.6</v>
      </c>
      <c r="L983" s="1">
        <v>43563</v>
      </c>
      <c r="M983" s="2">
        <v>0.73888888888888893</v>
      </c>
      <c r="N983" t="s">
        <v>33</v>
      </c>
      <c r="O983">
        <v>232.6</v>
      </c>
      <c r="P983">
        <v>4.7619047620000003</v>
      </c>
      <c r="Q983">
        <v>0</v>
      </c>
      <c r="R983">
        <v>8.4</v>
      </c>
      <c r="S983">
        <v>96.173500000000004</v>
      </c>
      <c r="T983">
        <v>16.840900000000001</v>
      </c>
    </row>
    <row r="984" spans="1:20" x14ac:dyDescent="0.3">
      <c r="A984" t="s">
        <v>1489</v>
      </c>
      <c r="B984" t="s">
        <v>21</v>
      </c>
      <c r="C984" t="s">
        <v>1490</v>
      </c>
      <c r="D984" t="s">
        <v>23</v>
      </c>
      <c r="E984" t="s">
        <v>24</v>
      </c>
      <c r="F984" t="s">
        <v>25</v>
      </c>
      <c r="G984" t="s">
        <v>68</v>
      </c>
      <c r="H984">
        <v>97.48</v>
      </c>
      <c r="I984">
        <v>13</v>
      </c>
      <c r="J984">
        <v>63.362000000000002</v>
      </c>
      <c r="K984">
        <v>1267.24</v>
      </c>
      <c r="L984" s="1">
        <v>43571</v>
      </c>
      <c r="M984" s="2">
        <v>0.59652777777777777</v>
      </c>
      <c r="N984" t="s">
        <v>27</v>
      </c>
      <c r="O984">
        <v>877.32</v>
      </c>
      <c r="P984">
        <v>4.7619047620000003</v>
      </c>
      <c r="Q984">
        <v>389.92</v>
      </c>
      <c r="R984">
        <v>7.4</v>
      </c>
      <c r="S984">
        <v>96.173500000000004</v>
      </c>
      <c r="T984">
        <v>16.840900000000001</v>
      </c>
    </row>
    <row r="985" spans="1:20" x14ac:dyDescent="0.3">
      <c r="A985" t="s">
        <v>1491</v>
      </c>
      <c r="B985" t="s">
        <v>29</v>
      </c>
      <c r="C985" t="s">
        <v>1242</v>
      </c>
      <c r="D985" t="s">
        <v>31</v>
      </c>
      <c r="E985" t="s">
        <v>32</v>
      </c>
      <c r="F985" t="s">
        <v>36</v>
      </c>
      <c r="G985" t="s">
        <v>26</v>
      </c>
      <c r="H985">
        <v>99.96</v>
      </c>
      <c r="I985">
        <v>8</v>
      </c>
      <c r="J985">
        <v>39.984000000000002</v>
      </c>
      <c r="K985">
        <v>799.68</v>
      </c>
      <c r="L985" s="1">
        <v>43758</v>
      </c>
      <c r="M985" s="2">
        <v>0.43958333333333333</v>
      </c>
      <c r="N985" t="s">
        <v>33</v>
      </c>
      <c r="O985">
        <v>699.72</v>
      </c>
      <c r="P985">
        <v>4.7619047620000003</v>
      </c>
      <c r="Q985">
        <v>99.96</v>
      </c>
      <c r="R985">
        <v>6.4050000000000002</v>
      </c>
      <c r="S985">
        <v>96.078500000000005</v>
      </c>
      <c r="T985">
        <v>19.763300000000001</v>
      </c>
    </row>
    <row r="986" spans="1:20" x14ac:dyDescent="0.3">
      <c r="A986" t="s">
        <v>1492</v>
      </c>
      <c r="B986" t="s">
        <v>29</v>
      </c>
      <c r="C986" t="s">
        <v>1493</v>
      </c>
      <c r="D986" t="s">
        <v>31</v>
      </c>
      <c r="E986" t="s">
        <v>32</v>
      </c>
      <c r="F986" t="s">
        <v>36</v>
      </c>
      <c r="G986" t="s">
        <v>60</v>
      </c>
      <c r="H986">
        <v>96.37</v>
      </c>
      <c r="I986">
        <v>8</v>
      </c>
      <c r="J986">
        <v>38.548000000000002</v>
      </c>
      <c r="K986">
        <v>770.96</v>
      </c>
      <c r="L986" s="1">
        <v>43644</v>
      </c>
      <c r="M986" s="2">
        <v>0.4861111111111111</v>
      </c>
      <c r="N986" t="s">
        <v>33</v>
      </c>
      <c r="O986">
        <v>674.59</v>
      </c>
      <c r="P986">
        <v>4.7619047620000003</v>
      </c>
      <c r="Q986">
        <v>96.37</v>
      </c>
      <c r="R986">
        <v>6.3</v>
      </c>
      <c r="S986">
        <v>96.078500000000005</v>
      </c>
      <c r="T986">
        <v>19.763300000000001</v>
      </c>
    </row>
    <row r="987" spans="1:20" x14ac:dyDescent="0.3">
      <c r="A987" t="s">
        <v>1494</v>
      </c>
      <c r="B987" t="s">
        <v>51</v>
      </c>
      <c r="C987" t="s">
        <v>104</v>
      </c>
      <c r="D987" t="s">
        <v>53</v>
      </c>
      <c r="E987" t="s">
        <v>32</v>
      </c>
      <c r="F987" t="s">
        <v>25</v>
      </c>
      <c r="G987" t="s">
        <v>100</v>
      </c>
      <c r="H987">
        <v>63.71</v>
      </c>
      <c r="I987">
        <v>7</v>
      </c>
      <c r="J987">
        <v>22.298500000000001</v>
      </c>
      <c r="K987">
        <v>445.97</v>
      </c>
      <c r="L987" s="1">
        <v>43693</v>
      </c>
      <c r="M987" s="2">
        <v>0.8125</v>
      </c>
      <c r="N987" t="s">
        <v>27</v>
      </c>
      <c r="O987">
        <v>318.55</v>
      </c>
      <c r="P987">
        <v>4.7619047620000003</v>
      </c>
      <c r="Q987">
        <v>127.42</v>
      </c>
      <c r="R987">
        <v>10</v>
      </c>
      <c r="S987">
        <v>96.089100000000002</v>
      </c>
      <c r="T987">
        <v>21.9588</v>
      </c>
    </row>
    <row r="988" spans="1:20" x14ac:dyDescent="0.3">
      <c r="A988" t="s">
        <v>1495</v>
      </c>
      <c r="B988" t="s">
        <v>51</v>
      </c>
      <c r="C988" t="s">
        <v>1423</v>
      </c>
      <c r="D988" t="s">
        <v>53</v>
      </c>
      <c r="E988" t="s">
        <v>32</v>
      </c>
      <c r="F988" t="s">
        <v>25</v>
      </c>
      <c r="G988" t="s">
        <v>26</v>
      </c>
      <c r="H988">
        <v>14.76</v>
      </c>
      <c r="I988">
        <v>3</v>
      </c>
      <c r="J988">
        <v>2.214</v>
      </c>
      <c r="K988">
        <v>44.28</v>
      </c>
      <c r="L988" s="1">
        <v>43796</v>
      </c>
      <c r="M988" s="2">
        <v>0.61250000000000004</v>
      </c>
      <c r="N988" t="s">
        <v>27</v>
      </c>
      <c r="O988">
        <v>29.52</v>
      </c>
      <c r="P988">
        <v>4.7619047620000003</v>
      </c>
      <c r="Q988">
        <v>14.76</v>
      </c>
      <c r="R988">
        <v>5.16</v>
      </c>
      <c r="S988">
        <v>96.089100000000002</v>
      </c>
      <c r="T988">
        <v>21.9588</v>
      </c>
    </row>
    <row r="989" spans="1:20" x14ac:dyDescent="0.3">
      <c r="A989" t="s">
        <v>1496</v>
      </c>
      <c r="B989" t="s">
        <v>51</v>
      </c>
      <c r="C989" t="s">
        <v>948</v>
      </c>
      <c r="D989" t="s">
        <v>53</v>
      </c>
      <c r="E989" t="s">
        <v>24</v>
      </c>
      <c r="F989" t="s">
        <v>36</v>
      </c>
      <c r="G989" t="s">
        <v>26</v>
      </c>
      <c r="H989">
        <v>62</v>
      </c>
      <c r="I989">
        <v>15</v>
      </c>
      <c r="J989">
        <v>46.5</v>
      </c>
      <c r="K989">
        <v>930</v>
      </c>
      <c r="L989" s="1">
        <v>43651</v>
      </c>
      <c r="M989" s="2">
        <v>0.79722222222222228</v>
      </c>
      <c r="N989" t="s">
        <v>37</v>
      </c>
      <c r="O989">
        <v>496</v>
      </c>
      <c r="P989">
        <v>4.7619047620000003</v>
      </c>
      <c r="Q989">
        <v>434</v>
      </c>
      <c r="R989">
        <v>7.44</v>
      </c>
      <c r="S989">
        <v>96.089100000000002</v>
      </c>
      <c r="T989">
        <v>21.9588</v>
      </c>
    </row>
    <row r="990" spans="1:20" x14ac:dyDescent="0.3">
      <c r="A990" t="s">
        <v>1497</v>
      </c>
      <c r="B990" t="s">
        <v>29</v>
      </c>
      <c r="C990" t="s">
        <v>147</v>
      </c>
      <c r="D990" t="s">
        <v>31</v>
      </c>
      <c r="E990" t="s">
        <v>24</v>
      </c>
      <c r="F990" t="s">
        <v>36</v>
      </c>
      <c r="G990" t="s">
        <v>100</v>
      </c>
      <c r="H990">
        <v>82.34</v>
      </c>
      <c r="I990">
        <v>17</v>
      </c>
      <c r="J990">
        <v>69.989000000000004</v>
      </c>
      <c r="K990">
        <v>1399.78</v>
      </c>
      <c r="L990" s="1">
        <v>43497</v>
      </c>
      <c r="M990" s="2">
        <v>0.8</v>
      </c>
      <c r="N990" t="s">
        <v>27</v>
      </c>
      <c r="O990">
        <v>823.4</v>
      </c>
      <c r="P990">
        <v>4.7619047620000003</v>
      </c>
      <c r="Q990">
        <v>576.38</v>
      </c>
      <c r="R990">
        <v>4.5149999999999997</v>
      </c>
      <c r="S990">
        <v>96.078500000000005</v>
      </c>
      <c r="T990">
        <v>19.763300000000001</v>
      </c>
    </row>
    <row r="991" spans="1:20" x14ac:dyDescent="0.3">
      <c r="A991" t="s">
        <v>1498</v>
      </c>
      <c r="B991" t="s">
        <v>51</v>
      </c>
      <c r="C991" t="s">
        <v>1219</v>
      </c>
      <c r="D991" t="s">
        <v>53</v>
      </c>
      <c r="E991" t="s">
        <v>24</v>
      </c>
      <c r="F991" t="s">
        <v>36</v>
      </c>
      <c r="G991" t="s">
        <v>100</v>
      </c>
      <c r="H991">
        <v>75.37</v>
      </c>
      <c r="I991">
        <v>15</v>
      </c>
      <c r="J991">
        <v>56.527500000000003</v>
      </c>
      <c r="K991">
        <v>1130.55</v>
      </c>
      <c r="L991" s="1">
        <v>43820</v>
      </c>
      <c r="M991" s="2">
        <v>0.65694444444444444</v>
      </c>
      <c r="N991" t="s">
        <v>37</v>
      </c>
      <c r="O991">
        <v>602.96</v>
      </c>
      <c r="P991">
        <v>4.7619047620000003</v>
      </c>
      <c r="Q991">
        <v>527.59</v>
      </c>
      <c r="R991">
        <v>10</v>
      </c>
      <c r="S991">
        <v>96.089100000000002</v>
      </c>
      <c r="T991">
        <v>21.9588</v>
      </c>
    </row>
    <row r="992" spans="1:20" x14ac:dyDescent="0.3">
      <c r="A992" t="s">
        <v>1499</v>
      </c>
      <c r="B992" t="s">
        <v>21</v>
      </c>
      <c r="C992" t="s">
        <v>87</v>
      </c>
      <c r="D992" t="s">
        <v>23</v>
      </c>
      <c r="E992" t="s">
        <v>32</v>
      </c>
      <c r="F992" t="s">
        <v>25</v>
      </c>
      <c r="G992" t="s">
        <v>100</v>
      </c>
      <c r="H992">
        <v>56.56</v>
      </c>
      <c r="I992">
        <v>5</v>
      </c>
      <c r="J992">
        <v>14.14</v>
      </c>
      <c r="K992">
        <v>282.8</v>
      </c>
      <c r="L992" s="1">
        <v>43692</v>
      </c>
      <c r="M992" s="2">
        <v>0.79583333333333328</v>
      </c>
      <c r="N992" t="s">
        <v>37</v>
      </c>
      <c r="O992">
        <v>282.8</v>
      </c>
      <c r="P992">
        <v>4.7619047620000003</v>
      </c>
      <c r="Q992">
        <v>0</v>
      </c>
      <c r="R992">
        <v>4.5</v>
      </c>
      <c r="S992">
        <v>96.173500000000004</v>
      </c>
      <c r="T992">
        <v>16.840900000000001</v>
      </c>
    </row>
    <row r="993" spans="1:20" x14ac:dyDescent="0.3">
      <c r="A993" t="s">
        <v>1500</v>
      </c>
      <c r="B993" t="s">
        <v>51</v>
      </c>
      <c r="C993" t="s">
        <v>1258</v>
      </c>
      <c r="D993" t="s">
        <v>53</v>
      </c>
      <c r="E993" t="s">
        <v>32</v>
      </c>
      <c r="F993" t="s">
        <v>25</v>
      </c>
      <c r="G993" t="s">
        <v>100</v>
      </c>
      <c r="H993">
        <v>76.599999999999994</v>
      </c>
      <c r="I993">
        <v>14</v>
      </c>
      <c r="J993">
        <v>53.62</v>
      </c>
      <c r="K993">
        <v>1072.4000000000001</v>
      </c>
      <c r="L993" s="1">
        <v>43766</v>
      </c>
      <c r="M993" s="2">
        <v>0.75694444444444442</v>
      </c>
      <c r="N993" t="s">
        <v>27</v>
      </c>
      <c r="O993">
        <v>766</v>
      </c>
      <c r="P993">
        <v>4.7619047620000003</v>
      </c>
      <c r="Q993">
        <v>306.39999999999998</v>
      </c>
      <c r="R993">
        <v>7.2</v>
      </c>
      <c r="S993">
        <v>96.089100000000002</v>
      </c>
      <c r="T993">
        <v>21.9588</v>
      </c>
    </row>
    <row r="994" spans="1:20" x14ac:dyDescent="0.3">
      <c r="A994" t="s">
        <v>1501</v>
      </c>
      <c r="B994" t="s">
        <v>21</v>
      </c>
      <c r="C994" t="s">
        <v>736</v>
      </c>
      <c r="D994" t="s">
        <v>23</v>
      </c>
      <c r="E994" t="s">
        <v>32</v>
      </c>
      <c r="F994" t="s">
        <v>36</v>
      </c>
      <c r="G994" t="s">
        <v>100</v>
      </c>
      <c r="H994">
        <v>58.03</v>
      </c>
      <c r="I994">
        <v>2</v>
      </c>
      <c r="J994">
        <v>5.8029999999999999</v>
      </c>
      <c r="K994">
        <v>116.06</v>
      </c>
      <c r="L994" s="1">
        <v>43512</v>
      </c>
      <c r="M994" s="2">
        <v>0.86527777777777781</v>
      </c>
      <c r="N994" t="s">
        <v>27</v>
      </c>
      <c r="O994">
        <v>116.06</v>
      </c>
      <c r="P994">
        <v>4.7619047620000003</v>
      </c>
      <c r="Q994">
        <v>0</v>
      </c>
      <c r="R994">
        <v>8.8000000000000007</v>
      </c>
      <c r="S994">
        <v>96.173500000000004</v>
      </c>
      <c r="T994">
        <v>16.840900000000001</v>
      </c>
    </row>
    <row r="995" spans="1:20" x14ac:dyDescent="0.3">
      <c r="A995" t="s">
        <v>1502</v>
      </c>
      <c r="B995" t="s">
        <v>51</v>
      </c>
      <c r="C995" t="s">
        <v>803</v>
      </c>
      <c r="D995" t="s">
        <v>53</v>
      </c>
      <c r="E995" t="s">
        <v>32</v>
      </c>
      <c r="F995" t="s">
        <v>36</v>
      </c>
      <c r="G995" t="s">
        <v>100</v>
      </c>
      <c r="H995">
        <v>17.489999999999998</v>
      </c>
      <c r="I995">
        <v>14</v>
      </c>
      <c r="J995">
        <v>12.243</v>
      </c>
      <c r="K995">
        <v>244.86</v>
      </c>
      <c r="L995" s="1">
        <v>43494</v>
      </c>
      <c r="M995" s="2">
        <v>0.77430555555555558</v>
      </c>
      <c r="N995" t="s">
        <v>27</v>
      </c>
      <c r="O995">
        <v>174.9</v>
      </c>
      <c r="P995">
        <v>4.7619047620000003</v>
      </c>
      <c r="Q995">
        <v>69.959999999999994</v>
      </c>
      <c r="R995">
        <v>7.92</v>
      </c>
      <c r="S995">
        <v>96.089100000000002</v>
      </c>
      <c r="T995">
        <v>21.9588</v>
      </c>
    </row>
    <row r="996" spans="1:20" x14ac:dyDescent="0.3">
      <c r="A996" t="s">
        <v>1503</v>
      </c>
      <c r="B996" t="s">
        <v>29</v>
      </c>
      <c r="C996" t="s">
        <v>670</v>
      </c>
      <c r="D996" t="s">
        <v>31</v>
      </c>
      <c r="E996" t="s">
        <v>24</v>
      </c>
      <c r="F996" t="s">
        <v>25</v>
      </c>
      <c r="G996" t="s">
        <v>100</v>
      </c>
      <c r="H996">
        <v>60.95</v>
      </c>
      <c r="I996">
        <v>1</v>
      </c>
      <c r="J996">
        <v>3.0474999999999999</v>
      </c>
      <c r="K996">
        <v>60.95</v>
      </c>
      <c r="L996" s="1">
        <v>43724</v>
      </c>
      <c r="M996" s="2">
        <v>0.4861111111111111</v>
      </c>
      <c r="N996" t="s">
        <v>27</v>
      </c>
      <c r="O996">
        <v>60.95</v>
      </c>
      <c r="P996">
        <v>4.7619047620000003</v>
      </c>
      <c r="Q996">
        <v>0</v>
      </c>
      <c r="R996">
        <v>6.1950000000000003</v>
      </c>
      <c r="S996">
        <v>96.078500000000005</v>
      </c>
      <c r="T996">
        <v>19.763300000000001</v>
      </c>
    </row>
    <row r="997" spans="1:20" x14ac:dyDescent="0.3">
      <c r="A997" t="s">
        <v>1504</v>
      </c>
      <c r="B997" t="s">
        <v>29</v>
      </c>
      <c r="C997" t="s">
        <v>1285</v>
      </c>
      <c r="D997" t="s">
        <v>31</v>
      </c>
      <c r="E997" t="s">
        <v>32</v>
      </c>
      <c r="F997" t="s">
        <v>36</v>
      </c>
      <c r="G997" t="s">
        <v>100</v>
      </c>
      <c r="H997">
        <v>40.35</v>
      </c>
      <c r="I997">
        <v>1</v>
      </c>
      <c r="J997">
        <v>2.0175000000000001</v>
      </c>
      <c r="K997">
        <v>40.35</v>
      </c>
      <c r="L997" s="1">
        <v>43740</v>
      </c>
      <c r="M997" s="2">
        <v>0.57361111111111107</v>
      </c>
      <c r="N997" t="s">
        <v>27</v>
      </c>
      <c r="O997">
        <v>40.35</v>
      </c>
      <c r="P997">
        <v>4.7619047620000003</v>
      </c>
      <c r="Q997">
        <v>0</v>
      </c>
      <c r="R997">
        <v>6.51</v>
      </c>
      <c r="S997">
        <v>96.078500000000005</v>
      </c>
      <c r="T997">
        <v>19.763300000000001</v>
      </c>
    </row>
    <row r="998" spans="1:20" x14ac:dyDescent="0.3">
      <c r="A998" t="s">
        <v>1505</v>
      </c>
      <c r="B998" t="s">
        <v>51</v>
      </c>
      <c r="C998" t="s">
        <v>665</v>
      </c>
      <c r="D998" t="s">
        <v>53</v>
      </c>
      <c r="E998" t="s">
        <v>32</v>
      </c>
      <c r="F998" t="s">
        <v>25</v>
      </c>
      <c r="G998" t="s">
        <v>100</v>
      </c>
      <c r="H998">
        <v>97.38</v>
      </c>
      <c r="I998">
        <v>14</v>
      </c>
      <c r="J998">
        <v>68.165999999999997</v>
      </c>
      <c r="K998">
        <v>1363.32</v>
      </c>
      <c r="L998" s="1">
        <v>43828</v>
      </c>
      <c r="M998" s="2">
        <v>0.71944444444444444</v>
      </c>
      <c r="N998" t="s">
        <v>27</v>
      </c>
      <c r="O998">
        <v>973.8</v>
      </c>
      <c r="P998">
        <v>4.7619047620000003</v>
      </c>
      <c r="Q998">
        <v>389.52</v>
      </c>
      <c r="R998">
        <v>5.28</v>
      </c>
      <c r="S998">
        <v>96.089100000000002</v>
      </c>
      <c r="T998">
        <v>21.9588</v>
      </c>
    </row>
    <row r="999" spans="1:20" x14ac:dyDescent="0.3">
      <c r="A999" t="s">
        <v>1506</v>
      </c>
      <c r="B999" t="s">
        <v>21</v>
      </c>
      <c r="C999" t="s">
        <v>1507</v>
      </c>
      <c r="D999" t="s">
        <v>23</v>
      </c>
      <c r="E999" t="s">
        <v>24</v>
      </c>
      <c r="F999" t="s">
        <v>36</v>
      </c>
      <c r="G999" t="s">
        <v>100</v>
      </c>
      <c r="H999">
        <v>31.84</v>
      </c>
      <c r="I999">
        <v>1</v>
      </c>
      <c r="J999">
        <v>1.5920000000000001</v>
      </c>
      <c r="K999">
        <v>31.84</v>
      </c>
      <c r="L999" s="1">
        <v>43481</v>
      </c>
      <c r="M999" s="2">
        <v>0.55694444444444446</v>
      </c>
      <c r="N999" t="s">
        <v>33</v>
      </c>
      <c r="O999">
        <v>31.84</v>
      </c>
      <c r="P999">
        <v>4.7619047620000003</v>
      </c>
      <c r="Q999">
        <v>0</v>
      </c>
      <c r="R999">
        <v>7.7</v>
      </c>
      <c r="S999">
        <v>96.173500000000004</v>
      </c>
      <c r="T999">
        <v>16.840900000000001</v>
      </c>
    </row>
    <row r="1000" spans="1:20" x14ac:dyDescent="0.3">
      <c r="A1000" t="s">
        <v>1508</v>
      </c>
      <c r="B1000" t="s">
        <v>21</v>
      </c>
      <c r="C1000" t="s">
        <v>714</v>
      </c>
      <c r="D1000" t="s">
        <v>23</v>
      </c>
      <c r="E1000" t="s">
        <v>32</v>
      </c>
      <c r="F1000" t="s">
        <v>36</v>
      </c>
      <c r="G1000" t="s">
        <v>100</v>
      </c>
      <c r="H1000">
        <v>65.819999999999993</v>
      </c>
      <c r="I1000">
        <v>1</v>
      </c>
      <c r="J1000">
        <v>3.2909999999999999</v>
      </c>
      <c r="K1000">
        <v>65.819999999999993</v>
      </c>
      <c r="L1000" s="1">
        <v>43545</v>
      </c>
      <c r="M1000" s="2">
        <v>0.6479166666666667</v>
      </c>
      <c r="N1000" t="s">
        <v>33</v>
      </c>
      <c r="O1000">
        <v>65.819999999999993</v>
      </c>
      <c r="P1000">
        <v>4.7619047620000003</v>
      </c>
      <c r="Q1000">
        <v>0</v>
      </c>
      <c r="R1000">
        <v>4.0999999999999996</v>
      </c>
      <c r="S1000">
        <v>96.173500000000004</v>
      </c>
      <c r="T1000">
        <v>16.840900000000001</v>
      </c>
    </row>
    <row r="1001" spans="1:20" x14ac:dyDescent="0.3">
      <c r="A1001" t="s">
        <v>1509</v>
      </c>
      <c r="B1001" t="s">
        <v>21</v>
      </c>
      <c r="C1001" t="s">
        <v>326</v>
      </c>
      <c r="D1001" t="s">
        <v>23</v>
      </c>
      <c r="E1001" t="s">
        <v>24</v>
      </c>
      <c r="F1001" t="s">
        <v>25</v>
      </c>
      <c r="G1001" t="s">
        <v>100</v>
      </c>
      <c r="H1001">
        <v>88.34</v>
      </c>
      <c r="I1001">
        <v>10</v>
      </c>
      <c r="J1001">
        <v>44.17</v>
      </c>
      <c r="K1001">
        <v>883.4</v>
      </c>
      <c r="L1001" s="1">
        <v>43749</v>
      </c>
      <c r="M1001" s="2">
        <v>0.56111111111111112</v>
      </c>
      <c r="N1001" t="s">
        <v>33</v>
      </c>
      <c r="O1001">
        <v>618.38</v>
      </c>
      <c r="P1001">
        <v>4.7619047620000003</v>
      </c>
      <c r="Q1001">
        <v>265.02</v>
      </c>
      <c r="R1001">
        <v>6.6</v>
      </c>
      <c r="S1001">
        <v>96.173500000000004</v>
      </c>
      <c r="T1001">
        <v>16.840900000000001</v>
      </c>
    </row>
  </sheetData>
  <autoFilter ref="A1:T1001" xr:uid="{EF05BC5C-29AB-412E-B8E3-281C006ECBCE}"/>
  <mergeCells count="2">
    <mergeCell ref="V11:W11"/>
    <mergeCell ref="Y10:Z10"/>
  </mergeCells>
  <conditionalFormatting sqref="F31:F41 E1:E1048576 F108:F114 F182:F185 F250:F252">
    <cfRule type="duplicateValues" priority="2"/>
  </conditionalFormatting>
  <conditionalFormatting sqref="Z29:Z30">
    <cfRule type="duplicateValues"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C4590-AC53-4AF4-8D61-9C273D19ED73}">
  <dimension ref="A1:T1001"/>
  <sheetViews>
    <sheetView tabSelected="1" topLeftCell="A2" workbookViewId="0">
      <selection activeCell="D20" sqref="D20"/>
    </sheetView>
  </sheetViews>
  <sheetFormatPr defaultColWidth="11.44140625" defaultRowHeight="14.4" x14ac:dyDescent="0.3"/>
  <cols>
    <col min="1" max="1" width="12.6640625" customWidth="1"/>
    <col min="2" max="2" width="9" bestFit="1" customWidth="1"/>
    <col min="3" max="3" width="13" bestFit="1" customWidth="1"/>
    <col min="4" max="4" width="9.21875" bestFit="1" customWidth="1"/>
    <col min="5" max="5" width="15.6640625" bestFit="1" customWidth="1"/>
    <col min="6" max="6" width="9.33203125" bestFit="1" customWidth="1"/>
    <col min="7" max="7" width="19.44140625" bestFit="1" customWidth="1"/>
    <col min="8" max="8" width="11.33203125" bestFit="1" customWidth="1"/>
    <col min="9" max="9" width="10.33203125" bestFit="1" customWidth="1"/>
    <col min="10" max="10" width="8.88671875" bestFit="1" customWidth="1"/>
    <col min="11" max="11" width="8" bestFit="1" customWidth="1"/>
    <col min="12" max="12" width="10.33203125" bestFit="1" customWidth="1"/>
    <col min="13" max="13" width="7.33203125" bestFit="1" customWidth="1"/>
    <col min="14" max="14" width="10.5546875" bestFit="1" customWidth="1"/>
    <col min="15" max="15" width="12" bestFit="1" customWidth="1"/>
    <col min="16" max="16" width="23.88671875" bestFit="1" customWidth="1"/>
    <col min="17" max="17" width="14.5546875" bestFit="1" customWidth="1"/>
    <col min="18" max="18" width="8.44140625" bestFit="1" customWidth="1"/>
    <col min="19" max="19" width="11.33203125" bestFit="1" customWidth="1"/>
    <col min="20" max="20" width="10.109375" bestFit="1" customWidth="1"/>
  </cols>
  <sheetData>
    <row r="1" spans="1:20" x14ac:dyDescent="0.3">
      <c r="A1" s="12" t="s">
        <v>0</v>
      </c>
      <c r="B1" s="12" t="s">
        <v>1</v>
      </c>
      <c r="C1" s="12" t="s">
        <v>1528</v>
      </c>
      <c r="D1" s="12" t="s">
        <v>3</v>
      </c>
      <c r="E1" s="12" t="s">
        <v>1522</v>
      </c>
      <c r="F1" s="12" t="s">
        <v>5</v>
      </c>
      <c r="G1" s="12" t="s">
        <v>1523</v>
      </c>
      <c r="H1" s="12" t="s">
        <v>1524</v>
      </c>
      <c r="I1" s="12" t="s">
        <v>8</v>
      </c>
      <c r="J1" s="12" t="s">
        <v>9</v>
      </c>
      <c r="K1" s="12" t="s">
        <v>10</v>
      </c>
      <c r="L1" s="12" t="s">
        <v>11</v>
      </c>
      <c r="M1" s="12" t="s">
        <v>12</v>
      </c>
      <c r="N1" s="12" t="s">
        <v>13</v>
      </c>
      <c r="O1" s="12" t="s">
        <v>1525</v>
      </c>
      <c r="P1" s="12" t="s">
        <v>1526</v>
      </c>
      <c r="Q1" s="12" t="s">
        <v>1527</v>
      </c>
      <c r="R1" s="12" t="s">
        <v>17</v>
      </c>
      <c r="S1" s="12" t="s">
        <v>18</v>
      </c>
      <c r="T1" s="12" t="s">
        <v>19</v>
      </c>
    </row>
    <row r="2" spans="1:20" x14ac:dyDescent="0.3">
      <c r="A2" t="s">
        <v>20</v>
      </c>
      <c r="B2" t="s">
        <v>21</v>
      </c>
      <c r="C2" t="s">
        <v>22</v>
      </c>
      <c r="D2" t="s">
        <v>23</v>
      </c>
      <c r="E2" t="s">
        <v>24</v>
      </c>
      <c r="F2" t="s">
        <v>25</v>
      </c>
      <c r="G2" t="s">
        <v>26</v>
      </c>
      <c r="H2">
        <v>74.69</v>
      </c>
      <c r="I2">
        <v>10</v>
      </c>
      <c r="J2">
        <v>37.344999999999999</v>
      </c>
      <c r="K2">
        <v>746.9</v>
      </c>
      <c r="L2" s="1">
        <v>43517</v>
      </c>
      <c r="M2" s="2">
        <v>0.54722222222222228</v>
      </c>
      <c r="N2" t="s">
        <v>27</v>
      </c>
      <c r="O2">
        <v>711.33333330000005</v>
      </c>
      <c r="P2">
        <v>4.7619047620000003</v>
      </c>
      <c r="Q2">
        <v>35.566666669999996</v>
      </c>
      <c r="R2">
        <v>9.1</v>
      </c>
      <c r="S2">
        <v>96.173500000000004</v>
      </c>
      <c r="T2">
        <v>16.840900000000001</v>
      </c>
    </row>
    <row r="3" spans="1:20" x14ac:dyDescent="0.3">
      <c r="A3" t="s">
        <v>28</v>
      </c>
      <c r="B3" t="s">
        <v>29</v>
      </c>
      <c r="C3" t="s">
        <v>30</v>
      </c>
      <c r="D3" t="s">
        <v>31</v>
      </c>
      <c r="E3" t="s">
        <v>32</v>
      </c>
      <c r="F3" t="s">
        <v>25</v>
      </c>
      <c r="G3" t="s">
        <v>26</v>
      </c>
      <c r="H3">
        <v>15.28</v>
      </c>
      <c r="I3">
        <v>6</v>
      </c>
      <c r="J3">
        <v>4.5839999999999996</v>
      </c>
      <c r="K3">
        <v>91.68</v>
      </c>
      <c r="L3" s="1">
        <v>43612</v>
      </c>
      <c r="M3" s="2">
        <v>0.43680555555555556</v>
      </c>
      <c r="N3" t="s">
        <v>33</v>
      </c>
      <c r="O3">
        <v>76.400000000000006</v>
      </c>
      <c r="P3">
        <v>4.7619047620000003</v>
      </c>
      <c r="Q3">
        <v>15.28</v>
      </c>
      <c r="R3">
        <v>10</v>
      </c>
      <c r="S3">
        <v>96.078500000000005</v>
      </c>
      <c r="T3">
        <v>19.763300000000001</v>
      </c>
    </row>
    <row r="4" spans="1:20" x14ac:dyDescent="0.3">
      <c r="A4" t="s">
        <v>34</v>
      </c>
      <c r="B4" t="s">
        <v>21</v>
      </c>
      <c r="C4" t="s">
        <v>35</v>
      </c>
      <c r="D4" t="s">
        <v>23</v>
      </c>
      <c r="E4" t="s">
        <v>32</v>
      </c>
      <c r="F4" t="s">
        <v>36</v>
      </c>
      <c r="G4" t="s">
        <v>26</v>
      </c>
      <c r="H4">
        <v>46.33</v>
      </c>
      <c r="I4">
        <v>7</v>
      </c>
      <c r="J4">
        <v>16.215499999999999</v>
      </c>
      <c r="K4">
        <v>324.31</v>
      </c>
      <c r="L4" s="1">
        <v>43826</v>
      </c>
      <c r="M4" s="2">
        <v>0.55763888888888891</v>
      </c>
      <c r="N4" t="s">
        <v>37</v>
      </c>
      <c r="O4">
        <v>324.31</v>
      </c>
      <c r="P4">
        <v>4.7619047620000003</v>
      </c>
      <c r="Q4">
        <v>0</v>
      </c>
      <c r="R4">
        <v>7.4</v>
      </c>
      <c r="S4">
        <v>96.173500000000004</v>
      </c>
      <c r="T4">
        <v>16.840900000000001</v>
      </c>
    </row>
    <row r="5" spans="1:20" x14ac:dyDescent="0.3">
      <c r="A5" t="s">
        <v>38</v>
      </c>
      <c r="B5" t="s">
        <v>21</v>
      </c>
      <c r="C5" t="s">
        <v>39</v>
      </c>
      <c r="D5" t="s">
        <v>23</v>
      </c>
      <c r="E5" t="s">
        <v>24</v>
      </c>
      <c r="F5" t="s">
        <v>36</v>
      </c>
      <c r="G5" t="s">
        <v>26</v>
      </c>
      <c r="H5">
        <v>58.22</v>
      </c>
      <c r="I5">
        <v>11</v>
      </c>
      <c r="J5">
        <v>32.021000000000001</v>
      </c>
      <c r="K5">
        <v>640.41999999999996</v>
      </c>
      <c r="L5" s="1">
        <v>43784</v>
      </c>
      <c r="M5" s="2">
        <v>0.85624999999999996</v>
      </c>
      <c r="N5" t="s">
        <v>27</v>
      </c>
      <c r="O5">
        <v>465.76</v>
      </c>
      <c r="P5">
        <v>4.7619047620000003</v>
      </c>
      <c r="Q5">
        <v>174.66</v>
      </c>
      <c r="R5">
        <v>8.4</v>
      </c>
      <c r="S5">
        <v>96.173500000000004</v>
      </c>
      <c r="T5">
        <v>16.840900000000001</v>
      </c>
    </row>
    <row r="6" spans="1:20" x14ac:dyDescent="0.3">
      <c r="A6" t="s">
        <v>40</v>
      </c>
      <c r="B6" t="s">
        <v>21</v>
      </c>
      <c r="C6" t="s">
        <v>41</v>
      </c>
      <c r="D6" t="s">
        <v>23</v>
      </c>
      <c r="E6" t="s">
        <v>32</v>
      </c>
      <c r="F6" t="s">
        <v>36</v>
      </c>
      <c r="G6" t="s">
        <v>26</v>
      </c>
      <c r="H6">
        <v>86.31</v>
      </c>
      <c r="I6">
        <v>7</v>
      </c>
      <c r="J6">
        <v>30.208500000000001</v>
      </c>
      <c r="K6">
        <v>604.16999999999996</v>
      </c>
      <c r="L6" s="1">
        <v>43555</v>
      </c>
      <c r="M6" s="2">
        <v>0.44236111111111109</v>
      </c>
      <c r="N6" t="s">
        <v>27</v>
      </c>
      <c r="O6">
        <v>604.16999999999996</v>
      </c>
      <c r="P6">
        <v>4.7619047620000003</v>
      </c>
      <c r="Q6">
        <v>0</v>
      </c>
      <c r="R6">
        <v>7.46</v>
      </c>
      <c r="S6">
        <v>96.173500000000004</v>
      </c>
      <c r="T6">
        <v>16.840900000000001</v>
      </c>
    </row>
    <row r="7" spans="1:20" x14ac:dyDescent="0.3">
      <c r="A7" t="s">
        <v>42</v>
      </c>
      <c r="B7" t="s">
        <v>29</v>
      </c>
      <c r="C7" t="s">
        <v>43</v>
      </c>
      <c r="D7" t="s">
        <v>31</v>
      </c>
      <c r="E7" t="s">
        <v>32</v>
      </c>
      <c r="F7" t="s">
        <v>36</v>
      </c>
      <c r="G7" t="s">
        <v>26</v>
      </c>
      <c r="H7">
        <v>85.39</v>
      </c>
      <c r="I7">
        <v>8</v>
      </c>
      <c r="J7">
        <v>34.155999999999999</v>
      </c>
      <c r="K7">
        <v>683.12</v>
      </c>
      <c r="L7" s="1">
        <v>43471</v>
      </c>
      <c r="M7" s="2">
        <v>0.77083333333333337</v>
      </c>
      <c r="N7" t="s">
        <v>27</v>
      </c>
      <c r="O7">
        <v>597.73</v>
      </c>
      <c r="P7">
        <v>4.7619047620000003</v>
      </c>
      <c r="Q7">
        <v>85.39</v>
      </c>
      <c r="R7">
        <v>7.46</v>
      </c>
      <c r="S7">
        <v>96.078500000000005</v>
      </c>
      <c r="T7">
        <v>19.763300000000001</v>
      </c>
    </row>
    <row r="8" spans="1:20" x14ac:dyDescent="0.3">
      <c r="A8" t="s">
        <v>44</v>
      </c>
      <c r="B8" t="s">
        <v>21</v>
      </c>
      <c r="C8" t="s">
        <v>45</v>
      </c>
      <c r="D8" t="s">
        <v>23</v>
      </c>
      <c r="E8" t="s">
        <v>32</v>
      </c>
      <c r="F8" t="s">
        <v>25</v>
      </c>
      <c r="G8" t="s">
        <v>26</v>
      </c>
      <c r="H8">
        <v>68.84</v>
      </c>
      <c r="I8">
        <v>6</v>
      </c>
      <c r="J8">
        <v>20.652000000000001</v>
      </c>
      <c r="K8">
        <v>413.04</v>
      </c>
      <c r="L8" s="1">
        <v>43814</v>
      </c>
      <c r="M8" s="2">
        <v>0.60833333333333328</v>
      </c>
      <c r="N8" t="s">
        <v>27</v>
      </c>
      <c r="O8">
        <v>413.04</v>
      </c>
      <c r="P8">
        <v>4.7619047620000003</v>
      </c>
      <c r="Q8">
        <v>0</v>
      </c>
      <c r="R8">
        <v>7.46</v>
      </c>
      <c r="S8">
        <v>96.173500000000004</v>
      </c>
      <c r="T8">
        <v>16.840900000000001</v>
      </c>
    </row>
    <row r="9" spans="1:20" x14ac:dyDescent="0.3">
      <c r="A9" t="s">
        <v>46</v>
      </c>
      <c r="B9" t="s">
        <v>29</v>
      </c>
      <c r="C9" t="s">
        <v>47</v>
      </c>
      <c r="D9" t="s">
        <v>31</v>
      </c>
      <c r="E9" t="s">
        <v>32</v>
      </c>
      <c r="F9" t="s">
        <v>25</v>
      </c>
      <c r="G9" t="s">
        <v>26</v>
      </c>
      <c r="H9">
        <v>73.56</v>
      </c>
      <c r="I9">
        <v>12</v>
      </c>
      <c r="J9">
        <v>44.136000000000003</v>
      </c>
      <c r="K9">
        <v>882.72</v>
      </c>
      <c r="L9" s="1">
        <v>43630</v>
      </c>
      <c r="M9" s="2">
        <v>0.48472222222222222</v>
      </c>
      <c r="N9" t="s">
        <v>27</v>
      </c>
      <c r="O9">
        <v>735.6</v>
      </c>
      <c r="P9">
        <v>4.7619047620000003</v>
      </c>
      <c r="Q9">
        <v>147.12</v>
      </c>
      <c r="R9">
        <v>7.46</v>
      </c>
      <c r="S9">
        <v>96.078500000000005</v>
      </c>
      <c r="T9">
        <v>19.763300000000001</v>
      </c>
    </row>
    <row r="10" spans="1:20" x14ac:dyDescent="0.3">
      <c r="A10" t="s">
        <v>48</v>
      </c>
      <c r="B10" t="s">
        <v>21</v>
      </c>
      <c r="C10" t="s">
        <v>49</v>
      </c>
      <c r="D10" t="s">
        <v>23</v>
      </c>
      <c r="E10" t="s">
        <v>32</v>
      </c>
      <c r="F10" t="s">
        <v>25</v>
      </c>
      <c r="G10" t="s">
        <v>26</v>
      </c>
      <c r="H10">
        <v>36.26</v>
      </c>
      <c r="I10">
        <v>2</v>
      </c>
      <c r="J10">
        <v>3.6259999999999999</v>
      </c>
      <c r="K10">
        <v>72.52</v>
      </c>
      <c r="L10" s="1">
        <v>43794</v>
      </c>
      <c r="M10" s="2">
        <v>0.71875</v>
      </c>
      <c r="N10" t="s">
        <v>37</v>
      </c>
      <c r="O10">
        <v>72.52</v>
      </c>
      <c r="P10">
        <v>4.7619047620000003</v>
      </c>
      <c r="Q10">
        <v>0</v>
      </c>
      <c r="R10">
        <v>7.46</v>
      </c>
      <c r="S10">
        <v>96.173500000000004</v>
      </c>
      <c r="T10">
        <v>16.840900000000001</v>
      </c>
    </row>
    <row r="11" spans="1:20" x14ac:dyDescent="0.3">
      <c r="A11" t="s">
        <v>50</v>
      </c>
      <c r="B11" t="s">
        <v>51</v>
      </c>
      <c r="C11" t="s">
        <v>52</v>
      </c>
      <c r="D11" t="s">
        <v>53</v>
      </c>
      <c r="E11" t="s">
        <v>32</v>
      </c>
      <c r="F11" t="s">
        <v>25</v>
      </c>
      <c r="G11" t="s">
        <v>26</v>
      </c>
      <c r="H11">
        <v>54.84</v>
      </c>
      <c r="I11">
        <v>4</v>
      </c>
      <c r="J11">
        <v>10.968</v>
      </c>
      <c r="K11">
        <v>219.36</v>
      </c>
      <c r="L11" s="1">
        <v>43565</v>
      </c>
      <c r="M11" s="2">
        <v>0.56041666666666667</v>
      </c>
      <c r="N11" t="s">
        <v>37</v>
      </c>
      <c r="O11">
        <v>164.52</v>
      </c>
      <c r="P11">
        <v>4.7619047620000003</v>
      </c>
      <c r="Q11">
        <v>54.84</v>
      </c>
      <c r="R11">
        <v>7.46</v>
      </c>
      <c r="S11">
        <v>96.089100000000002</v>
      </c>
      <c r="T11">
        <v>21.9588</v>
      </c>
    </row>
    <row r="12" spans="1:20" x14ac:dyDescent="0.3">
      <c r="A12" t="s">
        <v>54</v>
      </c>
      <c r="B12" t="s">
        <v>51</v>
      </c>
      <c r="C12" t="s">
        <v>55</v>
      </c>
      <c r="D12" t="s">
        <v>53</v>
      </c>
      <c r="E12" t="s">
        <v>32</v>
      </c>
      <c r="F12" t="s">
        <v>25</v>
      </c>
      <c r="G12" t="s">
        <v>26</v>
      </c>
      <c r="H12">
        <v>14.48</v>
      </c>
      <c r="I12">
        <v>6</v>
      </c>
      <c r="J12">
        <v>4.3440000000000003</v>
      </c>
      <c r="K12">
        <v>86.88</v>
      </c>
      <c r="L12" s="1">
        <v>43669</v>
      </c>
      <c r="M12" s="2">
        <v>0.75486111111111109</v>
      </c>
      <c r="N12" t="s">
        <v>27</v>
      </c>
      <c r="O12">
        <v>57.92</v>
      </c>
      <c r="P12">
        <v>4.7619047620000003</v>
      </c>
      <c r="Q12">
        <v>28.96</v>
      </c>
      <c r="R12">
        <v>7.46</v>
      </c>
      <c r="S12">
        <v>96.089100000000002</v>
      </c>
      <c r="T12">
        <v>21.9588</v>
      </c>
    </row>
    <row r="13" spans="1:20" x14ac:dyDescent="0.3">
      <c r="A13" t="s">
        <v>56</v>
      </c>
      <c r="B13" t="s">
        <v>51</v>
      </c>
      <c r="C13" t="s">
        <v>57</v>
      </c>
      <c r="D13" t="s">
        <v>53</v>
      </c>
      <c r="E13" t="s">
        <v>32</v>
      </c>
      <c r="F13" t="s">
        <v>36</v>
      </c>
      <c r="G13" t="s">
        <v>26</v>
      </c>
      <c r="H13">
        <v>25.51</v>
      </c>
      <c r="I13">
        <v>6</v>
      </c>
      <c r="J13">
        <f>K13*5%</f>
        <v>7.6530000000000005</v>
      </c>
      <c r="K13">
        <v>153.06</v>
      </c>
      <c r="L13" s="1">
        <v>43703</v>
      </c>
      <c r="M13" s="2">
        <v>0.7104166666666667</v>
      </c>
      <c r="N13" t="s">
        <v>33</v>
      </c>
      <c r="O13">
        <v>102.04</v>
      </c>
      <c r="P13">
        <v>4.7619047620000003</v>
      </c>
      <c r="Q13">
        <v>51.02</v>
      </c>
      <c r="R13">
        <v>7.46</v>
      </c>
      <c r="S13">
        <v>96.089100000000002</v>
      </c>
      <c r="T13">
        <v>21.9588</v>
      </c>
    </row>
    <row r="14" spans="1:20" x14ac:dyDescent="0.3">
      <c r="A14" t="s">
        <v>58</v>
      </c>
      <c r="B14" t="s">
        <v>21</v>
      </c>
      <c r="C14" t="s">
        <v>59</v>
      </c>
      <c r="D14" t="s">
        <v>23</v>
      </c>
      <c r="E14" t="s">
        <v>32</v>
      </c>
      <c r="F14" t="s">
        <v>25</v>
      </c>
      <c r="G14" t="s">
        <v>60</v>
      </c>
      <c r="H14">
        <v>46.95</v>
      </c>
      <c r="I14">
        <v>5</v>
      </c>
      <c r="J14">
        <f t="shared" ref="J14:J25" si="0">K14*5%</f>
        <v>11.737500000000001</v>
      </c>
      <c r="K14">
        <v>234.75</v>
      </c>
      <c r="L14" s="1">
        <v>43702</v>
      </c>
      <c r="M14" s="2">
        <v>0.43402777777777779</v>
      </c>
      <c r="N14" t="s">
        <v>27</v>
      </c>
      <c r="O14">
        <v>234.75</v>
      </c>
      <c r="P14">
        <v>4.7619047620000003</v>
      </c>
      <c r="Q14">
        <v>0</v>
      </c>
      <c r="R14">
        <v>7.46</v>
      </c>
      <c r="S14">
        <v>96.173500000000004</v>
      </c>
      <c r="T14">
        <v>16.840900000000001</v>
      </c>
    </row>
    <row r="15" spans="1:20" x14ac:dyDescent="0.3">
      <c r="A15" t="s">
        <v>61</v>
      </c>
      <c r="B15" t="s">
        <v>21</v>
      </c>
      <c r="C15" t="s">
        <v>62</v>
      </c>
      <c r="D15" t="s">
        <v>23</v>
      </c>
      <c r="E15" t="s">
        <v>32</v>
      </c>
      <c r="F15" t="s">
        <v>36</v>
      </c>
      <c r="G15" t="s">
        <v>63</v>
      </c>
      <c r="H15">
        <v>43.19</v>
      </c>
      <c r="I15">
        <v>10</v>
      </c>
      <c r="J15">
        <f t="shared" si="0"/>
        <v>21.594999999999999</v>
      </c>
      <c r="K15">
        <v>431.9</v>
      </c>
      <c r="L15" s="1">
        <v>43740</v>
      </c>
      <c r="M15" s="2">
        <v>0.7</v>
      </c>
      <c r="N15" t="s">
        <v>27</v>
      </c>
      <c r="O15">
        <v>431.9</v>
      </c>
      <c r="P15">
        <v>4.7619047620000003</v>
      </c>
      <c r="Q15">
        <v>0</v>
      </c>
      <c r="R15">
        <v>8.1999999999999993</v>
      </c>
      <c r="S15">
        <v>96.173500000000004</v>
      </c>
      <c r="T15">
        <v>16.840900000000001</v>
      </c>
    </row>
    <row r="16" spans="1:20" x14ac:dyDescent="0.3">
      <c r="A16" t="s">
        <v>64</v>
      </c>
      <c r="B16" t="s">
        <v>21</v>
      </c>
      <c r="C16" t="s">
        <v>65</v>
      </c>
      <c r="D16" t="s">
        <v>23</v>
      </c>
      <c r="E16" t="s">
        <v>32</v>
      </c>
      <c r="F16" t="s">
        <v>25</v>
      </c>
      <c r="G16" t="s">
        <v>26</v>
      </c>
      <c r="H16">
        <v>71.38</v>
      </c>
      <c r="I16">
        <v>10</v>
      </c>
      <c r="J16">
        <f t="shared" si="0"/>
        <v>35.69</v>
      </c>
      <c r="K16">
        <v>713.8</v>
      </c>
      <c r="L16" s="1">
        <v>43792</v>
      </c>
      <c r="M16" s="2">
        <v>0.80625000000000002</v>
      </c>
      <c r="N16" t="s">
        <v>33</v>
      </c>
      <c r="O16">
        <v>713.8</v>
      </c>
      <c r="P16">
        <v>4.7619047620000003</v>
      </c>
      <c r="Q16">
        <v>0</v>
      </c>
      <c r="R16">
        <v>5.7</v>
      </c>
      <c r="S16">
        <v>96.173500000000004</v>
      </c>
      <c r="T16">
        <v>16.840900000000001</v>
      </c>
    </row>
    <row r="17" spans="1:20" x14ac:dyDescent="0.3">
      <c r="A17" t="s">
        <v>66</v>
      </c>
      <c r="B17" t="s">
        <v>51</v>
      </c>
      <c r="C17" t="s">
        <v>67</v>
      </c>
      <c r="D17" t="s">
        <v>53</v>
      </c>
      <c r="E17" t="s">
        <v>24</v>
      </c>
      <c r="F17" t="s">
        <v>25</v>
      </c>
      <c r="G17" t="s">
        <v>68</v>
      </c>
      <c r="H17">
        <v>93.72</v>
      </c>
      <c r="I17">
        <v>11</v>
      </c>
      <c r="J17">
        <f t="shared" si="0"/>
        <v>51.546000000000006</v>
      </c>
      <c r="K17">
        <v>1030.92</v>
      </c>
      <c r="L17" s="1">
        <v>43661</v>
      </c>
      <c r="M17" s="2">
        <v>0.67986111111111114</v>
      </c>
      <c r="N17" t="s">
        <v>33</v>
      </c>
      <c r="O17">
        <v>562.32000000000005</v>
      </c>
      <c r="P17">
        <v>4.7619047620000003</v>
      </c>
      <c r="Q17">
        <v>468.6</v>
      </c>
      <c r="R17">
        <v>5.4</v>
      </c>
      <c r="S17">
        <v>96.089100000000002</v>
      </c>
      <c r="T17">
        <v>21.9588</v>
      </c>
    </row>
    <row r="18" spans="1:20" x14ac:dyDescent="0.3">
      <c r="A18" t="s">
        <v>69</v>
      </c>
      <c r="B18" t="s">
        <v>21</v>
      </c>
      <c r="C18" t="s">
        <v>70</v>
      </c>
      <c r="D18" t="s">
        <v>23</v>
      </c>
      <c r="E18" t="s">
        <v>24</v>
      </c>
      <c r="F18" t="s">
        <v>25</v>
      </c>
      <c r="G18" t="s">
        <v>26</v>
      </c>
      <c r="H18">
        <v>68.930000000000007</v>
      </c>
      <c r="I18">
        <v>10</v>
      </c>
      <c r="J18">
        <f t="shared" si="0"/>
        <v>34.464999999999996</v>
      </c>
      <c r="K18">
        <v>689.3</v>
      </c>
      <c r="L18" s="1">
        <v>43801</v>
      </c>
      <c r="M18" s="2">
        <v>0.46041666666666664</v>
      </c>
      <c r="N18" t="s">
        <v>37</v>
      </c>
      <c r="O18">
        <v>482.51</v>
      </c>
      <c r="P18">
        <v>4.7619047620000003</v>
      </c>
      <c r="Q18">
        <v>206.79</v>
      </c>
      <c r="R18">
        <v>4.5999999999999996</v>
      </c>
      <c r="S18">
        <v>96.173500000000004</v>
      </c>
      <c r="T18">
        <v>16.840900000000001</v>
      </c>
    </row>
    <row r="19" spans="1:20" x14ac:dyDescent="0.3">
      <c r="A19" t="s">
        <v>71</v>
      </c>
      <c r="B19" t="s">
        <v>21</v>
      </c>
      <c r="C19" t="s">
        <v>72</v>
      </c>
      <c r="D19" t="s">
        <v>23</v>
      </c>
      <c r="E19" t="s">
        <v>32</v>
      </c>
      <c r="F19" t="s">
        <v>36</v>
      </c>
      <c r="G19" t="s">
        <v>68</v>
      </c>
      <c r="H19">
        <v>72.61</v>
      </c>
      <c r="I19">
        <v>6</v>
      </c>
      <c r="J19">
        <f>K19*5%</f>
        <v>21.783000000000001</v>
      </c>
      <c r="K19">
        <v>435.66</v>
      </c>
      <c r="L19" s="1">
        <v>43533</v>
      </c>
      <c r="M19" s="2">
        <v>0.44374999999999998</v>
      </c>
      <c r="N19" t="s">
        <v>37</v>
      </c>
      <c r="O19">
        <v>435.66</v>
      </c>
      <c r="P19">
        <v>4.7619047620000003</v>
      </c>
      <c r="Q19">
        <v>0</v>
      </c>
      <c r="R19">
        <v>6.9</v>
      </c>
      <c r="S19">
        <v>96.173500000000004</v>
      </c>
      <c r="T19">
        <v>16.840900000000001</v>
      </c>
    </row>
    <row r="20" spans="1:20" x14ac:dyDescent="0.3">
      <c r="A20" t="s">
        <v>73</v>
      </c>
      <c r="B20" t="s">
        <v>21</v>
      </c>
      <c r="C20" t="s">
        <v>74</v>
      </c>
      <c r="D20" t="s">
        <v>23</v>
      </c>
      <c r="E20" t="s">
        <v>32</v>
      </c>
      <c r="F20" t="s">
        <v>36</v>
      </c>
      <c r="G20" t="s">
        <v>63</v>
      </c>
      <c r="H20">
        <v>54.67</v>
      </c>
      <c r="I20">
        <v>3</v>
      </c>
      <c r="J20">
        <f t="shared" si="0"/>
        <v>8.2004999999999999</v>
      </c>
      <c r="K20">
        <v>164.01</v>
      </c>
      <c r="L20" s="1">
        <v>43655</v>
      </c>
      <c r="M20" s="2">
        <v>0.75</v>
      </c>
      <c r="N20" t="s">
        <v>37</v>
      </c>
      <c r="O20">
        <v>164.01</v>
      </c>
      <c r="P20">
        <v>4.7619047620000003</v>
      </c>
      <c r="Q20">
        <v>0</v>
      </c>
      <c r="R20">
        <v>8.6</v>
      </c>
      <c r="S20">
        <v>96.173500000000004</v>
      </c>
      <c r="T20">
        <v>16.840900000000001</v>
      </c>
    </row>
    <row r="21" spans="1:20" x14ac:dyDescent="0.3">
      <c r="A21" t="s">
        <v>75</v>
      </c>
      <c r="B21" t="s">
        <v>51</v>
      </c>
      <c r="C21" t="s">
        <v>76</v>
      </c>
      <c r="D21" t="s">
        <v>53</v>
      </c>
      <c r="E21" t="s">
        <v>32</v>
      </c>
      <c r="F21" t="s">
        <v>25</v>
      </c>
      <c r="G21" t="s">
        <v>77</v>
      </c>
      <c r="H21">
        <v>40.299999999999997</v>
      </c>
      <c r="I21">
        <v>3</v>
      </c>
      <c r="J21">
        <f t="shared" si="0"/>
        <v>6.0450000000000008</v>
      </c>
      <c r="K21">
        <v>120.9</v>
      </c>
      <c r="L21" s="1">
        <v>43593</v>
      </c>
      <c r="M21" s="2">
        <v>0.64583333333333337</v>
      </c>
      <c r="N21" t="s">
        <v>27</v>
      </c>
      <c r="O21">
        <v>80.599999999999994</v>
      </c>
      <c r="P21">
        <v>4.7619047620000003</v>
      </c>
      <c r="Q21">
        <v>40.299999999999997</v>
      </c>
      <c r="R21">
        <v>5.28</v>
      </c>
      <c r="S21">
        <v>96.089100000000002</v>
      </c>
      <c r="T21">
        <v>21.9588</v>
      </c>
    </row>
    <row r="22" spans="1:20" x14ac:dyDescent="0.3">
      <c r="A22" t="s">
        <v>78</v>
      </c>
      <c r="B22" t="s">
        <v>29</v>
      </c>
      <c r="C22" t="s">
        <v>79</v>
      </c>
      <c r="D22" t="s">
        <v>31</v>
      </c>
      <c r="E22" t="s">
        <v>24</v>
      </c>
      <c r="F22" t="s">
        <v>36</v>
      </c>
      <c r="G22" t="s">
        <v>60</v>
      </c>
      <c r="H22">
        <v>86.04</v>
      </c>
      <c r="I22">
        <v>8</v>
      </c>
      <c r="J22">
        <f t="shared" si="0"/>
        <v>34.416000000000004</v>
      </c>
      <c r="K22">
        <v>688.32</v>
      </c>
      <c r="L22" s="1">
        <v>43756</v>
      </c>
      <c r="M22" s="2">
        <v>0.47499999999999998</v>
      </c>
      <c r="N22" t="s">
        <v>27</v>
      </c>
      <c r="O22">
        <v>430.2</v>
      </c>
      <c r="P22">
        <v>4.7619047620000003</v>
      </c>
      <c r="Q22">
        <v>258.12</v>
      </c>
      <c r="R22">
        <v>5.04</v>
      </c>
      <c r="S22">
        <v>96.078500000000005</v>
      </c>
      <c r="T22">
        <v>19.763300000000001</v>
      </c>
    </row>
    <row r="23" spans="1:20" x14ac:dyDescent="0.3">
      <c r="A23" t="s">
        <v>80</v>
      </c>
      <c r="B23" t="s">
        <v>51</v>
      </c>
      <c r="C23" t="s">
        <v>81</v>
      </c>
      <c r="D23" t="s">
        <v>53</v>
      </c>
      <c r="E23" t="s">
        <v>32</v>
      </c>
      <c r="F23" t="s">
        <v>36</v>
      </c>
      <c r="G23" t="s">
        <v>26</v>
      </c>
      <c r="H23">
        <v>87.98</v>
      </c>
      <c r="I23">
        <v>4</v>
      </c>
      <c r="J23">
        <f t="shared" si="0"/>
        <v>17.596</v>
      </c>
      <c r="K23">
        <v>351.92</v>
      </c>
      <c r="L23" s="1">
        <v>43824</v>
      </c>
      <c r="M23" s="2">
        <v>0.44444444444444442</v>
      </c>
      <c r="N23" t="s">
        <v>27</v>
      </c>
      <c r="O23">
        <v>263.94</v>
      </c>
      <c r="P23">
        <v>4.7619047620000003</v>
      </c>
      <c r="Q23">
        <v>87.98</v>
      </c>
      <c r="R23">
        <v>6.12</v>
      </c>
      <c r="S23">
        <v>96.089100000000002</v>
      </c>
      <c r="T23">
        <v>21.9588</v>
      </c>
    </row>
    <row r="24" spans="1:20" x14ac:dyDescent="0.3">
      <c r="A24" t="s">
        <v>82</v>
      </c>
      <c r="B24" t="s">
        <v>51</v>
      </c>
      <c r="C24" t="s">
        <v>83</v>
      </c>
      <c r="D24" t="s">
        <v>53</v>
      </c>
      <c r="E24" t="s">
        <v>32</v>
      </c>
      <c r="F24" t="s">
        <v>36</v>
      </c>
      <c r="G24" t="s">
        <v>26</v>
      </c>
      <c r="H24">
        <v>33.200000000000003</v>
      </c>
      <c r="I24">
        <v>3</v>
      </c>
      <c r="J24">
        <f t="shared" si="0"/>
        <v>4.9800000000000004</v>
      </c>
      <c r="K24">
        <v>99.6</v>
      </c>
      <c r="L24" s="1">
        <v>43586</v>
      </c>
      <c r="M24" s="2">
        <v>0.51388888888888884</v>
      </c>
      <c r="N24" t="s">
        <v>37</v>
      </c>
      <c r="O24">
        <v>66.400000000000006</v>
      </c>
      <c r="P24">
        <v>4.7619047620000003</v>
      </c>
      <c r="Q24">
        <v>33.200000000000003</v>
      </c>
      <c r="R24">
        <v>5.28</v>
      </c>
      <c r="S24">
        <v>96.089100000000002</v>
      </c>
      <c r="T24">
        <v>21.9588</v>
      </c>
    </row>
    <row r="25" spans="1:20" x14ac:dyDescent="0.3">
      <c r="A25" t="s">
        <v>84</v>
      </c>
      <c r="B25" t="s">
        <v>21</v>
      </c>
      <c r="C25" t="s">
        <v>85</v>
      </c>
      <c r="D25" t="s">
        <v>23</v>
      </c>
      <c r="E25" t="s">
        <v>32</v>
      </c>
      <c r="F25" t="s">
        <v>36</v>
      </c>
      <c r="G25" t="s">
        <v>26</v>
      </c>
      <c r="H25">
        <v>34.56</v>
      </c>
      <c r="I25">
        <v>5</v>
      </c>
      <c r="J25">
        <f t="shared" si="0"/>
        <v>8.64</v>
      </c>
      <c r="K25">
        <v>172.8</v>
      </c>
      <c r="L25" s="1">
        <v>43512</v>
      </c>
      <c r="M25" s="2">
        <v>0.46875</v>
      </c>
      <c r="N25" t="s">
        <v>27</v>
      </c>
      <c r="O25">
        <v>172.8</v>
      </c>
      <c r="P25">
        <v>4.7619047620000003</v>
      </c>
      <c r="Q25">
        <v>0</v>
      </c>
      <c r="R25">
        <v>9.9</v>
      </c>
      <c r="S25">
        <v>96.173500000000004</v>
      </c>
      <c r="T25">
        <v>16.840900000000001</v>
      </c>
    </row>
    <row r="26" spans="1:20" x14ac:dyDescent="0.3">
      <c r="A26" t="s">
        <v>86</v>
      </c>
      <c r="B26" t="s">
        <v>21</v>
      </c>
      <c r="C26" t="s">
        <v>87</v>
      </c>
      <c r="D26" t="s">
        <v>23</v>
      </c>
      <c r="E26" t="s">
        <v>24</v>
      </c>
      <c r="F26" t="s">
        <v>36</v>
      </c>
      <c r="G26" t="s">
        <v>26</v>
      </c>
      <c r="H26">
        <v>88.63</v>
      </c>
      <c r="I26">
        <v>4</v>
      </c>
      <c r="J26">
        <v>17.725999999999999</v>
      </c>
      <c r="K26">
        <v>354.52</v>
      </c>
      <c r="L26" s="1">
        <v>43535</v>
      </c>
      <c r="M26" s="2">
        <v>0.73333333333333328</v>
      </c>
      <c r="N26" t="s">
        <v>27</v>
      </c>
      <c r="O26">
        <v>265.89</v>
      </c>
      <c r="P26">
        <v>4.7619047620000003</v>
      </c>
      <c r="Q26">
        <v>88.63</v>
      </c>
      <c r="R26">
        <v>6</v>
      </c>
      <c r="S26">
        <v>96.173500000000004</v>
      </c>
      <c r="T26">
        <v>16.840900000000001</v>
      </c>
    </row>
    <row r="27" spans="1:20" x14ac:dyDescent="0.3">
      <c r="A27" t="s">
        <v>88</v>
      </c>
      <c r="B27" t="s">
        <v>21</v>
      </c>
      <c r="C27" t="s">
        <v>89</v>
      </c>
      <c r="D27" t="s">
        <v>23</v>
      </c>
      <c r="E27" t="s">
        <v>24</v>
      </c>
      <c r="F27" t="s">
        <v>25</v>
      </c>
      <c r="G27" t="s">
        <v>26</v>
      </c>
      <c r="H27">
        <v>52.59</v>
      </c>
      <c r="I27">
        <v>11</v>
      </c>
      <c r="J27">
        <v>28.924499999999998</v>
      </c>
      <c r="K27">
        <v>578.49</v>
      </c>
      <c r="L27" s="1">
        <v>43777</v>
      </c>
      <c r="M27" s="2">
        <v>0.80555555555555558</v>
      </c>
      <c r="N27" t="s">
        <v>37</v>
      </c>
      <c r="O27">
        <v>420.72</v>
      </c>
      <c r="P27">
        <v>4.7619047620000003</v>
      </c>
      <c r="Q27">
        <v>157.77000000000001</v>
      </c>
      <c r="R27">
        <v>8.5</v>
      </c>
      <c r="S27">
        <v>96.173500000000004</v>
      </c>
      <c r="T27">
        <v>16.840900000000001</v>
      </c>
    </row>
    <row r="28" spans="1:20" x14ac:dyDescent="0.3">
      <c r="A28" t="s">
        <v>90</v>
      </c>
      <c r="B28" t="s">
        <v>51</v>
      </c>
      <c r="C28" t="s">
        <v>91</v>
      </c>
      <c r="D28" t="s">
        <v>53</v>
      </c>
      <c r="E28" t="s">
        <v>32</v>
      </c>
      <c r="F28" t="s">
        <v>36</v>
      </c>
      <c r="G28" t="s">
        <v>26</v>
      </c>
      <c r="H28">
        <v>33.520000000000003</v>
      </c>
      <c r="I28">
        <v>1</v>
      </c>
      <c r="J28">
        <v>1.6759999999999999</v>
      </c>
      <c r="K28">
        <v>33.520000000000003</v>
      </c>
      <c r="L28" s="1">
        <v>43484</v>
      </c>
      <c r="M28" s="2">
        <v>0.64652777777777781</v>
      </c>
      <c r="N28" t="s">
        <v>33</v>
      </c>
      <c r="O28">
        <v>33.520000000000003</v>
      </c>
      <c r="P28">
        <v>4.7619047620000003</v>
      </c>
      <c r="Q28">
        <v>0</v>
      </c>
      <c r="R28">
        <v>8.0399999999999991</v>
      </c>
      <c r="S28">
        <v>96.089100000000002</v>
      </c>
      <c r="T28">
        <v>21.9588</v>
      </c>
    </row>
    <row r="29" spans="1:20" x14ac:dyDescent="0.3">
      <c r="A29" t="s">
        <v>92</v>
      </c>
      <c r="B29" t="s">
        <v>21</v>
      </c>
      <c r="C29" t="s">
        <v>93</v>
      </c>
      <c r="D29" t="s">
        <v>23</v>
      </c>
      <c r="E29" t="s">
        <v>32</v>
      </c>
      <c r="F29" t="s">
        <v>25</v>
      </c>
      <c r="G29" t="s">
        <v>26</v>
      </c>
      <c r="H29">
        <v>87.67</v>
      </c>
      <c r="I29">
        <v>2</v>
      </c>
      <c r="J29">
        <v>8.7669999999999995</v>
      </c>
      <c r="K29">
        <v>175.34</v>
      </c>
      <c r="L29" s="1">
        <v>43712</v>
      </c>
      <c r="M29" s="2">
        <v>0.51180555555555551</v>
      </c>
      <c r="N29" t="s">
        <v>37</v>
      </c>
      <c r="O29">
        <v>175.34</v>
      </c>
      <c r="P29">
        <v>4.7619047620000003</v>
      </c>
      <c r="Q29">
        <v>0</v>
      </c>
      <c r="R29">
        <v>7.7</v>
      </c>
      <c r="S29">
        <v>96.173500000000004</v>
      </c>
      <c r="T29">
        <v>16.840900000000001</v>
      </c>
    </row>
    <row r="30" spans="1:20" x14ac:dyDescent="0.3">
      <c r="A30" t="s">
        <v>94</v>
      </c>
      <c r="B30" t="s">
        <v>51</v>
      </c>
      <c r="C30" t="s">
        <v>95</v>
      </c>
      <c r="D30" t="s">
        <v>53</v>
      </c>
      <c r="E30" t="s">
        <v>32</v>
      </c>
      <c r="F30" t="s">
        <v>25</v>
      </c>
      <c r="G30" t="s">
        <v>26</v>
      </c>
      <c r="H30">
        <v>88.36</v>
      </c>
      <c r="I30">
        <v>7</v>
      </c>
      <c r="J30">
        <v>30.925999999999998</v>
      </c>
      <c r="K30">
        <v>618.52</v>
      </c>
      <c r="L30" s="1">
        <v>43530</v>
      </c>
      <c r="M30" s="2">
        <v>0.82499999999999996</v>
      </c>
      <c r="N30" t="s">
        <v>33</v>
      </c>
      <c r="O30">
        <v>441.8</v>
      </c>
      <c r="P30">
        <v>4.7619047620000003</v>
      </c>
      <c r="Q30">
        <v>176.72</v>
      </c>
      <c r="R30">
        <v>10</v>
      </c>
      <c r="S30">
        <v>96.089100000000002</v>
      </c>
      <c r="T30">
        <v>21.9588</v>
      </c>
    </row>
    <row r="31" spans="1:20" x14ac:dyDescent="0.3">
      <c r="A31" t="s">
        <v>96</v>
      </c>
      <c r="B31" t="s">
        <v>21</v>
      </c>
      <c r="C31" t="s">
        <v>97</v>
      </c>
      <c r="D31" t="s">
        <v>23</v>
      </c>
      <c r="E31" t="s">
        <v>32</v>
      </c>
      <c r="F31" t="s">
        <v>25</v>
      </c>
      <c r="G31" t="s">
        <v>26</v>
      </c>
      <c r="H31">
        <v>24.89</v>
      </c>
      <c r="I31">
        <v>9</v>
      </c>
      <c r="J31">
        <v>11.2005</v>
      </c>
      <c r="K31">
        <v>224.01</v>
      </c>
      <c r="L31" s="1">
        <v>43620</v>
      </c>
      <c r="M31" s="2">
        <v>0.65</v>
      </c>
      <c r="N31" t="s">
        <v>33</v>
      </c>
      <c r="O31">
        <v>224.01</v>
      </c>
      <c r="P31">
        <v>4.7619047620000003</v>
      </c>
      <c r="Q31">
        <v>0</v>
      </c>
      <c r="R31">
        <v>7.4</v>
      </c>
      <c r="S31">
        <v>96.173500000000004</v>
      </c>
      <c r="T31">
        <v>16.840900000000001</v>
      </c>
    </row>
    <row r="32" spans="1:20" x14ac:dyDescent="0.3">
      <c r="A32" t="s">
        <v>98</v>
      </c>
      <c r="B32" t="s">
        <v>51</v>
      </c>
      <c r="C32" t="s">
        <v>99</v>
      </c>
      <c r="D32" t="s">
        <v>53</v>
      </c>
      <c r="E32" t="s">
        <v>32</v>
      </c>
      <c r="F32" t="s">
        <v>25</v>
      </c>
      <c r="G32" t="s">
        <v>100</v>
      </c>
      <c r="H32">
        <v>94.13</v>
      </c>
      <c r="I32">
        <v>7</v>
      </c>
      <c r="J32">
        <v>32.945500000000003</v>
      </c>
      <c r="K32">
        <v>658.91</v>
      </c>
      <c r="L32" s="1">
        <v>43694</v>
      </c>
      <c r="M32" s="2">
        <v>0.81874999999999998</v>
      </c>
      <c r="N32" t="s">
        <v>37</v>
      </c>
      <c r="O32">
        <v>470.65</v>
      </c>
      <c r="P32">
        <v>4.7619047620000003</v>
      </c>
      <c r="Q32">
        <v>188.26</v>
      </c>
      <c r="R32">
        <v>5.76</v>
      </c>
      <c r="S32">
        <v>96.089100000000002</v>
      </c>
      <c r="T32">
        <v>21.9588</v>
      </c>
    </row>
    <row r="33" spans="1:20" x14ac:dyDescent="0.3">
      <c r="A33" t="s">
        <v>101</v>
      </c>
      <c r="B33" t="s">
        <v>51</v>
      </c>
      <c r="C33" t="s">
        <v>102</v>
      </c>
      <c r="D33" t="s">
        <v>53</v>
      </c>
      <c r="E33" t="s">
        <v>24</v>
      </c>
      <c r="F33" t="s">
        <v>25</v>
      </c>
      <c r="G33" t="s">
        <v>68</v>
      </c>
      <c r="H33">
        <v>78.069999999999993</v>
      </c>
      <c r="I33">
        <v>18</v>
      </c>
      <c r="J33">
        <v>70.263000000000005</v>
      </c>
      <c r="K33">
        <v>1405.26</v>
      </c>
      <c r="L33" s="1">
        <v>43483</v>
      </c>
      <c r="M33" s="2">
        <v>0.52986111111111112</v>
      </c>
      <c r="N33" t="s">
        <v>33</v>
      </c>
      <c r="O33">
        <v>702.63</v>
      </c>
      <c r="P33">
        <v>4.7619047620000003</v>
      </c>
      <c r="Q33">
        <v>702.63</v>
      </c>
      <c r="R33">
        <v>5.4</v>
      </c>
      <c r="S33">
        <v>96.089100000000002</v>
      </c>
      <c r="T33">
        <v>21.9588</v>
      </c>
    </row>
    <row r="34" spans="1:20" x14ac:dyDescent="0.3">
      <c r="A34" t="s">
        <v>103</v>
      </c>
      <c r="B34" t="s">
        <v>51</v>
      </c>
      <c r="C34" t="s">
        <v>104</v>
      </c>
      <c r="D34" t="s">
        <v>53</v>
      </c>
      <c r="E34" t="s">
        <v>32</v>
      </c>
      <c r="F34" t="s">
        <v>25</v>
      </c>
      <c r="G34" t="s">
        <v>68</v>
      </c>
      <c r="H34">
        <v>83.78</v>
      </c>
      <c r="I34">
        <v>11</v>
      </c>
      <c r="J34">
        <v>46.079000000000001</v>
      </c>
      <c r="K34">
        <v>921.58</v>
      </c>
      <c r="L34" s="1">
        <v>43631</v>
      </c>
      <c r="M34" s="2">
        <v>0.61736111111111114</v>
      </c>
      <c r="N34" t="s">
        <v>33</v>
      </c>
      <c r="O34">
        <v>670.24</v>
      </c>
      <c r="P34">
        <v>4.7619047620000003</v>
      </c>
      <c r="Q34">
        <v>251.34</v>
      </c>
      <c r="R34">
        <v>6.12</v>
      </c>
      <c r="S34">
        <v>96.089100000000002</v>
      </c>
      <c r="T34">
        <v>21.9588</v>
      </c>
    </row>
    <row r="35" spans="1:20" x14ac:dyDescent="0.3">
      <c r="A35" t="s">
        <v>105</v>
      </c>
      <c r="B35" t="s">
        <v>21</v>
      </c>
      <c r="C35" t="s">
        <v>85</v>
      </c>
      <c r="D35" t="s">
        <v>23</v>
      </c>
      <c r="E35" t="s">
        <v>32</v>
      </c>
      <c r="F35" t="s">
        <v>25</v>
      </c>
      <c r="G35" t="s">
        <v>26</v>
      </c>
      <c r="H35">
        <v>96.58</v>
      </c>
      <c r="I35">
        <v>2</v>
      </c>
      <c r="J35">
        <v>9.6579999999999995</v>
      </c>
      <c r="K35">
        <v>193.16</v>
      </c>
      <c r="L35" s="1">
        <v>43736</v>
      </c>
      <c r="M35" s="2">
        <v>0.42499999999999999</v>
      </c>
      <c r="N35" t="s">
        <v>37</v>
      </c>
      <c r="O35">
        <v>193.16</v>
      </c>
      <c r="P35">
        <v>4.7619047620000003</v>
      </c>
      <c r="Q35">
        <v>0</v>
      </c>
      <c r="R35">
        <v>5.0999999999999996</v>
      </c>
      <c r="S35">
        <v>96.173500000000004</v>
      </c>
      <c r="T35">
        <v>16.840900000000001</v>
      </c>
    </row>
    <row r="36" spans="1:20" x14ac:dyDescent="0.3">
      <c r="A36" t="s">
        <v>106</v>
      </c>
      <c r="B36" t="s">
        <v>29</v>
      </c>
      <c r="C36" t="s">
        <v>107</v>
      </c>
      <c r="D36" t="s">
        <v>31</v>
      </c>
      <c r="E36" t="s">
        <v>32</v>
      </c>
      <c r="F36" t="s">
        <v>25</v>
      </c>
      <c r="G36" t="s">
        <v>63</v>
      </c>
      <c r="H36">
        <v>99.42</v>
      </c>
      <c r="I36">
        <v>5</v>
      </c>
      <c r="J36">
        <f t="shared" ref="J36:J39" si="1">K36*5%</f>
        <v>24.855000000000004</v>
      </c>
      <c r="K36">
        <v>497.1</v>
      </c>
      <c r="L36" s="1">
        <v>43594</v>
      </c>
      <c r="M36" s="2">
        <v>0.44583333333333336</v>
      </c>
      <c r="N36" t="s">
        <v>27</v>
      </c>
      <c r="O36">
        <v>397.68</v>
      </c>
      <c r="P36">
        <v>4.7619047620000003</v>
      </c>
      <c r="Q36">
        <v>99.42</v>
      </c>
      <c r="R36">
        <v>7.875</v>
      </c>
      <c r="S36">
        <v>96.078500000000005</v>
      </c>
      <c r="T36">
        <v>19.763300000000001</v>
      </c>
    </row>
    <row r="37" spans="1:20" x14ac:dyDescent="0.3">
      <c r="A37" t="s">
        <v>108</v>
      </c>
      <c r="B37" t="s">
        <v>29</v>
      </c>
      <c r="C37" t="s">
        <v>109</v>
      </c>
      <c r="D37" t="s">
        <v>31</v>
      </c>
      <c r="E37" t="s">
        <v>32</v>
      </c>
      <c r="F37" t="s">
        <v>25</v>
      </c>
      <c r="G37" t="s">
        <v>68</v>
      </c>
      <c r="H37">
        <v>68.12</v>
      </c>
      <c r="I37">
        <v>1</v>
      </c>
      <c r="J37">
        <f t="shared" si="1"/>
        <v>3.4060000000000006</v>
      </c>
      <c r="K37">
        <v>68.12</v>
      </c>
      <c r="L37" s="1">
        <v>43658</v>
      </c>
      <c r="M37" s="2">
        <v>0.51944444444444449</v>
      </c>
      <c r="N37" t="s">
        <v>27</v>
      </c>
      <c r="O37">
        <v>68.12</v>
      </c>
      <c r="P37">
        <v>4.7619047620000003</v>
      </c>
      <c r="Q37">
        <v>0</v>
      </c>
      <c r="R37">
        <v>7.14</v>
      </c>
      <c r="S37">
        <v>96.078500000000005</v>
      </c>
      <c r="T37">
        <v>19.763300000000001</v>
      </c>
    </row>
    <row r="38" spans="1:20" x14ac:dyDescent="0.3">
      <c r="A38" t="s">
        <v>110</v>
      </c>
      <c r="B38" t="s">
        <v>21</v>
      </c>
      <c r="C38" t="s">
        <v>111</v>
      </c>
      <c r="D38" t="s">
        <v>23</v>
      </c>
      <c r="E38" t="s">
        <v>32</v>
      </c>
      <c r="F38" t="s">
        <v>25</v>
      </c>
      <c r="G38" t="s">
        <v>68</v>
      </c>
      <c r="H38">
        <v>62.62</v>
      </c>
      <c r="I38">
        <v>5</v>
      </c>
      <c r="J38">
        <f t="shared" si="1"/>
        <v>15.655000000000001</v>
      </c>
      <c r="K38">
        <v>313.10000000000002</v>
      </c>
      <c r="L38" s="1">
        <v>43593</v>
      </c>
      <c r="M38" s="2">
        <v>0.80208333333333337</v>
      </c>
      <c r="N38" t="s">
        <v>27</v>
      </c>
      <c r="O38">
        <v>313.10000000000002</v>
      </c>
      <c r="P38">
        <v>4.7619047620000003</v>
      </c>
      <c r="Q38">
        <v>0</v>
      </c>
      <c r="R38">
        <v>7</v>
      </c>
      <c r="S38">
        <v>96.173500000000004</v>
      </c>
      <c r="T38">
        <v>16.840900000000001</v>
      </c>
    </row>
    <row r="39" spans="1:20" x14ac:dyDescent="0.3">
      <c r="A39" t="s">
        <v>112</v>
      </c>
      <c r="B39" t="s">
        <v>21</v>
      </c>
      <c r="C39" t="s">
        <v>113</v>
      </c>
      <c r="D39" t="s">
        <v>23</v>
      </c>
      <c r="E39" t="s">
        <v>32</v>
      </c>
      <c r="F39" t="s">
        <v>25</v>
      </c>
      <c r="G39" t="s">
        <v>60</v>
      </c>
      <c r="H39">
        <v>60.88</v>
      </c>
      <c r="I39">
        <v>9</v>
      </c>
      <c r="J39">
        <f t="shared" si="1"/>
        <v>27.396000000000001</v>
      </c>
      <c r="K39">
        <v>547.91999999999996</v>
      </c>
      <c r="L39" s="1">
        <v>43725</v>
      </c>
      <c r="M39" s="2">
        <v>0.72013888888888888</v>
      </c>
      <c r="N39" t="s">
        <v>27</v>
      </c>
      <c r="O39">
        <v>547.91999999999996</v>
      </c>
      <c r="P39">
        <v>4.7619047620000003</v>
      </c>
      <c r="Q39">
        <v>0</v>
      </c>
      <c r="R39">
        <v>4.7</v>
      </c>
      <c r="S39">
        <v>96.173500000000004</v>
      </c>
      <c r="T39">
        <v>16.840900000000001</v>
      </c>
    </row>
    <row r="40" spans="1:20" x14ac:dyDescent="0.3">
      <c r="A40" t="s">
        <v>114</v>
      </c>
      <c r="B40" t="s">
        <v>29</v>
      </c>
      <c r="C40" t="s">
        <v>115</v>
      </c>
      <c r="D40" t="s">
        <v>31</v>
      </c>
      <c r="E40" t="s">
        <v>32</v>
      </c>
      <c r="F40" t="s">
        <v>25</v>
      </c>
      <c r="G40" t="s">
        <v>26</v>
      </c>
      <c r="H40">
        <v>54.92</v>
      </c>
      <c r="I40">
        <v>10</v>
      </c>
      <c r="J40">
        <v>27.46</v>
      </c>
      <c r="K40">
        <v>549.20000000000005</v>
      </c>
      <c r="L40" s="1">
        <v>43765</v>
      </c>
      <c r="M40" s="2">
        <v>0.55833333333333335</v>
      </c>
      <c r="N40" t="s">
        <v>27</v>
      </c>
      <c r="O40">
        <v>439.36</v>
      </c>
      <c r="P40">
        <v>4.7619047620000003</v>
      </c>
      <c r="Q40">
        <v>109.84</v>
      </c>
      <c r="R40">
        <v>7.98</v>
      </c>
      <c r="S40">
        <v>96.078500000000005</v>
      </c>
      <c r="T40">
        <v>19.763300000000001</v>
      </c>
    </row>
    <row r="41" spans="1:20" x14ac:dyDescent="0.3">
      <c r="A41" t="s">
        <v>116</v>
      </c>
      <c r="B41" t="s">
        <v>51</v>
      </c>
      <c r="C41" t="s">
        <v>117</v>
      </c>
      <c r="D41" t="s">
        <v>53</v>
      </c>
      <c r="E41" t="s">
        <v>32</v>
      </c>
      <c r="F41" t="s">
        <v>25</v>
      </c>
      <c r="G41" t="s">
        <v>77</v>
      </c>
      <c r="H41">
        <v>30.12</v>
      </c>
      <c r="I41">
        <v>11</v>
      </c>
      <c r="J41">
        <v>16.565999999999999</v>
      </c>
      <c r="K41">
        <v>331.32</v>
      </c>
      <c r="L41" s="1">
        <v>43752</v>
      </c>
      <c r="M41" s="2">
        <v>0.54236111111111107</v>
      </c>
      <c r="N41" t="s">
        <v>33</v>
      </c>
      <c r="O41">
        <v>240.96</v>
      </c>
      <c r="P41">
        <v>4.7619047620000003</v>
      </c>
      <c r="Q41">
        <v>90.36</v>
      </c>
      <c r="R41">
        <v>9.24</v>
      </c>
      <c r="S41">
        <v>96.089100000000002</v>
      </c>
      <c r="T41">
        <v>21.9588</v>
      </c>
    </row>
    <row r="42" spans="1:20" x14ac:dyDescent="0.3">
      <c r="A42" t="s">
        <v>118</v>
      </c>
      <c r="B42" t="s">
        <v>51</v>
      </c>
      <c r="C42" t="s">
        <v>119</v>
      </c>
      <c r="D42" t="s">
        <v>53</v>
      </c>
      <c r="E42" t="s">
        <v>32</v>
      </c>
      <c r="F42" t="s">
        <v>25</v>
      </c>
      <c r="G42" t="s">
        <v>77</v>
      </c>
      <c r="H42">
        <v>86.72</v>
      </c>
      <c r="I42">
        <v>1</v>
      </c>
      <c r="J42">
        <v>4.3360000000000003</v>
      </c>
      <c r="K42">
        <v>86.72</v>
      </c>
      <c r="L42" s="1">
        <v>43504</v>
      </c>
      <c r="M42" s="2">
        <v>0.78125</v>
      </c>
      <c r="N42" t="s">
        <v>27</v>
      </c>
      <c r="O42">
        <v>86.72</v>
      </c>
      <c r="P42">
        <v>4.7619047620000003</v>
      </c>
      <c r="Q42">
        <v>0</v>
      </c>
      <c r="R42">
        <v>9.48</v>
      </c>
      <c r="S42">
        <v>96.089100000000002</v>
      </c>
      <c r="T42">
        <v>21.9588</v>
      </c>
    </row>
    <row r="43" spans="1:20" x14ac:dyDescent="0.3">
      <c r="A43" t="s">
        <v>120</v>
      </c>
      <c r="B43" t="s">
        <v>29</v>
      </c>
      <c r="C43" t="s">
        <v>121</v>
      </c>
      <c r="D43" t="s">
        <v>31</v>
      </c>
      <c r="E43" t="s">
        <v>32</v>
      </c>
      <c r="F43" t="s">
        <v>36</v>
      </c>
      <c r="G43" t="s">
        <v>77</v>
      </c>
      <c r="H43">
        <v>56.11</v>
      </c>
      <c r="I43">
        <v>2</v>
      </c>
      <c r="J43">
        <v>5.6109999999999998</v>
      </c>
      <c r="K43">
        <v>112.22</v>
      </c>
      <c r="L43" s="1">
        <v>43708</v>
      </c>
      <c r="M43" s="2">
        <v>0.42430555555555555</v>
      </c>
      <c r="N43" t="s">
        <v>33</v>
      </c>
      <c r="O43">
        <v>112.22</v>
      </c>
      <c r="P43">
        <v>4.7619047620000003</v>
      </c>
      <c r="Q43">
        <v>0</v>
      </c>
      <c r="R43">
        <v>6.6150000000000002</v>
      </c>
      <c r="S43">
        <v>96.078500000000005</v>
      </c>
      <c r="T43">
        <v>19.763300000000001</v>
      </c>
    </row>
    <row r="44" spans="1:20" x14ac:dyDescent="0.3">
      <c r="A44" t="s">
        <v>122</v>
      </c>
      <c r="B44" t="s">
        <v>51</v>
      </c>
      <c r="C44" t="s">
        <v>123</v>
      </c>
      <c r="D44" t="s">
        <v>53</v>
      </c>
      <c r="E44" t="s">
        <v>32</v>
      </c>
      <c r="F44" t="s">
        <v>25</v>
      </c>
      <c r="G44" t="s">
        <v>68</v>
      </c>
      <c r="H44">
        <v>69.12</v>
      </c>
      <c r="I44">
        <v>8</v>
      </c>
      <c r="J44">
        <v>27.648</v>
      </c>
      <c r="K44">
        <v>552.96</v>
      </c>
      <c r="L44" s="1">
        <v>43583</v>
      </c>
      <c r="M44" s="2">
        <v>0.54374999999999996</v>
      </c>
      <c r="N44" t="s">
        <v>33</v>
      </c>
      <c r="O44">
        <v>414.72</v>
      </c>
      <c r="P44">
        <v>4.7619047620000003</v>
      </c>
      <c r="Q44">
        <v>138.24</v>
      </c>
      <c r="R44">
        <v>6.72</v>
      </c>
      <c r="S44">
        <v>96.089100000000002</v>
      </c>
      <c r="T44">
        <v>21.9588</v>
      </c>
    </row>
    <row r="45" spans="1:20" x14ac:dyDescent="0.3">
      <c r="A45" t="s">
        <v>124</v>
      </c>
      <c r="B45" t="s">
        <v>29</v>
      </c>
      <c r="C45" t="s">
        <v>125</v>
      </c>
      <c r="D45" t="s">
        <v>31</v>
      </c>
      <c r="E45" t="s">
        <v>32</v>
      </c>
      <c r="F45" t="s">
        <v>25</v>
      </c>
      <c r="G45" t="s">
        <v>63</v>
      </c>
      <c r="H45">
        <v>98.7</v>
      </c>
      <c r="I45">
        <v>10</v>
      </c>
      <c r="J45">
        <v>49.35</v>
      </c>
      <c r="K45">
        <v>987</v>
      </c>
      <c r="L45" s="1">
        <v>43518</v>
      </c>
      <c r="M45" s="2">
        <v>0.86041666666666672</v>
      </c>
      <c r="N45" t="s">
        <v>33</v>
      </c>
      <c r="O45">
        <v>789.6</v>
      </c>
      <c r="P45">
        <v>4.7619047620000003</v>
      </c>
      <c r="Q45">
        <v>197.4</v>
      </c>
      <c r="R45">
        <v>7.98</v>
      </c>
      <c r="S45">
        <v>96.078500000000005</v>
      </c>
      <c r="T45">
        <v>19.763300000000001</v>
      </c>
    </row>
    <row r="46" spans="1:20" x14ac:dyDescent="0.3">
      <c r="A46" t="s">
        <v>126</v>
      </c>
      <c r="B46" t="s">
        <v>29</v>
      </c>
      <c r="C46" t="s">
        <v>127</v>
      </c>
      <c r="D46" t="s">
        <v>31</v>
      </c>
      <c r="E46" t="s">
        <v>32</v>
      </c>
      <c r="F46" t="s">
        <v>36</v>
      </c>
      <c r="G46" t="s">
        <v>26</v>
      </c>
      <c r="H46">
        <v>15.37</v>
      </c>
      <c r="I46">
        <v>2</v>
      </c>
      <c r="J46">
        <v>1.5369999999999999</v>
      </c>
      <c r="K46">
        <v>30.74</v>
      </c>
      <c r="L46" s="1">
        <v>43745</v>
      </c>
      <c r="M46" s="2">
        <v>0.82430555555555551</v>
      </c>
      <c r="N46" t="s">
        <v>33</v>
      </c>
      <c r="O46">
        <v>30.74</v>
      </c>
      <c r="P46">
        <v>4.7619047620000003</v>
      </c>
      <c r="Q46">
        <v>0</v>
      </c>
      <c r="R46">
        <v>7.56</v>
      </c>
      <c r="S46">
        <v>96.078500000000005</v>
      </c>
      <c r="T46">
        <v>19.763300000000001</v>
      </c>
    </row>
    <row r="47" spans="1:20" x14ac:dyDescent="0.3">
      <c r="A47" t="s">
        <v>128</v>
      </c>
      <c r="B47" t="s">
        <v>51</v>
      </c>
      <c r="C47" t="s">
        <v>129</v>
      </c>
      <c r="D47" t="s">
        <v>53</v>
      </c>
      <c r="E47" t="s">
        <v>32</v>
      </c>
      <c r="F47" t="s">
        <v>25</v>
      </c>
      <c r="G47" t="s">
        <v>26</v>
      </c>
      <c r="H47">
        <v>93.96</v>
      </c>
      <c r="I47">
        <v>6</v>
      </c>
      <c r="J47">
        <v>28.187999999999999</v>
      </c>
      <c r="K47">
        <v>563.76</v>
      </c>
      <c r="L47" s="1">
        <v>43476</v>
      </c>
      <c r="M47" s="2">
        <v>0.75</v>
      </c>
      <c r="N47" t="s">
        <v>33</v>
      </c>
      <c r="O47">
        <v>375.84</v>
      </c>
      <c r="P47">
        <v>4.7619047620000003</v>
      </c>
      <c r="Q47">
        <v>187.92</v>
      </c>
      <c r="R47">
        <v>10</v>
      </c>
      <c r="S47">
        <v>96.089100000000002</v>
      </c>
      <c r="T47">
        <v>21.9588</v>
      </c>
    </row>
    <row r="48" spans="1:20" x14ac:dyDescent="0.3">
      <c r="A48" t="s">
        <v>130</v>
      </c>
      <c r="B48" t="s">
        <v>51</v>
      </c>
      <c r="C48" t="s">
        <v>119</v>
      </c>
      <c r="D48" t="s">
        <v>53</v>
      </c>
      <c r="E48" t="s">
        <v>32</v>
      </c>
      <c r="F48" t="s">
        <v>36</v>
      </c>
      <c r="G48" t="s">
        <v>26</v>
      </c>
      <c r="H48">
        <v>56.69</v>
      </c>
      <c r="I48">
        <v>13</v>
      </c>
      <c r="J48">
        <v>36.848500000000001</v>
      </c>
      <c r="K48">
        <v>736.97</v>
      </c>
      <c r="L48" s="1">
        <v>43521</v>
      </c>
      <c r="M48" s="2">
        <v>0.72499999999999998</v>
      </c>
      <c r="N48" t="s">
        <v>37</v>
      </c>
      <c r="O48">
        <v>510.21</v>
      </c>
      <c r="P48">
        <v>4.7619047620000003</v>
      </c>
      <c r="Q48">
        <v>226.76</v>
      </c>
      <c r="R48">
        <v>10</v>
      </c>
      <c r="S48">
        <v>96.089100000000002</v>
      </c>
      <c r="T48">
        <v>21.9588</v>
      </c>
    </row>
    <row r="49" spans="1:20" x14ac:dyDescent="0.3">
      <c r="A49" t="s">
        <v>131</v>
      </c>
      <c r="B49" t="s">
        <v>51</v>
      </c>
      <c r="C49" t="s">
        <v>132</v>
      </c>
      <c r="D49" t="s">
        <v>53</v>
      </c>
      <c r="E49" t="s">
        <v>32</v>
      </c>
      <c r="F49" t="s">
        <v>25</v>
      </c>
      <c r="G49" t="s">
        <v>26</v>
      </c>
      <c r="H49">
        <v>20.010000000000002</v>
      </c>
      <c r="I49">
        <v>13</v>
      </c>
      <c r="J49">
        <v>13.006500000000001</v>
      </c>
      <c r="K49">
        <v>260.13</v>
      </c>
      <c r="L49" s="1">
        <v>43503</v>
      </c>
      <c r="M49" s="2">
        <v>0.65763888888888888</v>
      </c>
      <c r="N49" t="s">
        <v>27</v>
      </c>
      <c r="O49">
        <v>180.09</v>
      </c>
      <c r="P49">
        <v>4.7619047620000003</v>
      </c>
      <c r="Q49">
        <v>80.040000000000006</v>
      </c>
      <c r="R49">
        <v>4.92</v>
      </c>
      <c r="S49">
        <v>96.089100000000002</v>
      </c>
      <c r="T49">
        <v>21.9588</v>
      </c>
    </row>
    <row r="50" spans="1:20" x14ac:dyDescent="0.3">
      <c r="A50" t="s">
        <v>133</v>
      </c>
      <c r="B50" t="s">
        <v>51</v>
      </c>
      <c r="C50" t="s">
        <v>134</v>
      </c>
      <c r="D50" t="s">
        <v>53</v>
      </c>
      <c r="E50" t="s">
        <v>32</v>
      </c>
      <c r="F50" t="s">
        <v>36</v>
      </c>
      <c r="G50" t="s">
        <v>26</v>
      </c>
      <c r="H50">
        <v>18.93</v>
      </c>
      <c r="I50">
        <v>8</v>
      </c>
      <c r="J50">
        <v>7.5720000000000001</v>
      </c>
      <c r="K50">
        <v>151.44</v>
      </c>
      <c r="L50" s="1">
        <v>43754</v>
      </c>
      <c r="M50" s="2">
        <v>0.53125</v>
      </c>
      <c r="N50" t="s">
        <v>37</v>
      </c>
      <c r="O50">
        <v>113.58</v>
      </c>
      <c r="P50">
        <v>4.7619047620000003</v>
      </c>
      <c r="Q50">
        <v>37.86</v>
      </c>
      <c r="R50">
        <v>9.7200000000000006</v>
      </c>
      <c r="S50">
        <v>96.089100000000002</v>
      </c>
      <c r="T50">
        <v>21.9588</v>
      </c>
    </row>
    <row r="51" spans="1:20" x14ac:dyDescent="0.3">
      <c r="A51" t="s">
        <v>135</v>
      </c>
      <c r="B51" t="s">
        <v>29</v>
      </c>
      <c r="C51" t="s">
        <v>136</v>
      </c>
      <c r="D51" t="s">
        <v>31</v>
      </c>
      <c r="E51" t="s">
        <v>32</v>
      </c>
      <c r="F51" t="s">
        <v>25</v>
      </c>
      <c r="G51" t="s">
        <v>26</v>
      </c>
      <c r="H51">
        <v>82.63</v>
      </c>
      <c r="I51">
        <v>12</v>
      </c>
      <c r="J51">
        <v>49.578000000000003</v>
      </c>
      <c r="K51">
        <v>991.56</v>
      </c>
      <c r="L51" s="1">
        <v>43619</v>
      </c>
      <c r="M51" s="2">
        <v>0.71388888888888891</v>
      </c>
      <c r="N51" t="s">
        <v>27</v>
      </c>
      <c r="O51">
        <v>826.3</v>
      </c>
      <c r="P51">
        <v>4.7619047620000003</v>
      </c>
      <c r="Q51">
        <v>165.26</v>
      </c>
      <c r="R51">
        <v>8.2949999999999999</v>
      </c>
      <c r="S51">
        <v>96.078500000000005</v>
      </c>
      <c r="T51">
        <v>19.763300000000001</v>
      </c>
    </row>
    <row r="52" spans="1:20" x14ac:dyDescent="0.3">
      <c r="A52" t="s">
        <v>137</v>
      </c>
      <c r="B52" t="s">
        <v>29</v>
      </c>
      <c r="C52" t="s">
        <v>138</v>
      </c>
      <c r="D52" t="s">
        <v>31</v>
      </c>
      <c r="E52" t="s">
        <v>32</v>
      </c>
      <c r="F52" t="s">
        <v>36</v>
      </c>
      <c r="G52" t="s">
        <v>63</v>
      </c>
      <c r="H52">
        <v>91.4</v>
      </c>
      <c r="I52">
        <v>8</v>
      </c>
      <c r="J52">
        <v>36.56</v>
      </c>
      <c r="K52">
        <v>731.2</v>
      </c>
      <c r="L52" s="1">
        <v>43559</v>
      </c>
      <c r="M52" s="2">
        <v>0.42986111111111114</v>
      </c>
      <c r="N52" t="s">
        <v>33</v>
      </c>
      <c r="O52">
        <v>639.79999999999995</v>
      </c>
      <c r="P52">
        <v>4.7619047620000003</v>
      </c>
      <c r="Q52">
        <v>91.4</v>
      </c>
      <c r="R52">
        <v>9.9749999999999996</v>
      </c>
      <c r="S52">
        <v>96.078500000000005</v>
      </c>
      <c r="T52">
        <v>19.763300000000001</v>
      </c>
    </row>
    <row r="53" spans="1:20" x14ac:dyDescent="0.3">
      <c r="A53" t="s">
        <v>139</v>
      </c>
      <c r="B53" t="s">
        <v>21</v>
      </c>
      <c r="C53" t="s">
        <v>93</v>
      </c>
      <c r="D53" t="s">
        <v>23</v>
      </c>
      <c r="E53" t="s">
        <v>32</v>
      </c>
      <c r="F53" t="s">
        <v>25</v>
      </c>
      <c r="G53" t="s">
        <v>63</v>
      </c>
      <c r="H53">
        <v>44.59</v>
      </c>
      <c r="I53">
        <v>5</v>
      </c>
      <c r="J53">
        <v>11.147500000000001</v>
      </c>
      <c r="K53">
        <v>222.95</v>
      </c>
      <c r="L53" s="1">
        <v>43736</v>
      </c>
      <c r="M53" s="2">
        <v>0.63194444444444442</v>
      </c>
      <c r="N53" t="s">
        <v>33</v>
      </c>
      <c r="O53">
        <v>222.95</v>
      </c>
      <c r="P53">
        <v>4.7619047620000003</v>
      </c>
      <c r="Q53">
        <v>0</v>
      </c>
      <c r="R53">
        <v>8.5</v>
      </c>
      <c r="S53">
        <v>96.173500000000004</v>
      </c>
      <c r="T53">
        <v>16.840900000000001</v>
      </c>
    </row>
    <row r="54" spans="1:20" x14ac:dyDescent="0.3">
      <c r="A54" t="s">
        <v>140</v>
      </c>
      <c r="B54" t="s">
        <v>51</v>
      </c>
      <c r="C54" t="s">
        <v>141</v>
      </c>
      <c r="D54" t="s">
        <v>53</v>
      </c>
      <c r="E54" t="s">
        <v>32</v>
      </c>
      <c r="F54" t="s">
        <v>25</v>
      </c>
      <c r="G54" t="s">
        <v>100</v>
      </c>
      <c r="H54">
        <v>17.87</v>
      </c>
      <c r="I54">
        <v>6</v>
      </c>
      <c r="J54">
        <v>5.3609999999999998</v>
      </c>
      <c r="K54">
        <v>107.22</v>
      </c>
      <c r="L54" s="1">
        <v>43829</v>
      </c>
      <c r="M54" s="2">
        <v>0.61250000000000004</v>
      </c>
      <c r="N54" t="s">
        <v>27</v>
      </c>
      <c r="O54">
        <v>71.48</v>
      </c>
      <c r="P54">
        <v>4.7619047620000003</v>
      </c>
      <c r="Q54">
        <v>35.74</v>
      </c>
      <c r="R54">
        <v>7.8</v>
      </c>
      <c r="S54">
        <v>96.089100000000002</v>
      </c>
      <c r="T54">
        <v>21.9588</v>
      </c>
    </row>
    <row r="55" spans="1:20" x14ac:dyDescent="0.3">
      <c r="A55" t="s">
        <v>142</v>
      </c>
      <c r="B55" t="s">
        <v>29</v>
      </c>
      <c r="C55" t="s">
        <v>143</v>
      </c>
      <c r="D55" t="s">
        <v>31</v>
      </c>
      <c r="E55" t="s">
        <v>32</v>
      </c>
      <c r="F55" t="s">
        <v>36</v>
      </c>
      <c r="G55" t="s">
        <v>100</v>
      </c>
      <c r="H55">
        <v>15.43</v>
      </c>
      <c r="I55">
        <v>1</v>
      </c>
      <c r="J55">
        <v>0.77149999999999996</v>
      </c>
      <c r="K55">
        <v>15.43</v>
      </c>
      <c r="L55" s="1">
        <v>43723</v>
      </c>
      <c r="M55" s="2">
        <v>0.65694444444444444</v>
      </c>
      <c r="N55" t="s">
        <v>37</v>
      </c>
      <c r="O55">
        <v>15.43</v>
      </c>
      <c r="P55">
        <v>4.7619047620000003</v>
      </c>
      <c r="Q55">
        <v>0</v>
      </c>
      <c r="R55">
        <v>6.4050000000000002</v>
      </c>
      <c r="S55">
        <v>96.078500000000005</v>
      </c>
      <c r="T55">
        <v>19.763300000000001</v>
      </c>
    </row>
    <row r="56" spans="1:20" x14ac:dyDescent="0.3">
      <c r="A56" t="s">
        <v>144</v>
      </c>
      <c r="B56" t="s">
        <v>51</v>
      </c>
      <c r="C56" t="s">
        <v>145</v>
      </c>
      <c r="D56" t="s">
        <v>53</v>
      </c>
      <c r="E56" t="s">
        <v>32</v>
      </c>
      <c r="F56" t="s">
        <v>36</v>
      </c>
      <c r="G56" t="s">
        <v>77</v>
      </c>
      <c r="H56">
        <v>16.16</v>
      </c>
      <c r="I56">
        <v>3</v>
      </c>
      <c r="J56">
        <v>2.4239999999999999</v>
      </c>
      <c r="K56">
        <v>48.48</v>
      </c>
      <c r="L56" s="1">
        <v>43585</v>
      </c>
      <c r="M56" s="2">
        <v>0.49236111111111114</v>
      </c>
      <c r="N56" t="s">
        <v>27</v>
      </c>
      <c r="O56">
        <v>32.32</v>
      </c>
      <c r="P56">
        <v>4.7619047620000003</v>
      </c>
      <c r="Q56">
        <v>16.16</v>
      </c>
      <c r="R56">
        <v>7.8</v>
      </c>
      <c r="S56">
        <v>96.089100000000002</v>
      </c>
      <c r="T56">
        <v>21.9588</v>
      </c>
    </row>
    <row r="57" spans="1:20" x14ac:dyDescent="0.3">
      <c r="A57" t="s">
        <v>146</v>
      </c>
      <c r="B57" t="s">
        <v>29</v>
      </c>
      <c r="C57" t="s">
        <v>147</v>
      </c>
      <c r="D57" t="s">
        <v>31</v>
      </c>
      <c r="E57" t="s">
        <v>32</v>
      </c>
      <c r="F57" t="s">
        <v>25</v>
      </c>
      <c r="G57" t="s">
        <v>60</v>
      </c>
      <c r="H57">
        <v>85.98</v>
      </c>
      <c r="I57">
        <v>10</v>
      </c>
      <c r="J57">
        <v>42.99</v>
      </c>
      <c r="K57">
        <v>859.8</v>
      </c>
      <c r="L57" s="1">
        <v>43515</v>
      </c>
      <c r="M57" s="2">
        <v>0.79236111111111107</v>
      </c>
      <c r="N57" t="s">
        <v>33</v>
      </c>
      <c r="O57">
        <v>687.84</v>
      </c>
      <c r="P57">
        <v>4.7619047620000003</v>
      </c>
      <c r="Q57">
        <v>171.96</v>
      </c>
      <c r="R57">
        <v>8.61</v>
      </c>
      <c r="S57">
        <v>96.078500000000005</v>
      </c>
      <c r="T57">
        <v>19.763300000000001</v>
      </c>
    </row>
    <row r="58" spans="1:20" x14ac:dyDescent="0.3">
      <c r="A58" t="s">
        <v>148</v>
      </c>
      <c r="B58" t="s">
        <v>21</v>
      </c>
      <c r="C58" t="s">
        <v>111</v>
      </c>
      <c r="D58" t="s">
        <v>23</v>
      </c>
      <c r="E58" t="s">
        <v>32</v>
      </c>
      <c r="F58" t="s">
        <v>36</v>
      </c>
      <c r="G58" t="s">
        <v>77</v>
      </c>
      <c r="H58">
        <v>44.34</v>
      </c>
      <c r="I58">
        <v>2</v>
      </c>
      <c r="J58">
        <v>4.4340000000000002</v>
      </c>
      <c r="K58">
        <v>88.68</v>
      </c>
      <c r="L58" s="1">
        <v>43479</v>
      </c>
      <c r="M58" s="2">
        <v>0.47638888888888886</v>
      </c>
      <c r="N58" t="s">
        <v>27</v>
      </c>
      <c r="O58">
        <v>88.68</v>
      </c>
      <c r="P58">
        <v>4.7619047620000003</v>
      </c>
      <c r="Q58">
        <v>0</v>
      </c>
      <c r="R58">
        <v>7.46</v>
      </c>
      <c r="S58">
        <v>96.173500000000004</v>
      </c>
      <c r="T58">
        <v>16.840900000000001</v>
      </c>
    </row>
    <row r="59" spans="1:20" x14ac:dyDescent="0.3">
      <c r="A59" t="s">
        <v>149</v>
      </c>
      <c r="B59" t="s">
        <v>21</v>
      </c>
      <c r="C59" t="s">
        <v>150</v>
      </c>
      <c r="D59" t="s">
        <v>23</v>
      </c>
      <c r="E59" t="s">
        <v>32</v>
      </c>
      <c r="F59" t="s">
        <v>36</v>
      </c>
      <c r="G59" t="s">
        <v>26</v>
      </c>
      <c r="H59">
        <v>89.6</v>
      </c>
      <c r="I59">
        <v>8</v>
      </c>
      <c r="J59">
        <v>35.840000000000003</v>
      </c>
      <c r="K59">
        <v>716.8</v>
      </c>
      <c r="L59" s="1">
        <v>43645</v>
      </c>
      <c r="M59" s="2">
        <v>0.4777777777777778</v>
      </c>
      <c r="N59" t="s">
        <v>27</v>
      </c>
      <c r="O59">
        <v>716.8</v>
      </c>
      <c r="P59">
        <v>4.7619047620000003</v>
      </c>
      <c r="Q59">
        <v>0</v>
      </c>
      <c r="R59">
        <v>7.46</v>
      </c>
      <c r="S59">
        <v>96.173500000000004</v>
      </c>
      <c r="T59">
        <v>16.840900000000001</v>
      </c>
    </row>
    <row r="60" spans="1:20" x14ac:dyDescent="0.3">
      <c r="A60" t="s">
        <v>151</v>
      </c>
      <c r="B60" t="s">
        <v>21</v>
      </c>
      <c r="C60" t="s">
        <v>152</v>
      </c>
      <c r="D60" t="s">
        <v>23</v>
      </c>
      <c r="E60" t="s">
        <v>24</v>
      </c>
      <c r="F60" t="s">
        <v>25</v>
      </c>
      <c r="G60" t="s">
        <v>77</v>
      </c>
      <c r="H60">
        <v>72.349999999999994</v>
      </c>
      <c r="I60">
        <v>14</v>
      </c>
      <c r="J60">
        <v>50.645000000000003</v>
      </c>
      <c r="K60">
        <v>1012.9</v>
      </c>
      <c r="L60" s="1">
        <v>43493</v>
      </c>
      <c r="M60" s="2">
        <v>0.66319444444444442</v>
      </c>
      <c r="N60" t="s">
        <v>27</v>
      </c>
      <c r="O60">
        <v>723.5</v>
      </c>
      <c r="P60">
        <v>4.7619047620000003</v>
      </c>
      <c r="Q60">
        <v>289.39999999999998</v>
      </c>
      <c r="R60">
        <v>7.46</v>
      </c>
      <c r="S60">
        <v>96.173500000000004</v>
      </c>
      <c r="T60">
        <v>16.840900000000001</v>
      </c>
    </row>
    <row r="61" spans="1:20" x14ac:dyDescent="0.3">
      <c r="A61" t="s">
        <v>153</v>
      </c>
      <c r="B61" t="s">
        <v>29</v>
      </c>
      <c r="C61" t="s">
        <v>154</v>
      </c>
      <c r="D61" t="s">
        <v>31</v>
      </c>
      <c r="E61" t="s">
        <v>32</v>
      </c>
      <c r="F61" t="s">
        <v>36</v>
      </c>
      <c r="G61" t="s">
        <v>60</v>
      </c>
      <c r="H61">
        <v>30.61</v>
      </c>
      <c r="I61">
        <v>7</v>
      </c>
      <c r="J61">
        <v>10.7135</v>
      </c>
      <c r="K61">
        <v>214.27</v>
      </c>
      <c r="L61" s="1">
        <v>43592</v>
      </c>
      <c r="M61" s="2">
        <v>0.85833333333333328</v>
      </c>
      <c r="N61" t="s">
        <v>27</v>
      </c>
      <c r="O61">
        <v>183.66</v>
      </c>
      <c r="P61">
        <v>4.7619047620000003</v>
      </c>
      <c r="Q61">
        <v>30.61</v>
      </c>
      <c r="R61">
        <v>7.46</v>
      </c>
      <c r="S61">
        <v>96.078500000000005</v>
      </c>
      <c r="T61">
        <v>19.763300000000001</v>
      </c>
    </row>
    <row r="62" spans="1:20" x14ac:dyDescent="0.3">
      <c r="A62" t="s">
        <v>155</v>
      </c>
      <c r="B62" t="s">
        <v>29</v>
      </c>
      <c r="C62" t="s">
        <v>156</v>
      </c>
      <c r="D62" t="s">
        <v>31</v>
      </c>
      <c r="E62" t="s">
        <v>32</v>
      </c>
      <c r="F62" t="s">
        <v>25</v>
      </c>
      <c r="G62" t="s">
        <v>68</v>
      </c>
      <c r="H62">
        <v>24.74</v>
      </c>
      <c r="I62">
        <v>4</v>
      </c>
      <c r="J62">
        <v>4.9480000000000004</v>
      </c>
      <c r="K62">
        <v>98.96</v>
      </c>
      <c r="L62" s="1">
        <v>43788</v>
      </c>
      <c r="M62" s="2">
        <v>0.74097222222222225</v>
      </c>
      <c r="N62" t="s">
        <v>27</v>
      </c>
      <c r="O62">
        <v>74.22</v>
      </c>
      <c r="P62">
        <v>4.7619047620000003</v>
      </c>
      <c r="Q62">
        <v>24.74</v>
      </c>
      <c r="R62">
        <v>7.46</v>
      </c>
      <c r="S62">
        <v>96.078500000000005</v>
      </c>
      <c r="T62">
        <v>19.763300000000001</v>
      </c>
    </row>
    <row r="63" spans="1:20" x14ac:dyDescent="0.3">
      <c r="A63" t="s">
        <v>157</v>
      </c>
      <c r="B63" t="s">
        <v>29</v>
      </c>
      <c r="C63" t="s">
        <v>158</v>
      </c>
      <c r="D63" t="s">
        <v>31</v>
      </c>
      <c r="E63" t="s">
        <v>32</v>
      </c>
      <c r="F63" t="s">
        <v>36</v>
      </c>
      <c r="G63" t="s">
        <v>77</v>
      </c>
      <c r="H63">
        <v>55.73</v>
      </c>
      <c r="I63">
        <v>7</v>
      </c>
      <c r="J63">
        <f>K63*5%</f>
        <v>19.505500000000001</v>
      </c>
      <c r="K63">
        <v>390.11</v>
      </c>
      <c r="L63" s="1">
        <v>43733</v>
      </c>
      <c r="M63" s="2">
        <v>0.4548611111111111</v>
      </c>
      <c r="N63" t="s">
        <v>27</v>
      </c>
      <c r="O63">
        <v>334.38</v>
      </c>
      <c r="P63">
        <v>4.7619047620000003</v>
      </c>
      <c r="Q63">
        <v>55.73</v>
      </c>
      <c r="R63">
        <v>7.46</v>
      </c>
      <c r="S63">
        <v>96.078500000000005</v>
      </c>
      <c r="T63">
        <v>19.763300000000001</v>
      </c>
    </row>
    <row r="64" spans="1:20" x14ac:dyDescent="0.3">
      <c r="A64" t="s">
        <v>159</v>
      </c>
      <c r="B64" t="s">
        <v>51</v>
      </c>
      <c r="C64" t="s">
        <v>119</v>
      </c>
      <c r="D64" t="s">
        <v>53</v>
      </c>
      <c r="E64" t="s">
        <v>32</v>
      </c>
      <c r="F64" t="s">
        <v>25</v>
      </c>
      <c r="G64" t="s">
        <v>68</v>
      </c>
      <c r="H64">
        <v>55.07</v>
      </c>
      <c r="I64">
        <v>13</v>
      </c>
      <c r="J64">
        <v>35.795499999999997</v>
      </c>
      <c r="K64">
        <v>715.91</v>
      </c>
      <c r="L64" s="1">
        <v>43808</v>
      </c>
      <c r="M64" s="2">
        <v>0.56944444444444442</v>
      </c>
      <c r="N64" t="s">
        <v>27</v>
      </c>
      <c r="O64">
        <v>495.63</v>
      </c>
      <c r="P64">
        <v>4.7619047620000003</v>
      </c>
      <c r="Q64">
        <v>220.28</v>
      </c>
      <c r="R64">
        <v>7.46</v>
      </c>
      <c r="S64">
        <v>96.089100000000002</v>
      </c>
      <c r="T64">
        <v>21.9588</v>
      </c>
    </row>
    <row r="65" spans="1:20" x14ac:dyDescent="0.3">
      <c r="A65" t="s">
        <v>160</v>
      </c>
      <c r="B65" t="s">
        <v>21</v>
      </c>
      <c r="C65" t="s">
        <v>161</v>
      </c>
      <c r="D65" t="s">
        <v>23</v>
      </c>
      <c r="E65" t="s">
        <v>32</v>
      </c>
      <c r="F65" t="s">
        <v>36</v>
      </c>
      <c r="G65" t="s">
        <v>68</v>
      </c>
      <c r="H65">
        <v>15.81</v>
      </c>
      <c r="I65">
        <v>10</v>
      </c>
      <c r="J65">
        <v>7.9050000000000002</v>
      </c>
      <c r="K65">
        <v>158.1</v>
      </c>
      <c r="L65" s="1">
        <v>43546</v>
      </c>
      <c r="M65" s="2">
        <v>0.51875000000000004</v>
      </c>
      <c r="N65" t="s">
        <v>27</v>
      </c>
      <c r="O65">
        <v>158.1</v>
      </c>
      <c r="P65">
        <v>4.7619047620000003</v>
      </c>
      <c r="Q65">
        <v>0</v>
      </c>
      <c r="R65">
        <v>7.46</v>
      </c>
      <c r="S65">
        <v>96.173500000000004</v>
      </c>
      <c r="T65">
        <v>16.840900000000001</v>
      </c>
    </row>
    <row r="66" spans="1:20" x14ac:dyDescent="0.3">
      <c r="A66" t="s">
        <v>162</v>
      </c>
      <c r="B66" t="s">
        <v>51</v>
      </c>
      <c r="C66" t="s">
        <v>81</v>
      </c>
      <c r="D66" t="s">
        <v>53</v>
      </c>
      <c r="E66" t="s">
        <v>32</v>
      </c>
      <c r="F66" t="s">
        <v>36</v>
      </c>
      <c r="G66" t="s">
        <v>26</v>
      </c>
      <c r="H66">
        <v>75.739999999999995</v>
      </c>
      <c r="I66">
        <v>6</v>
      </c>
      <c r="J66">
        <v>22.722000000000001</v>
      </c>
      <c r="K66">
        <v>454.44</v>
      </c>
      <c r="L66" s="1">
        <v>43742</v>
      </c>
      <c r="M66" s="2">
        <v>0.60763888888888884</v>
      </c>
      <c r="N66" t="s">
        <v>27</v>
      </c>
      <c r="O66">
        <v>302.95999999999998</v>
      </c>
      <c r="P66">
        <v>4.7619047620000003</v>
      </c>
      <c r="Q66">
        <v>151.47999999999999</v>
      </c>
      <c r="R66">
        <v>7.46</v>
      </c>
      <c r="S66">
        <v>96.089100000000002</v>
      </c>
      <c r="T66">
        <v>21.9588</v>
      </c>
    </row>
    <row r="67" spans="1:20" x14ac:dyDescent="0.3">
      <c r="A67" t="s">
        <v>163</v>
      </c>
      <c r="B67" t="s">
        <v>21</v>
      </c>
      <c r="C67" t="s">
        <v>164</v>
      </c>
      <c r="D67" t="s">
        <v>23</v>
      </c>
      <c r="E67" t="s">
        <v>32</v>
      </c>
      <c r="F67" t="s">
        <v>36</v>
      </c>
      <c r="G67" t="s">
        <v>26</v>
      </c>
      <c r="H67">
        <v>15.87</v>
      </c>
      <c r="I67">
        <v>10</v>
      </c>
      <c r="J67">
        <v>7.9349999999999996</v>
      </c>
      <c r="K67">
        <v>158.69999999999999</v>
      </c>
      <c r="L67" s="1">
        <v>43635</v>
      </c>
      <c r="M67" s="2">
        <v>0.69444444444444442</v>
      </c>
      <c r="N67" t="s">
        <v>27</v>
      </c>
      <c r="O67">
        <v>158.69999999999999</v>
      </c>
      <c r="P67">
        <v>4.7619047620000003</v>
      </c>
      <c r="Q67">
        <v>0</v>
      </c>
      <c r="R67">
        <v>7.46</v>
      </c>
      <c r="S67">
        <v>96.173500000000004</v>
      </c>
      <c r="T67">
        <v>16.840900000000001</v>
      </c>
    </row>
    <row r="68" spans="1:20" x14ac:dyDescent="0.3">
      <c r="A68" t="s">
        <v>165</v>
      </c>
      <c r="B68" t="s">
        <v>29</v>
      </c>
      <c r="C68" t="s">
        <v>166</v>
      </c>
      <c r="D68" t="s">
        <v>31</v>
      </c>
      <c r="E68" t="s">
        <v>32</v>
      </c>
      <c r="F68" t="s">
        <v>25</v>
      </c>
      <c r="G68" t="s">
        <v>26</v>
      </c>
      <c r="H68">
        <v>33.47</v>
      </c>
      <c r="I68">
        <v>2</v>
      </c>
      <c r="J68">
        <v>3.347</v>
      </c>
      <c r="K68">
        <v>66.94</v>
      </c>
      <c r="L68" s="1">
        <v>43727</v>
      </c>
      <c r="M68" s="2">
        <v>0.65486111111111112</v>
      </c>
      <c r="N68" t="s">
        <v>27</v>
      </c>
      <c r="O68">
        <v>66.94</v>
      </c>
      <c r="P68">
        <v>4.7619047620000003</v>
      </c>
      <c r="Q68">
        <v>0</v>
      </c>
      <c r="R68">
        <v>7.46</v>
      </c>
      <c r="S68">
        <v>96.078500000000005</v>
      </c>
      <c r="T68">
        <v>19.763300000000001</v>
      </c>
    </row>
    <row r="69" spans="1:20" x14ac:dyDescent="0.3">
      <c r="A69" t="s">
        <v>167</v>
      </c>
      <c r="B69" t="s">
        <v>51</v>
      </c>
      <c r="C69" t="s">
        <v>52</v>
      </c>
      <c r="D69" t="s">
        <v>53</v>
      </c>
      <c r="E69" t="s">
        <v>32</v>
      </c>
      <c r="F69" t="s">
        <v>25</v>
      </c>
      <c r="G69" t="s">
        <v>100</v>
      </c>
      <c r="H69">
        <v>97.61</v>
      </c>
      <c r="I69">
        <v>8</v>
      </c>
      <c r="J69">
        <v>39.043999999999997</v>
      </c>
      <c r="K69">
        <v>780.88</v>
      </c>
      <c r="L69" s="1">
        <v>43505</v>
      </c>
      <c r="M69" s="2">
        <v>0.62569444444444444</v>
      </c>
      <c r="N69" t="s">
        <v>27</v>
      </c>
      <c r="O69">
        <v>585.66</v>
      </c>
      <c r="P69">
        <v>4.7619047620000003</v>
      </c>
      <c r="Q69">
        <v>195.22</v>
      </c>
      <c r="R69">
        <v>7.46</v>
      </c>
      <c r="S69">
        <v>96.089100000000002</v>
      </c>
      <c r="T69">
        <v>21.9588</v>
      </c>
    </row>
    <row r="70" spans="1:20" x14ac:dyDescent="0.3">
      <c r="A70" t="s">
        <v>168</v>
      </c>
      <c r="B70" t="s">
        <v>21</v>
      </c>
      <c r="C70" t="s">
        <v>169</v>
      </c>
      <c r="D70" t="s">
        <v>23</v>
      </c>
      <c r="E70" t="s">
        <v>32</v>
      </c>
      <c r="F70" t="s">
        <v>36</v>
      </c>
      <c r="G70" t="s">
        <v>68</v>
      </c>
      <c r="H70">
        <v>78.77</v>
      </c>
      <c r="I70">
        <v>10</v>
      </c>
      <c r="J70">
        <v>39.384999999999998</v>
      </c>
      <c r="K70">
        <v>787.7</v>
      </c>
      <c r="L70" s="1">
        <v>43523</v>
      </c>
      <c r="M70" s="2">
        <v>0.41944444444444445</v>
      </c>
      <c r="N70" t="s">
        <v>33</v>
      </c>
      <c r="O70">
        <v>787.7</v>
      </c>
      <c r="P70">
        <v>4.7619047620000003</v>
      </c>
      <c r="Q70">
        <v>0</v>
      </c>
      <c r="R70">
        <v>7.46</v>
      </c>
      <c r="S70">
        <v>96.173500000000004</v>
      </c>
      <c r="T70">
        <v>16.840900000000001</v>
      </c>
    </row>
    <row r="71" spans="1:20" x14ac:dyDescent="0.3">
      <c r="A71" t="s">
        <v>170</v>
      </c>
      <c r="B71" t="s">
        <v>21</v>
      </c>
      <c r="C71" t="s">
        <v>152</v>
      </c>
      <c r="D71" t="s">
        <v>23</v>
      </c>
      <c r="E71" t="s">
        <v>32</v>
      </c>
      <c r="F71" t="s">
        <v>25</v>
      </c>
      <c r="G71" t="s">
        <v>26</v>
      </c>
      <c r="H71">
        <v>18.329999999999998</v>
      </c>
      <c r="I71">
        <v>1</v>
      </c>
      <c r="J71">
        <v>0.91649999999999998</v>
      </c>
      <c r="K71">
        <v>18.329999999999998</v>
      </c>
      <c r="L71" s="1">
        <v>43545</v>
      </c>
      <c r="M71" s="2">
        <v>0.78472222222222221</v>
      </c>
      <c r="N71" t="s">
        <v>33</v>
      </c>
      <c r="O71">
        <v>18.329999999999998</v>
      </c>
      <c r="P71">
        <v>4.7619047620000003</v>
      </c>
      <c r="Q71">
        <v>0</v>
      </c>
      <c r="R71">
        <v>7.46</v>
      </c>
      <c r="S71">
        <v>96.173500000000004</v>
      </c>
      <c r="T71">
        <v>16.840900000000001</v>
      </c>
    </row>
    <row r="72" spans="1:20" x14ac:dyDescent="0.3">
      <c r="A72" t="s">
        <v>171</v>
      </c>
      <c r="B72" t="s">
        <v>29</v>
      </c>
      <c r="C72" t="s">
        <v>115</v>
      </c>
      <c r="D72" t="s">
        <v>31</v>
      </c>
      <c r="E72" t="s">
        <v>32</v>
      </c>
      <c r="F72" t="s">
        <v>36</v>
      </c>
      <c r="G72" t="s">
        <v>63</v>
      </c>
      <c r="H72">
        <v>89.48</v>
      </c>
      <c r="I72">
        <v>12</v>
      </c>
      <c r="J72">
        <v>53.688000000000002</v>
      </c>
      <c r="K72">
        <v>1073.76</v>
      </c>
      <c r="L72" s="1">
        <v>43618</v>
      </c>
      <c r="M72" s="2">
        <v>0.53194444444444444</v>
      </c>
      <c r="N72" t="s">
        <v>37</v>
      </c>
      <c r="O72">
        <v>894.8</v>
      </c>
      <c r="P72">
        <v>4.7619047620000003</v>
      </c>
      <c r="Q72">
        <v>178.96</v>
      </c>
      <c r="R72">
        <v>10</v>
      </c>
      <c r="S72">
        <v>96.078500000000005</v>
      </c>
      <c r="T72">
        <v>19.763300000000001</v>
      </c>
    </row>
    <row r="73" spans="1:20" x14ac:dyDescent="0.3">
      <c r="A73" t="s">
        <v>172</v>
      </c>
      <c r="B73" t="s">
        <v>29</v>
      </c>
      <c r="C73" t="s">
        <v>173</v>
      </c>
      <c r="D73" t="s">
        <v>31</v>
      </c>
      <c r="E73" t="s">
        <v>32</v>
      </c>
      <c r="F73" t="s">
        <v>36</v>
      </c>
      <c r="G73" t="s">
        <v>100</v>
      </c>
      <c r="H73">
        <v>62.12</v>
      </c>
      <c r="I73">
        <v>12</v>
      </c>
      <c r="J73">
        <v>37.271999999999998</v>
      </c>
      <c r="K73">
        <v>745.44</v>
      </c>
      <c r="L73" s="1">
        <v>43668</v>
      </c>
      <c r="M73" s="2">
        <v>0.67986111111111114</v>
      </c>
      <c r="N73" t="s">
        <v>33</v>
      </c>
      <c r="O73">
        <v>621.20000000000005</v>
      </c>
      <c r="P73">
        <v>4.7619047620000003</v>
      </c>
      <c r="Q73">
        <v>124.24</v>
      </c>
      <c r="R73">
        <v>6.1950000000000003</v>
      </c>
      <c r="S73">
        <v>96.078500000000005</v>
      </c>
      <c r="T73">
        <v>19.763300000000001</v>
      </c>
    </row>
    <row r="74" spans="1:20" x14ac:dyDescent="0.3">
      <c r="A74" t="s">
        <v>174</v>
      </c>
      <c r="B74" t="s">
        <v>51</v>
      </c>
      <c r="C74" t="s">
        <v>175</v>
      </c>
      <c r="D74" t="s">
        <v>53</v>
      </c>
      <c r="E74" t="s">
        <v>32</v>
      </c>
      <c r="F74" t="s">
        <v>25</v>
      </c>
      <c r="G74" t="s">
        <v>63</v>
      </c>
      <c r="H74">
        <v>48.52</v>
      </c>
      <c r="I74">
        <v>4</v>
      </c>
      <c r="J74">
        <v>9.7040000000000006</v>
      </c>
      <c r="K74">
        <v>194.08</v>
      </c>
      <c r="L74" s="1">
        <v>43816</v>
      </c>
      <c r="M74" s="2">
        <v>0.76180555555555551</v>
      </c>
      <c r="N74" t="s">
        <v>27</v>
      </c>
      <c r="O74">
        <v>145.56</v>
      </c>
      <c r="P74">
        <v>4.7619047620000003</v>
      </c>
      <c r="Q74">
        <v>48.52</v>
      </c>
      <c r="R74">
        <v>4.8</v>
      </c>
      <c r="S74">
        <v>96.089100000000002</v>
      </c>
      <c r="T74">
        <v>21.9588</v>
      </c>
    </row>
    <row r="75" spans="1:20" x14ac:dyDescent="0.3">
      <c r="A75" t="s">
        <v>176</v>
      </c>
      <c r="B75" t="s">
        <v>29</v>
      </c>
      <c r="C75" t="s">
        <v>177</v>
      </c>
      <c r="D75" t="s">
        <v>31</v>
      </c>
      <c r="E75" t="s">
        <v>32</v>
      </c>
      <c r="F75" t="s">
        <v>25</v>
      </c>
      <c r="G75" t="s">
        <v>60</v>
      </c>
      <c r="H75">
        <v>75.91</v>
      </c>
      <c r="I75">
        <v>7</v>
      </c>
      <c r="J75">
        <v>26.5685</v>
      </c>
      <c r="K75">
        <v>531.37</v>
      </c>
      <c r="L75" s="1">
        <v>43777</v>
      </c>
      <c r="M75" s="2">
        <v>0.76458333333333328</v>
      </c>
      <c r="N75" t="s">
        <v>33</v>
      </c>
      <c r="O75">
        <v>455.46</v>
      </c>
      <c r="P75">
        <v>4.7619047620000003</v>
      </c>
      <c r="Q75">
        <v>75.91</v>
      </c>
      <c r="R75">
        <v>9.1349999999999998</v>
      </c>
      <c r="S75">
        <v>96.078500000000005</v>
      </c>
      <c r="T75">
        <v>19.763300000000001</v>
      </c>
    </row>
    <row r="76" spans="1:20" x14ac:dyDescent="0.3">
      <c r="A76" t="s">
        <v>178</v>
      </c>
      <c r="B76" t="s">
        <v>21</v>
      </c>
      <c r="C76" t="s">
        <v>179</v>
      </c>
      <c r="D76" t="s">
        <v>23</v>
      </c>
      <c r="E76" t="s">
        <v>32</v>
      </c>
      <c r="F76" t="s">
        <v>36</v>
      </c>
      <c r="G76" t="s">
        <v>77</v>
      </c>
      <c r="H76">
        <v>74.67</v>
      </c>
      <c r="I76">
        <v>9</v>
      </c>
      <c r="J76">
        <v>33.601500000000001</v>
      </c>
      <c r="K76">
        <v>672.03</v>
      </c>
      <c r="L76" s="1">
        <v>43555</v>
      </c>
      <c r="M76" s="2">
        <v>0.4548611111111111</v>
      </c>
      <c r="N76" t="s">
        <v>27</v>
      </c>
      <c r="O76">
        <v>672.03</v>
      </c>
      <c r="P76">
        <v>4.7619047620000003</v>
      </c>
      <c r="Q76">
        <v>0</v>
      </c>
      <c r="R76">
        <v>9.4</v>
      </c>
      <c r="S76">
        <v>96.173500000000004</v>
      </c>
      <c r="T76">
        <v>16.840900000000001</v>
      </c>
    </row>
    <row r="77" spans="1:20" x14ac:dyDescent="0.3">
      <c r="A77" t="s">
        <v>180</v>
      </c>
      <c r="B77" t="s">
        <v>29</v>
      </c>
      <c r="C77" t="s">
        <v>181</v>
      </c>
      <c r="D77" t="s">
        <v>31</v>
      </c>
      <c r="E77" t="s">
        <v>32</v>
      </c>
      <c r="F77" t="s">
        <v>25</v>
      </c>
      <c r="G77" t="s">
        <v>60</v>
      </c>
      <c r="H77">
        <v>41.65</v>
      </c>
      <c r="I77">
        <v>12</v>
      </c>
      <c r="J77">
        <v>24.99</v>
      </c>
      <c r="K77">
        <v>499.8</v>
      </c>
      <c r="L77" s="1">
        <v>43811</v>
      </c>
      <c r="M77" s="2">
        <v>0.71111111111111114</v>
      </c>
      <c r="N77" t="s">
        <v>37</v>
      </c>
      <c r="O77">
        <v>416.5</v>
      </c>
      <c r="P77">
        <v>4.7619047620000003</v>
      </c>
      <c r="Q77">
        <v>83.3</v>
      </c>
      <c r="R77">
        <v>5.67</v>
      </c>
      <c r="S77">
        <v>96.078500000000005</v>
      </c>
      <c r="T77">
        <v>19.763300000000001</v>
      </c>
    </row>
    <row r="78" spans="1:20" x14ac:dyDescent="0.3">
      <c r="A78" t="s">
        <v>182</v>
      </c>
      <c r="B78" t="s">
        <v>29</v>
      </c>
      <c r="C78" t="s">
        <v>183</v>
      </c>
      <c r="D78" t="s">
        <v>31</v>
      </c>
      <c r="E78" t="s">
        <v>32</v>
      </c>
      <c r="F78" t="s">
        <v>36</v>
      </c>
      <c r="G78" t="s">
        <v>100</v>
      </c>
      <c r="H78">
        <v>49.04</v>
      </c>
      <c r="I78">
        <v>11</v>
      </c>
      <c r="J78">
        <v>26.972000000000001</v>
      </c>
      <c r="K78">
        <v>539.44000000000005</v>
      </c>
      <c r="L78" s="1">
        <v>43689</v>
      </c>
      <c r="M78" s="2">
        <v>0.59722222222222221</v>
      </c>
      <c r="N78" t="s">
        <v>37</v>
      </c>
      <c r="O78">
        <v>441.36</v>
      </c>
      <c r="P78">
        <v>4.7619047620000003</v>
      </c>
      <c r="Q78">
        <v>98.08</v>
      </c>
      <c r="R78">
        <v>9.0299999999999994</v>
      </c>
      <c r="S78">
        <v>96.078500000000005</v>
      </c>
      <c r="T78">
        <v>19.763300000000001</v>
      </c>
    </row>
    <row r="79" spans="1:20" x14ac:dyDescent="0.3">
      <c r="A79" t="s">
        <v>184</v>
      </c>
      <c r="B79" t="s">
        <v>21</v>
      </c>
      <c r="C79" t="s">
        <v>185</v>
      </c>
      <c r="D79" t="s">
        <v>23</v>
      </c>
      <c r="E79" t="s">
        <v>32</v>
      </c>
      <c r="F79" t="s">
        <v>25</v>
      </c>
      <c r="G79" t="s">
        <v>100</v>
      </c>
      <c r="H79">
        <v>20.010000000000002</v>
      </c>
      <c r="I79">
        <v>9</v>
      </c>
      <c r="J79">
        <v>9.0045000000000002</v>
      </c>
      <c r="K79">
        <v>180.09</v>
      </c>
      <c r="L79" s="1">
        <v>43804</v>
      </c>
      <c r="M79" s="2">
        <v>0.65833333333333333</v>
      </c>
      <c r="N79" t="s">
        <v>37</v>
      </c>
      <c r="O79">
        <v>180.09</v>
      </c>
      <c r="P79">
        <v>4.7619047620000003</v>
      </c>
      <c r="Q79">
        <v>0</v>
      </c>
      <c r="R79">
        <v>5.7</v>
      </c>
      <c r="S79">
        <v>96.173500000000004</v>
      </c>
      <c r="T79">
        <v>16.840900000000001</v>
      </c>
    </row>
    <row r="80" spans="1:20" x14ac:dyDescent="0.3">
      <c r="A80" t="s">
        <v>186</v>
      </c>
      <c r="B80" t="s">
        <v>29</v>
      </c>
      <c r="C80" t="s">
        <v>127</v>
      </c>
      <c r="D80" t="s">
        <v>31</v>
      </c>
      <c r="E80" t="s">
        <v>32</v>
      </c>
      <c r="F80" t="s">
        <v>25</v>
      </c>
      <c r="G80" t="s">
        <v>63</v>
      </c>
      <c r="H80">
        <v>78.31</v>
      </c>
      <c r="I80">
        <v>12</v>
      </c>
      <c r="J80">
        <f t="shared" ref="J80:J102" si="2">K80*5%</f>
        <v>46.986000000000004</v>
      </c>
      <c r="K80">
        <v>939.72</v>
      </c>
      <c r="L80" s="1">
        <v>43644</v>
      </c>
      <c r="M80" s="2">
        <v>0.68333333333333335</v>
      </c>
      <c r="N80" t="s">
        <v>27</v>
      </c>
      <c r="O80">
        <v>783.1</v>
      </c>
      <c r="P80">
        <v>4.7619047620000003</v>
      </c>
      <c r="Q80">
        <v>156.62</v>
      </c>
      <c r="R80">
        <v>6.93</v>
      </c>
      <c r="S80">
        <v>96.078500000000005</v>
      </c>
      <c r="T80">
        <v>19.763300000000001</v>
      </c>
    </row>
    <row r="81" spans="1:20" x14ac:dyDescent="0.3">
      <c r="A81" t="s">
        <v>187</v>
      </c>
      <c r="B81" t="s">
        <v>29</v>
      </c>
      <c r="C81" t="s">
        <v>188</v>
      </c>
      <c r="D81" t="s">
        <v>31</v>
      </c>
      <c r="E81" t="s">
        <v>32</v>
      </c>
      <c r="F81" t="s">
        <v>25</v>
      </c>
      <c r="G81" t="s">
        <v>26</v>
      </c>
      <c r="H81">
        <v>20.38</v>
      </c>
      <c r="I81">
        <v>6</v>
      </c>
      <c r="J81">
        <f t="shared" si="2"/>
        <v>6.1140000000000008</v>
      </c>
      <c r="K81">
        <v>122.28</v>
      </c>
      <c r="L81" s="1">
        <v>43779</v>
      </c>
      <c r="M81" s="2">
        <v>0.78888888888888886</v>
      </c>
      <c r="N81" t="s">
        <v>33</v>
      </c>
      <c r="O81">
        <v>101.9</v>
      </c>
      <c r="P81">
        <v>4.7619047620000003</v>
      </c>
      <c r="Q81">
        <v>20.38</v>
      </c>
      <c r="R81">
        <v>6.3</v>
      </c>
      <c r="S81">
        <v>96.078500000000005</v>
      </c>
      <c r="T81">
        <v>19.763300000000001</v>
      </c>
    </row>
    <row r="82" spans="1:20" x14ac:dyDescent="0.3">
      <c r="A82" t="s">
        <v>189</v>
      </c>
      <c r="B82" t="s">
        <v>29</v>
      </c>
      <c r="C82" t="s">
        <v>190</v>
      </c>
      <c r="D82" t="s">
        <v>31</v>
      </c>
      <c r="E82" t="s">
        <v>32</v>
      </c>
      <c r="F82" t="s">
        <v>25</v>
      </c>
      <c r="G82" t="s">
        <v>26</v>
      </c>
      <c r="H82">
        <v>99.19</v>
      </c>
      <c r="I82">
        <v>7</v>
      </c>
      <c r="J82">
        <f t="shared" si="2"/>
        <v>34.716500000000003</v>
      </c>
      <c r="K82">
        <v>694.33</v>
      </c>
      <c r="L82" s="1">
        <v>43537</v>
      </c>
      <c r="M82" s="2">
        <v>0.61250000000000004</v>
      </c>
      <c r="N82" t="s">
        <v>37</v>
      </c>
      <c r="O82">
        <v>595.14</v>
      </c>
      <c r="P82">
        <v>4.7619047620000003</v>
      </c>
      <c r="Q82">
        <v>99.19</v>
      </c>
      <c r="R82">
        <v>5.7750000000000004</v>
      </c>
      <c r="S82">
        <v>96.078500000000005</v>
      </c>
      <c r="T82">
        <v>19.763300000000001</v>
      </c>
    </row>
    <row r="83" spans="1:20" x14ac:dyDescent="0.3">
      <c r="A83" t="s">
        <v>191</v>
      </c>
      <c r="B83" t="s">
        <v>51</v>
      </c>
      <c r="C83" t="s">
        <v>192</v>
      </c>
      <c r="D83" t="s">
        <v>53</v>
      </c>
      <c r="E83" t="s">
        <v>32</v>
      </c>
      <c r="F83" t="s">
        <v>25</v>
      </c>
      <c r="G83" t="s">
        <v>63</v>
      </c>
      <c r="H83">
        <v>96.68</v>
      </c>
      <c r="I83">
        <v>4</v>
      </c>
      <c r="J83">
        <f t="shared" si="2"/>
        <v>19.336000000000002</v>
      </c>
      <c r="K83">
        <v>386.72</v>
      </c>
      <c r="L83" s="1">
        <v>43766</v>
      </c>
      <c r="M83" s="2">
        <v>0.8305555555555556</v>
      </c>
      <c r="N83" t="s">
        <v>27</v>
      </c>
      <c r="O83">
        <v>290.04000000000002</v>
      </c>
      <c r="P83">
        <v>4.7619047620000003</v>
      </c>
      <c r="Q83">
        <v>96.68</v>
      </c>
      <c r="R83">
        <v>7.68</v>
      </c>
      <c r="S83">
        <v>96.089100000000002</v>
      </c>
      <c r="T83">
        <v>21.9588</v>
      </c>
    </row>
    <row r="84" spans="1:20" x14ac:dyDescent="0.3">
      <c r="A84" t="s">
        <v>193</v>
      </c>
      <c r="B84" t="s">
        <v>29</v>
      </c>
      <c r="C84" t="s">
        <v>47</v>
      </c>
      <c r="D84" t="s">
        <v>31</v>
      </c>
      <c r="E84" t="s">
        <v>32</v>
      </c>
      <c r="F84" t="s">
        <v>36</v>
      </c>
      <c r="G84" t="s">
        <v>63</v>
      </c>
      <c r="H84">
        <v>19.25</v>
      </c>
      <c r="I84">
        <v>10</v>
      </c>
      <c r="J84">
        <f t="shared" si="2"/>
        <v>9.625</v>
      </c>
      <c r="K84">
        <v>192.5</v>
      </c>
      <c r="L84" s="1">
        <v>43612</v>
      </c>
      <c r="M84" s="2">
        <v>0.77569444444444446</v>
      </c>
      <c r="N84" t="s">
        <v>27</v>
      </c>
      <c r="O84">
        <v>154</v>
      </c>
      <c r="P84">
        <v>4.7619047620000003</v>
      </c>
      <c r="Q84">
        <v>38.5</v>
      </c>
      <c r="R84">
        <v>6.93</v>
      </c>
      <c r="S84">
        <v>96.078500000000005</v>
      </c>
      <c r="T84">
        <v>19.763300000000001</v>
      </c>
    </row>
    <row r="85" spans="1:20" x14ac:dyDescent="0.3">
      <c r="A85" t="s">
        <v>194</v>
      </c>
      <c r="B85" t="s">
        <v>29</v>
      </c>
      <c r="C85" t="s">
        <v>195</v>
      </c>
      <c r="D85" t="s">
        <v>31</v>
      </c>
      <c r="E85" t="s">
        <v>32</v>
      </c>
      <c r="F85" t="s">
        <v>25</v>
      </c>
      <c r="G85" t="s">
        <v>26</v>
      </c>
      <c r="H85">
        <v>80.36</v>
      </c>
      <c r="I85">
        <v>5</v>
      </c>
      <c r="J85">
        <f t="shared" si="2"/>
        <v>20.090000000000003</v>
      </c>
      <c r="K85">
        <v>401.8</v>
      </c>
      <c r="L85" s="1">
        <v>43595</v>
      </c>
      <c r="M85" s="2">
        <v>0.78125</v>
      </c>
      <c r="N85" t="s">
        <v>37</v>
      </c>
      <c r="O85">
        <v>321.44</v>
      </c>
      <c r="P85">
        <v>4.7619047620000003</v>
      </c>
      <c r="Q85">
        <v>80.36</v>
      </c>
      <c r="R85">
        <v>8.7149999999999999</v>
      </c>
      <c r="S85">
        <v>96.078500000000005</v>
      </c>
      <c r="T85">
        <v>19.763300000000001</v>
      </c>
    </row>
    <row r="86" spans="1:20" x14ac:dyDescent="0.3">
      <c r="A86" t="s">
        <v>196</v>
      </c>
      <c r="B86" t="s">
        <v>29</v>
      </c>
      <c r="C86" t="s">
        <v>197</v>
      </c>
      <c r="D86" t="s">
        <v>31</v>
      </c>
      <c r="E86" t="s">
        <v>32</v>
      </c>
      <c r="F86" t="s">
        <v>36</v>
      </c>
      <c r="G86" t="s">
        <v>26</v>
      </c>
      <c r="H86">
        <v>48.91</v>
      </c>
      <c r="I86">
        <v>6</v>
      </c>
      <c r="J86">
        <f t="shared" si="2"/>
        <v>14.673</v>
      </c>
      <c r="K86">
        <v>293.45999999999998</v>
      </c>
      <c r="L86" s="1">
        <v>43644</v>
      </c>
      <c r="M86" s="2">
        <v>0.4284722222222222</v>
      </c>
      <c r="N86" t="s">
        <v>33</v>
      </c>
      <c r="O86">
        <v>244.55</v>
      </c>
      <c r="P86">
        <v>4.7619047620000003</v>
      </c>
      <c r="Q86">
        <v>48.91</v>
      </c>
      <c r="R86">
        <v>6.93</v>
      </c>
      <c r="S86">
        <v>96.078500000000005</v>
      </c>
      <c r="T86">
        <v>19.763300000000001</v>
      </c>
    </row>
    <row r="87" spans="1:20" x14ac:dyDescent="0.3">
      <c r="A87" t="s">
        <v>198</v>
      </c>
      <c r="B87" t="s">
        <v>29</v>
      </c>
      <c r="C87" t="s">
        <v>199</v>
      </c>
      <c r="D87" t="s">
        <v>31</v>
      </c>
      <c r="E87" t="s">
        <v>32</v>
      </c>
      <c r="F87" t="s">
        <v>25</v>
      </c>
      <c r="G87" t="s">
        <v>26</v>
      </c>
      <c r="H87">
        <v>83.06</v>
      </c>
      <c r="I87">
        <v>8</v>
      </c>
      <c r="J87">
        <f t="shared" si="2"/>
        <v>33.224000000000004</v>
      </c>
      <c r="K87">
        <v>664.48</v>
      </c>
      <c r="L87" s="1">
        <v>43607</v>
      </c>
      <c r="M87" s="2">
        <v>0.60486111111111107</v>
      </c>
      <c r="N87" t="s">
        <v>27</v>
      </c>
      <c r="O87">
        <v>581.41999999999996</v>
      </c>
      <c r="P87">
        <v>4.7619047620000003</v>
      </c>
      <c r="Q87">
        <v>83.06</v>
      </c>
      <c r="R87">
        <v>4.2</v>
      </c>
      <c r="S87">
        <v>96.078500000000005</v>
      </c>
      <c r="T87">
        <v>19.763300000000001</v>
      </c>
    </row>
    <row r="88" spans="1:20" x14ac:dyDescent="0.3">
      <c r="A88" t="s">
        <v>200</v>
      </c>
      <c r="B88" t="s">
        <v>29</v>
      </c>
      <c r="C88" t="s">
        <v>201</v>
      </c>
      <c r="D88" t="s">
        <v>31</v>
      </c>
      <c r="E88" t="s">
        <v>32</v>
      </c>
      <c r="F88" t="s">
        <v>36</v>
      </c>
      <c r="G88" t="s">
        <v>26</v>
      </c>
      <c r="H88">
        <v>76.52</v>
      </c>
      <c r="I88">
        <v>6</v>
      </c>
      <c r="J88">
        <f t="shared" si="2"/>
        <v>22.956000000000003</v>
      </c>
      <c r="K88">
        <v>459.12</v>
      </c>
      <c r="L88" s="1">
        <v>43535</v>
      </c>
      <c r="M88" s="2">
        <v>0.43263888888888891</v>
      </c>
      <c r="N88" t="s">
        <v>33</v>
      </c>
      <c r="O88">
        <v>382.6</v>
      </c>
      <c r="P88">
        <v>4.7619047620000003</v>
      </c>
      <c r="Q88">
        <v>76.52</v>
      </c>
      <c r="R88">
        <v>10</v>
      </c>
      <c r="S88">
        <v>96.078500000000005</v>
      </c>
      <c r="T88">
        <v>19.763300000000001</v>
      </c>
    </row>
    <row r="89" spans="1:20" x14ac:dyDescent="0.3">
      <c r="A89" t="s">
        <v>202</v>
      </c>
      <c r="B89" t="s">
        <v>21</v>
      </c>
      <c r="C89" t="s">
        <v>203</v>
      </c>
      <c r="D89" t="s">
        <v>23</v>
      </c>
      <c r="E89" t="s">
        <v>24</v>
      </c>
      <c r="F89" t="s">
        <v>36</v>
      </c>
      <c r="G89" t="s">
        <v>26</v>
      </c>
      <c r="H89">
        <v>49.38</v>
      </c>
      <c r="I89">
        <v>10</v>
      </c>
      <c r="J89">
        <f t="shared" si="2"/>
        <v>24.69</v>
      </c>
      <c r="K89">
        <v>493.8</v>
      </c>
      <c r="L89" s="1">
        <v>43802</v>
      </c>
      <c r="M89" s="2">
        <v>0.85763888888888884</v>
      </c>
      <c r="N89" t="s">
        <v>37</v>
      </c>
      <c r="O89">
        <v>345.66</v>
      </c>
      <c r="P89">
        <v>4.7619047620000003</v>
      </c>
      <c r="Q89">
        <v>148.13999999999999</v>
      </c>
      <c r="R89">
        <v>7.3</v>
      </c>
      <c r="S89">
        <v>96.173500000000004</v>
      </c>
      <c r="T89">
        <v>16.840900000000001</v>
      </c>
    </row>
    <row r="90" spans="1:20" x14ac:dyDescent="0.3">
      <c r="A90" t="s">
        <v>204</v>
      </c>
      <c r="B90" t="s">
        <v>21</v>
      </c>
      <c r="C90" t="s">
        <v>205</v>
      </c>
      <c r="D90" t="s">
        <v>23</v>
      </c>
      <c r="E90" t="s">
        <v>32</v>
      </c>
      <c r="F90" t="s">
        <v>36</v>
      </c>
      <c r="G90" t="s">
        <v>26</v>
      </c>
      <c r="H90">
        <v>42.47</v>
      </c>
      <c r="I90">
        <v>1</v>
      </c>
      <c r="J90">
        <f t="shared" si="2"/>
        <v>2.1234999999999999</v>
      </c>
      <c r="K90">
        <v>42.47</v>
      </c>
      <c r="L90" s="1">
        <v>43708</v>
      </c>
      <c r="M90" s="2">
        <v>0.70625000000000004</v>
      </c>
      <c r="N90" t="s">
        <v>33</v>
      </c>
      <c r="O90">
        <v>42.47</v>
      </c>
      <c r="P90">
        <v>4.7619047620000003</v>
      </c>
      <c r="Q90">
        <v>0</v>
      </c>
      <c r="R90">
        <v>5.7</v>
      </c>
      <c r="S90">
        <v>96.173500000000004</v>
      </c>
      <c r="T90">
        <v>16.840900000000001</v>
      </c>
    </row>
    <row r="91" spans="1:20" x14ac:dyDescent="0.3">
      <c r="A91" t="s">
        <v>206</v>
      </c>
      <c r="B91" t="s">
        <v>51</v>
      </c>
      <c r="C91" t="s">
        <v>207</v>
      </c>
      <c r="D91" t="s">
        <v>53</v>
      </c>
      <c r="E91" t="s">
        <v>32</v>
      </c>
      <c r="F91" t="s">
        <v>25</v>
      </c>
      <c r="G91" t="s">
        <v>26</v>
      </c>
      <c r="H91">
        <v>76.989999999999995</v>
      </c>
      <c r="I91">
        <v>8</v>
      </c>
      <c r="J91">
        <f t="shared" si="2"/>
        <v>30.795999999999999</v>
      </c>
      <c r="K91">
        <v>615.91999999999996</v>
      </c>
      <c r="L91" s="1">
        <v>43579</v>
      </c>
      <c r="M91" s="2">
        <v>0.74652777777777779</v>
      </c>
      <c r="N91" t="s">
        <v>33</v>
      </c>
      <c r="O91">
        <v>461.94</v>
      </c>
      <c r="P91">
        <v>4.7619047620000003</v>
      </c>
      <c r="Q91">
        <v>153.97999999999999</v>
      </c>
      <c r="R91">
        <v>7.32</v>
      </c>
      <c r="S91">
        <v>96.089100000000002</v>
      </c>
      <c r="T91">
        <v>21.9588</v>
      </c>
    </row>
    <row r="92" spans="1:20" x14ac:dyDescent="0.3">
      <c r="A92" t="s">
        <v>208</v>
      </c>
      <c r="B92" t="s">
        <v>29</v>
      </c>
      <c r="C92" t="s">
        <v>209</v>
      </c>
      <c r="D92" t="s">
        <v>31</v>
      </c>
      <c r="E92" t="s">
        <v>24</v>
      </c>
      <c r="F92" t="s">
        <v>25</v>
      </c>
      <c r="G92" t="s">
        <v>77</v>
      </c>
      <c r="H92">
        <v>47.38</v>
      </c>
      <c r="I92">
        <v>7</v>
      </c>
      <c r="J92">
        <f t="shared" si="2"/>
        <v>16.583000000000002</v>
      </c>
      <c r="K92">
        <v>331.66</v>
      </c>
      <c r="L92" s="1">
        <v>43498</v>
      </c>
      <c r="M92" s="2">
        <v>0.43402777777777779</v>
      </c>
      <c r="N92" t="s">
        <v>33</v>
      </c>
      <c r="O92">
        <v>189.52</v>
      </c>
      <c r="P92">
        <v>4.7619047620000003</v>
      </c>
      <c r="Q92">
        <v>142.13999999999999</v>
      </c>
      <c r="R92">
        <v>7.4550000000000001</v>
      </c>
      <c r="S92">
        <v>96.078500000000005</v>
      </c>
      <c r="T92">
        <v>19.763300000000001</v>
      </c>
    </row>
    <row r="93" spans="1:20" x14ac:dyDescent="0.3">
      <c r="A93" t="s">
        <v>210</v>
      </c>
      <c r="B93" t="s">
        <v>29</v>
      </c>
      <c r="C93" t="s">
        <v>211</v>
      </c>
      <c r="D93" t="s">
        <v>31</v>
      </c>
      <c r="E93" t="s">
        <v>32</v>
      </c>
      <c r="F93" t="s">
        <v>25</v>
      </c>
      <c r="G93" t="s">
        <v>68</v>
      </c>
      <c r="H93">
        <v>44.86</v>
      </c>
      <c r="I93">
        <v>12</v>
      </c>
      <c r="J93">
        <f t="shared" si="2"/>
        <v>26.916000000000004</v>
      </c>
      <c r="K93">
        <v>538.32000000000005</v>
      </c>
      <c r="L93" s="1">
        <v>43814</v>
      </c>
      <c r="M93" s="2">
        <v>0.82916666666666672</v>
      </c>
      <c r="N93" t="s">
        <v>27</v>
      </c>
      <c r="O93">
        <v>448.6</v>
      </c>
      <c r="P93">
        <v>4.7619047620000003</v>
      </c>
      <c r="Q93">
        <v>89.72</v>
      </c>
      <c r="R93">
        <v>8.61</v>
      </c>
      <c r="S93">
        <v>96.078500000000005</v>
      </c>
      <c r="T93">
        <v>19.763300000000001</v>
      </c>
    </row>
    <row r="94" spans="1:20" x14ac:dyDescent="0.3">
      <c r="A94" t="s">
        <v>212</v>
      </c>
      <c r="B94" t="s">
        <v>21</v>
      </c>
      <c r="C94" t="s">
        <v>213</v>
      </c>
      <c r="D94" t="s">
        <v>23</v>
      </c>
      <c r="E94" t="s">
        <v>24</v>
      </c>
      <c r="F94" t="s">
        <v>25</v>
      </c>
      <c r="G94" t="s">
        <v>68</v>
      </c>
      <c r="H94">
        <v>21.98</v>
      </c>
      <c r="I94">
        <v>10</v>
      </c>
      <c r="J94">
        <f t="shared" si="2"/>
        <v>10.990000000000002</v>
      </c>
      <c r="K94">
        <v>219.8</v>
      </c>
      <c r="L94" s="1">
        <v>43574</v>
      </c>
      <c r="M94" s="2">
        <v>0.6958333333333333</v>
      </c>
      <c r="N94" t="s">
        <v>27</v>
      </c>
      <c r="O94">
        <v>153.86000000000001</v>
      </c>
      <c r="P94">
        <v>4.7619047620000003</v>
      </c>
      <c r="Q94">
        <v>65.94</v>
      </c>
      <c r="R94">
        <v>5.0999999999999996</v>
      </c>
      <c r="S94">
        <v>96.173500000000004</v>
      </c>
      <c r="T94">
        <v>16.840900000000001</v>
      </c>
    </row>
    <row r="95" spans="1:20" x14ac:dyDescent="0.3">
      <c r="A95" t="s">
        <v>214</v>
      </c>
      <c r="B95" t="s">
        <v>51</v>
      </c>
      <c r="C95" t="s">
        <v>215</v>
      </c>
      <c r="D95" t="s">
        <v>53</v>
      </c>
      <c r="E95" t="s">
        <v>24</v>
      </c>
      <c r="F95" t="s">
        <v>36</v>
      </c>
      <c r="G95" t="s">
        <v>26</v>
      </c>
      <c r="H95">
        <v>64.36</v>
      </c>
      <c r="I95">
        <v>18</v>
      </c>
      <c r="J95">
        <f t="shared" si="2"/>
        <v>57.924000000000007</v>
      </c>
      <c r="K95">
        <v>1158.48</v>
      </c>
      <c r="L95" s="1">
        <v>43740</v>
      </c>
      <c r="M95" s="2">
        <v>0.50624999999999998</v>
      </c>
      <c r="N95" t="s">
        <v>37</v>
      </c>
      <c r="O95">
        <v>579.24</v>
      </c>
      <c r="P95">
        <v>4.7619047620000003</v>
      </c>
      <c r="Q95">
        <v>579.24</v>
      </c>
      <c r="R95">
        <v>10</v>
      </c>
      <c r="S95">
        <v>96.089100000000002</v>
      </c>
      <c r="T95">
        <v>21.9588</v>
      </c>
    </row>
    <row r="96" spans="1:20" x14ac:dyDescent="0.3">
      <c r="A96" t="s">
        <v>216</v>
      </c>
      <c r="B96" t="s">
        <v>29</v>
      </c>
      <c r="C96" t="s">
        <v>217</v>
      </c>
      <c r="D96" t="s">
        <v>31</v>
      </c>
      <c r="E96" t="s">
        <v>32</v>
      </c>
      <c r="F96" t="s">
        <v>36</v>
      </c>
      <c r="G96" t="s">
        <v>26</v>
      </c>
      <c r="H96">
        <v>89.75</v>
      </c>
      <c r="I96">
        <v>1</v>
      </c>
      <c r="J96">
        <f t="shared" si="2"/>
        <v>4.4874999999999998</v>
      </c>
      <c r="K96">
        <v>89.75</v>
      </c>
      <c r="L96" s="1">
        <v>43498</v>
      </c>
      <c r="M96" s="2">
        <v>0.83680555555555558</v>
      </c>
      <c r="N96" t="s">
        <v>37</v>
      </c>
      <c r="O96">
        <v>89.75</v>
      </c>
      <c r="P96">
        <v>4.7619047620000003</v>
      </c>
      <c r="Q96">
        <v>0</v>
      </c>
      <c r="R96">
        <v>6.93</v>
      </c>
      <c r="S96">
        <v>96.078500000000005</v>
      </c>
      <c r="T96">
        <v>19.763300000000001</v>
      </c>
    </row>
    <row r="97" spans="1:20" x14ac:dyDescent="0.3">
      <c r="A97" t="s">
        <v>218</v>
      </c>
      <c r="B97" t="s">
        <v>21</v>
      </c>
      <c r="C97" t="s">
        <v>219</v>
      </c>
      <c r="D97" t="s">
        <v>23</v>
      </c>
      <c r="E97" t="s">
        <v>32</v>
      </c>
      <c r="F97" t="s">
        <v>36</v>
      </c>
      <c r="G97" t="s">
        <v>60</v>
      </c>
      <c r="H97">
        <v>97.16</v>
      </c>
      <c r="I97">
        <v>1</v>
      </c>
      <c r="J97">
        <f t="shared" si="2"/>
        <v>4.8580000000000005</v>
      </c>
      <c r="K97">
        <v>97.16</v>
      </c>
      <c r="L97" s="1">
        <v>43620</v>
      </c>
      <c r="M97" s="2">
        <v>0.85972222222222228</v>
      </c>
      <c r="N97" t="s">
        <v>27</v>
      </c>
      <c r="O97">
        <v>97.16</v>
      </c>
      <c r="P97">
        <v>4.7619047620000003</v>
      </c>
      <c r="Q97">
        <v>0</v>
      </c>
      <c r="R97">
        <v>7.2</v>
      </c>
      <c r="S97">
        <v>96.173500000000004</v>
      </c>
      <c r="T97">
        <v>16.840900000000001</v>
      </c>
    </row>
    <row r="98" spans="1:20" x14ac:dyDescent="0.3">
      <c r="A98" t="s">
        <v>220</v>
      </c>
      <c r="B98" t="s">
        <v>51</v>
      </c>
      <c r="C98" t="s">
        <v>221</v>
      </c>
      <c r="D98" t="s">
        <v>53</v>
      </c>
      <c r="E98" t="s">
        <v>32</v>
      </c>
      <c r="F98" t="s">
        <v>36</v>
      </c>
      <c r="G98" t="s">
        <v>26</v>
      </c>
      <c r="H98">
        <v>87.87</v>
      </c>
      <c r="I98">
        <v>14</v>
      </c>
      <c r="J98">
        <f t="shared" si="2"/>
        <v>61.509000000000007</v>
      </c>
      <c r="K98">
        <v>1230.18</v>
      </c>
      <c r="L98" s="1">
        <v>43587</v>
      </c>
      <c r="M98" s="2">
        <v>0.43402777777777779</v>
      </c>
      <c r="N98" t="s">
        <v>27</v>
      </c>
      <c r="O98">
        <v>878.7</v>
      </c>
      <c r="P98">
        <v>4.7619047620000003</v>
      </c>
      <c r="Q98">
        <v>351.48</v>
      </c>
      <c r="R98">
        <v>6.12</v>
      </c>
      <c r="S98">
        <v>96.089100000000002</v>
      </c>
      <c r="T98">
        <v>21.9588</v>
      </c>
    </row>
    <row r="99" spans="1:20" x14ac:dyDescent="0.3">
      <c r="A99" t="s">
        <v>222</v>
      </c>
      <c r="B99" t="s">
        <v>29</v>
      </c>
      <c r="C99" t="s">
        <v>223</v>
      </c>
      <c r="D99" t="s">
        <v>31</v>
      </c>
      <c r="E99" t="s">
        <v>32</v>
      </c>
      <c r="F99" t="s">
        <v>25</v>
      </c>
      <c r="G99" t="s">
        <v>60</v>
      </c>
      <c r="H99">
        <v>12.45</v>
      </c>
      <c r="I99">
        <v>7</v>
      </c>
      <c r="J99">
        <f t="shared" si="2"/>
        <v>4.3575000000000008</v>
      </c>
      <c r="K99">
        <v>87.15</v>
      </c>
      <c r="L99" s="1">
        <v>43557</v>
      </c>
      <c r="M99" s="2">
        <v>0.5493055555555556</v>
      </c>
      <c r="N99" t="s">
        <v>33</v>
      </c>
      <c r="O99">
        <v>74.7</v>
      </c>
      <c r="P99">
        <v>4.7619047620000003</v>
      </c>
      <c r="Q99">
        <v>12.45</v>
      </c>
      <c r="R99">
        <v>4.3049999999999997</v>
      </c>
      <c r="S99">
        <v>96.078500000000005</v>
      </c>
      <c r="T99">
        <v>19.763300000000001</v>
      </c>
    </row>
    <row r="100" spans="1:20" x14ac:dyDescent="0.3">
      <c r="A100" t="s">
        <v>224</v>
      </c>
      <c r="B100" t="s">
        <v>21</v>
      </c>
      <c r="C100" t="s">
        <v>225</v>
      </c>
      <c r="D100" t="s">
        <v>23</v>
      </c>
      <c r="E100" t="s">
        <v>32</v>
      </c>
      <c r="F100" t="s">
        <v>36</v>
      </c>
      <c r="G100" t="s">
        <v>63</v>
      </c>
      <c r="H100">
        <v>52.75</v>
      </c>
      <c r="I100">
        <v>3</v>
      </c>
      <c r="J100">
        <f t="shared" si="2"/>
        <v>7.9125000000000005</v>
      </c>
      <c r="K100">
        <v>158.25</v>
      </c>
      <c r="L100" s="1">
        <v>43535</v>
      </c>
      <c r="M100" s="2">
        <v>0.42777777777777776</v>
      </c>
      <c r="N100" t="s">
        <v>27</v>
      </c>
      <c r="O100">
        <v>158.25</v>
      </c>
      <c r="P100">
        <v>4.7619047620000003</v>
      </c>
      <c r="Q100">
        <v>0</v>
      </c>
      <c r="R100">
        <v>9.3000000000000007</v>
      </c>
      <c r="S100">
        <v>96.173500000000004</v>
      </c>
      <c r="T100">
        <v>16.840900000000001</v>
      </c>
    </row>
    <row r="101" spans="1:20" x14ac:dyDescent="0.3">
      <c r="A101" t="s">
        <v>226</v>
      </c>
      <c r="B101" t="s">
        <v>51</v>
      </c>
      <c r="C101" t="s">
        <v>227</v>
      </c>
      <c r="D101" t="s">
        <v>53</v>
      </c>
      <c r="E101" t="s">
        <v>32</v>
      </c>
      <c r="F101" t="s">
        <v>36</v>
      </c>
      <c r="G101" t="s">
        <v>77</v>
      </c>
      <c r="H101">
        <v>82.7</v>
      </c>
      <c r="I101">
        <v>8</v>
      </c>
      <c r="J101">
        <f t="shared" si="2"/>
        <v>33.080000000000005</v>
      </c>
      <c r="K101">
        <v>661.6</v>
      </c>
      <c r="L101" s="1">
        <v>43636</v>
      </c>
      <c r="M101" s="2">
        <v>0.75972222222222219</v>
      </c>
      <c r="N101" t="s">
        <v>33</v>
      </c>
      <c r="O101">
        <v>496.2</v>
      </c>
      <c r="P101">
        <v>4.7619047620000003</v>
      </c>
      <c r="Q101">
        <v>165.4</v>
      </c>
      <c r="R101">
        <v>8.8800000000000008</v>
      </c>
      <c r="S101">
        <v>96.089100000000002</v>
      </c>
      <c r="T101">
        <v>21.9588</v>
      </c>
    </row>
    <row r="102" spans="1:20" x14ac:dyDescent="0.3">
      <c r="A102" t="s">
        <v>228</v>
      </c>
      <c r="B102" t="s">
        <v>29</v>
      </c>
      <c r="C102" t="s">
        <v>229</v>
      </c>
      <c r="D102" t="s">
        <v>31</v>
      </c>
      <c r="E102" t="s">
        <v>24</v>
      </c>
      <c r="F102" t="s">
        <v>36</v>
      </c>
      <c r="G102" t="s">
        <v>100</v>
      </c>
      <c r="H102">
        <v>48.71</v>
      </c>
      <c r="I102">
        <v>1</v>
      </c>
      <c r="J102">
        <f t="shared" si="2"/>
        <v>2.4355000000000002</v>
      </c>
      <c r="K102">
        <v>48.71</v>
      </c>
      <c r="L102" s="1">
        <v>43775</v>
      </c>
      <c r="M102" s="2">
        <v>0.80555555555555558</v>
      </c>
      <c r="N102" t="s">
        <v>33</v>
      </c>
      <c r="O102">
        <v>48.71</v>
      </c>
      <c r="P102">
        <v>4.7619047620000003</v>
      </c>
      <c r="Q102">
        <v>0</v>
      </c>
      <c r="R102">
        <v>4.3049999999999997</v>
      </c>
      <c r="S102">
        <v>96.078500000000005</v>
      </c>
      <c r="T102">
        <v>19.763300000000001</v>
      </c>
    </row>
    <row r="103" spans="1:20" x14ac:dyDescent="0.3">
      <c r="A103" t="s">
        <v>230</v>
      </c>
      <c r="B103" t="s">
        <v>29</v>
      </c>
      <c r="C103" t="s">
        <v>231</v>
      </c>
      <c r="D103" t="s">
        <v>31</v>
      </c>
      <c r="E103" t="s">
        <v>32</v>
      </c>
      <c r="F103" t="s">
        <v>36</v>
      </c>
      <c r="G103" t="s">
        <v>100</v>
      </c>
      <c r="H103">
        <v>78.55</v>
      </c>
      <c r="I103">
        <v>11</v>
      </c>
      <c r="J103">
        <v>43.202500000000001</v>
      </c>
      <c r="K103">
        <v>864.05</v>
      </c>
      <c r="L103" s="1">
        <v>43812</v>
      </c>
      <c r="M103" s="2">
        <v>0.55694444444444446</v>
      </c>
      <c r="N103" t="s">
        <v>33</v>
      </c>
      <c r="O103">
        <v>706.95</v>
      </c>
      <c r="P103">
        <v>4.7619047620000003</v>
      </c>
      <c r="Q103">
        <v>157.1</v>
      </c>
      <c r="R103">
        <v>7.56</v>
      </c>
      <c r="S103">
        <v>96.078500000000005</v>
      </c>
      <c r="T103">
        <v>19.763300000000001</v>
      </c>
    </row>
    <row r="104" spans="1:20" x14ac:dyDescent="0.3">
      <c r="A104" t="s">
        <v>232</v>
      </c>
      <c r="B104" t="s">
        <v>29</v>
      </c>
      <c r="C104" t="s">
        <v>233</v>
      </c>
      <c r="D104" t="s">
        <v>31</v>
      </c>
      <c r="E104" t="s">
        <v>32</v>
      </c>
      <c r="F104" t="s">
        <v>25</v>
      </c>
      <c r="G104" t="s">
        <v>60</v>
      </c>
      <c r="H104">
        <v>23.07</v>
      </c>
      <c r="I104">
        <v>11</v>
      </c>
      <c r="J104">
        <v>12.688499999999999</v>
      </c>
      <c r="K104">
        <v>253.77</v>
      </c>
      <c r="L104" s="1">
        <v>43665</v>
      </c>
      <c r="M104" s="2">
        <v>0.47708333333333336</v>
      </c>
      <c r="N104" t="s">
        <v>33</v>
      </c>
      <c r="O104">
        <v>207.63</v>
      </c>
      <c r="P104">
        <v>4.7619047620000003</v>
      </c>
      <c r="Q104">
        <v>46.14</v>
      </c>
      <c r="R104">
        <v>5.1449999999999996</v>
      </c>
      <c r="S104">
        <v>96.078500000000005</v>
      </c>
      <c r="T104">
        <v>19.763300000000001</v>
      </c>
    </row>
    <row r="105" spans="1:20" x14ac:dyDescent="0.3">
      <c r="A105" t="s">
        <v>234</v>
      </c>
      <c r="B105" t="s">
        <v>21</v>
      </c>
      <c r="C105" t="s">
        <v>235</v>
      </c>
      <c r="D105" t="s">
        <v>23</v>
      </c>
      <c r="E105" t="s">
        <v>32</v>
      </c>
      <c r="F105" t="s">
        <v>36</v>
      </c>
      <c r="G105" t="s">
        <v>63</v>
      </c>
      <c r="H105">
        <v>58.26</v>
      </c>
      <c r="I105">
        <v>6</v>
      </c>
      <c r="J105">
        <v>17.478000000000002</v>
      </c>
      <c r="K105">
        <v>349.56</v>
      </c>
      <c r="L105" s="1">
        <v>43608</v>
      </c>
      <c r="M105" s="2">
        <v>0.69722222222222219</v>
      </c>
      <c r="N105" t="s">
        <v>33</v>
      </c>
      <c r="O105">
        <v>349.56</v>
      </c>
      <c r="P105">
        <v>4.7619047620000003</v>
      </c>
      <c r="Q105">
        <v>0</v>
      </c>
      <c r="R105">
        <v>9.9</v>
      </c>
      <c r="S105">
        <v>96.173500000000004</v>
      </c>
      <c r="T105">
        <v>16.840900000000001</v>
      </c>
    </row>
    <row r="106" spans="1:20" x14ac:dyDescent="0.3">
      <c r="A106" t="s">
        <v>236</v>
      </c>
      <c r="B106" t="s">
        <v>51</v>
      </c>
      <c r="C106" t="s">
        <v>175</v>
      </c>
      <c r="D106" t="s">
        <v>53</v>
      </c>
      <c r="E106" t="s">
        <v>32</v>
      </c>
      <c r="F106" t="s">
        <v>36</v>
      </c>
      <c r="G106" t="s">
        <v>26</v>
      </c>
      <c r="H106">
        <v>30.35</v>
      </c>
      <c r="I106">
        <v>10</v>
      </c>
      <c r="J106">
        <v>15.175000000000001</v>
      </c>
      <c r="K106">
        <v>303.5</v>
      </c>
      <c r="L106" s="1">
        <v>43575</v>
      </c>
      <c r="M106" s="2">
        <v>0.7631944444444444</v>
      </c>
      <c r="N106" t="s">
        <v>33</v>
      </c>
      <c r="O106">
        <v>212.45</v>
      </c>
      <c r="P106">
        <v>4.7619047620000003</v>
      </c>
      <c r="Q106">
        <v>91.05</v>
      </c>
      <c r="R106">
        <v>9.6</v>
      </c>
      <c r="S106">
        <v>96.089100000000002</v>
      </c>
      <c r="T106">
        <v>21.9588</v>
      </c>
    </row>
    <row r="107" spans="1:20" x14ac:dyDescent="0.3">
      <c r="A107" t="s">
        <v>237</v>
      </c>
      <c r="B107" t="s">
        <v>21</v>
      </c>
      <c r="C107" t="s">
        <v>238</v>
      </c>
      <c r="D107" t="s">
        <v>23</v>
      </c>
      <c r="E107" t="s">
        <v>24</v>
      </c>
      <c r="F107" t="s">
        <v>36</v>
      </c>
      <c r="G107" t="s">
        <v>60</v>
      </c>
      <c r="H107">
        <v>88.67</v>
      </c>
      <c r="I107">
        <v>14</v>
      </c>
      <c r="J107">
        <v>62.069000000000003</v>
      </c>
      <c r="K107">
        <v>1241.3800000000001</v>
      </c>
      <c r="L107" s="1">
        <v>43818</v>
      </c>
      <c r="M107" s="2">
        <v>0.61805555555555558</v>
      </c>
      <c r="N107" t="s">
        <v>27</v>
      </c>
      <c r="O107">
        <v>886.7</v>
      </c>
      <c r="P107">
        <v>4.7619047620000003</v>
      </c>
      <c r="Q107">
        <v>354.68</v>
      </c>
      <c r="R107">
        <v>7.3</v>
      </c>
      <c r="S107">
        <v>96.173500000000004</v>
      </c>
      <c r="T107">
        <v>16.840900000000001</v>
      </c>
    </row>
    <row r="108" spans="1:20" x14ac:dyDescent="0.3">
      <c r="A108" t="s">
        <v>239</v>
      </c>
      <c r="B108" t="s">
        <v>29</v>
      </c>
      <c r="C108" t="s">
        <v>143</v>
      </c>
      <c r="D108" t="s">
        <v>31</v>
      </c>
      <c r="E108" t="s">
        <v>32</v>
      </c>
      <c r="F108" t="s">
        <v>25</v>
      </c>
      <c r="G108" t="s">
        <v>100</v>
      </c>
      <c r="H108">
        <v>27.38</v>
      </c>
      <c r="I108">
        <v>7</v>
      </c>
      <c r="J108">
        <v>9.5830000000000002</v>
      </c>
      <c r="K108">
        <v>191.66</v>
      </c>
      <c r="L108" s="1">
        <v>43809</v>
      </c>
      <c r="M108" s="2">
        <v>0.87083333333333335</v>
      </c>
      <c r="N108" t="s">
        <v>37</v>
      </c>
      <c r="O108">
        <v>164.28</v>
      </c>
      <c r="P108">
        <v>4.7619047620000003</v>
      </c>
      <c r="Q108">
        <v>27.38</v>
      </c>
      <c r="R108">
        <v>8.2949999999999999</v>
      </c>
      <c r="S108">
        <v>96.078500000000005</v>
      </c>
      <c r="T108">
        <v>19.763300000000001</v>
      </c>
    </row>
    <row r="109" spans="1:20" x14ac:dyDescent="0.3">
      <c r="A109" t="s">
        <v>240</v>
      </c>
      <c r="B109" t="s">
        <v>21</v>
      </c>
      <c r="C109" t="s">
        <v>241</v>
      </c>
      <c r="D109" t="s">
        <v>23</v>
      </c>
      <c r="E109" t="s">
        <v>32</v>
      </c>
      <c r="F109" t="s">
        <v>25</v>
      </c>
      <c r="G109" t="s">
        <v>68</v>
      </c>
      <c r="H109">
        <v>62.13</v>
      </c>
      <c r="I109">
        <v>6</v>
      </c>
      <c r="J109">
        <v>18.638999999999999</v>
      </c>
      <c r="K109">
        <v>372.78</v>
      </c>
      <c r="L109" s="1">
        <v>43829</v>
      </c>
      <c r="M109" s="2">
        <v>0.84652777777777777</v>
      </c>
      <c r="N109" t="s">
        <v>33</v>
      </c>
      <c r="O109">
        <v>372.78</v>
      </c>
      <c r="P109">
        <v>4.7619047620000003</v>
      </c>
      <c r="Q109">
        <v>0</v>
      </c>
      <c r="R109">
        <v>7.4</v>
      </c>
      <c r="S109">
        <v>96.173500000000004</v>
      </c>
      <c r="T109">
        <v>16.840900000000001</v>
      </c>
    </row>
    <row r="110" spans="1:20" x14ac:dyDescent="0.3">
      <c r="A110" t="s">
        <v>242</v>
      </c>
      <c r="B110" t="s">
        <v>29</v>
      </c>
      <c r="C110" t="s">
        <v>243</v>
      </c>
      <c r="D110" t="s">
        <v>31</v>
      </c>
      <c r="E110" t="s">
        <v>32</v>
      </c>
      <c r="F110" t="s">
        <v>25</v>
      </c>
      <c r="G110" t="s">
        <v>63</v>
      </c>
      <c r="H110">
        <v>33.979999999999997</v>
      </c>
      <c r="I110">
        <v>11</v>
      </c>
      <c r="J110">
        <v>18.689</v>
      </c>
      <c r="K110">
        <v>373.78</v>
      </c>
      <c r="L110" s="1">
        <v>43551</v>
      </c>
      <c r="M110" s="2">
        <v>0.4465277777777778</v>
      </c>
      <c r="N110" t="s">
        <v>33</v>
      </c>
      <c r="O110">
        <v>305.82</v>
      </c>
      <c r="P110">
        <v>4.7619047620000003</v>
      </c>
      <c r="Q110">
        <v>67.959999999999994</v>
      </c>
      <c r="R110">
        <v>4.41</v>
      </c>
      <c r="S110">
        <v>96.078500000000005</v>
      </c>
      <c r="T110">
        <v>19.763300000000001</v>
      </c>
    </row>
    <row r="111" spans="1:20" x14ac:dyDescent="0.3">
      <c r="A111" t="s">
        <v>244</v>
      </c>
      <c r="B111" t="s">
        <v>29</v>
      </c>
      <c r="C111" t="s">
        <v>245</v>
      </c>
      <c r="D111" t="s">
        <v>31</v>
      </c>
      <c r="E111" t="s">
        <v>24</v>
      </c>
      <c r="F111" t="s">
        <v>25</v>
      </c>
      <c r="G111" t="s">
        <v>60</v>
      </c>
      <c r="H111">
        <v>81.97</v>
      </c>
      <c r="I111">
        <v>17</v>
      </c>
      <c r="J111">
        <v>69.674499999999995</v>
      </c>
      <c r="K111">
        <v>1393.49</v>
      </c>
      <c r="L111" s="1">
        <v>43512</v>
      </c>
      <c r="M111" s="2">
        <v>0.60416666666666663</v>
      </c>
      <c r="N111" t="s">
        <v>33</v>
      </c>
      <c r="O111">
        <v>819.7</v>
      </c>
      <c r="P111">
        <v>4.7619047620000003</v>
      </c>
      <c r="Q111">
        <v>573.79</v>
      </c>
      <c r="R111">
        <v>7.46</v>
      </c>
      <c r="S111">
        <v>96.078500000000005</v>
      </c>
      <c r="T111">
        <v>19.763300000000001</v>
      </c>
    </row>
    <row r="112" spans="1:20" x14ac:dyDescent="0.3">
      <c r="A112" t="s">
        <v>246</v>
      </c>
      <c r="B112" t="s">
        <v>51</v>
      </c>
      <c r="C112" t="s">
        <v>99</v>
      </c>
      <c r="D112" t="s">
        <v>53</v>
      </c>
      <c r="E112" t="s">
        <v>24</v>
      </c>
      <c r="F112" t="s">
        <v>25</v>
      </c>
      <c r="G112" t="s">
        <v>68</v>
      </c>
      <c r="H112">
        <v>16.489999999999998</v>
      </c>
      <c r="I112">
        <v>4</v>
      </c>
      <c r="J112">
        <v>3.298</v>
      </c>
      <c r="K112">
        <v>65.959999999999994</v>
      </c>
      <c r="L112" s="1">
        <v>43723</v>
      </c>
      <c r="M112" s="2">
        <v>0.48055555555555557</v>
      </c>
      <c r="N112" t="s">
        <v>27</v>
      </c>
      <c r="O112">
        <v>32.979999999999997</v>
      </c>
      <c r="P112">
        <v>4.7619047620000003</v>
      </c>
      <c r="Q112">
        <v>32.979999999999997</v>
      </c>
      <c r="R112">
        <v>7.46</v>
      </c>
      <c r="S112">
        <v>96.089100000000002</v>
      </c>
      <c r="T112">
        <v>21.9588</v>
      </c>
    </row>
    <row r="113" spans="1:20" x14ac:dyDescent="0.3">
      <c r="A113" t="s">
        <v>247</v>
      </c>
      <c r="B113" t="s">
        <v>29</v>
      </c>
      <c r="C113" t="s">
        <v>248</v>
      </c>
      <c r="D113" t="s">
        <v>31</v>
      </c>
      <c r="E113" t="s">
        <v>24</v>
      </c>
      <c r="F113" t="s">
        <v>25</v>
      </c>
      <c r="G113" t="s">
        <v>26</v>
      </c>
      <c r="H113">
        <v>98.21</v>
      </c>
      <c r="I113">
        <v>6</v>
      </c>
      <c r="J113">
        <v>29.463000000000001</v>
      </c>
      <c r="K113">
        <v>589.26</v>
      </c>
      <c r="L113" s="1">
        <v>43763</v>
      </c>
      <c r="M113" s="2">
        <v>0.44513888888888886</v>
      </c>
      <c r="N113" t="s">
        <v>37</v>
      </c>
      <c r="O113">
        <v>294.63</v>
      </c>
      <c r="P113">
        <v>4.7619047620000003</v>
      </c>
      <c r="Q113">
        <v>294.63</v>
      </c>
      <c r="R113">
        <v>7.46</v>
      </c>
      <c r="S113">
        <v>96.078500000000005</v>
      </c>
      <c r="T113">
        <v>19.763300000000001</v>
      </c>
    </row>
    <row r="114" spans="1:20" x14ac:dyDescent="0.3">
      <c r="A114" t="s">
        <v>249</v>
      </c>
      <c r="B114" t="s">
        <v>51</v>
      </c>
      <c r="C114" t="s">
        <v>250</v>
      </c>
      <c r="D114" t="s">
        <v>53</v>
      </c>
      <c r="E114" t="s">
        <v>32</v>
      </c>
      <c r="F114" t="s">
        <v>25</v>
      </c>
      <c r="G114" t="s">
        <v>100</v>
      </c>
      <c r="H114">
        <v>72.84</v>
      </c>
      <c r="I114">
        <v>10</v>
      </c>
      <c r="J114">
        <v>36.42</v>
      </c>
      <c r="K114">
        <v>728.4</v>
      </c>
      <c r="L114" s="1">
        <v>43662</v>
      </c>
      <c r="M114" s="2">
        <v>0.53055555555555556</v>
      </c>
      <c r="N114" t="s">
        <v>33</v>
      </c>
      <c r="O114">
        <v>509.88</v>
      </c>
      <c r="P114">
        <v>4.7619047620000003</v>
      </c>
      <c r="Q114">
        <v>218.52</v>
      </c>
      <c r="R114">
        <v>7.46</v>
      </c>
      <c r="S114">
        <v>96.089100000000002</v>
      </c>
      <c r="T114">
        <v>21.9588</v>
      </c>
    </row>
    <row r="115" spans="1:20" x14ac:dyDescent="0.3">
      <c r="A115" t="s">
        <v>251</v>
      </c>
      <c r="B115" t="s">
        <v>21</v>
      </c>
      <c r="C115" t="s">
        <v>252</v>
      </c>
      <c r="D115" t="s">
        <v>23</v>
      </c>
      <c r="E115" t="s">
        <v>24</v>
      </c>
      <c r="F115" t="s">
        <v>36</v>
      </c>
      <c r="G115" t="s">
        <v>77</v>
      </c>
      <c r="H115">
        <v>58.07</v>
      </c>
      <c r="I115">
        <v>13</v>
      </c>
      <c r="J115">
        <v>37.7455</v>
      </c>
      <c r="K115">
        <v>754.91</v>
      </c>
      <c r="L115" s="1">
        <v>43765</v>
      </c>
      <c r="M115" s="2">
        <v>0.83819444444444446</v>
      </c>
      <c r="N115" t="s">
        <v>27</v>
      </c>
      <c r="O115">
        <v>522.63</v>
      </c>
      <c r="P115">
        <v>4.7619047620000003</v>
      </c>
      <c r="Q115">
        <v>232.28</v>
      </c>
      <c r="R115">
        <v>7.46</v>
      </c>
      <c r="S115">
        <v>96.173500000000004</v>
      </c>
      <c r="T115">
        <v>16.840900000000001</v>
      </c>
    </row>
    <row r="116" spans="1:20" x14ac:dyDescent="0.3">
      <c r="A116" t="s">
        <v>253</v>
      </c>
      <c r="B116" t="s">
        <v>29</v>
      </c>
      <c r="C116" t="s">
        <v>254</v>
      </c>
      <c r="D116" t="s">
        <v>31</v>
      </c>
      <c r="E116" t="s">
        <v>24</v>
      </c>
      <c r="F116" t="s">
        <v>25</v>
      </c>
      <c r="G116" t="s">
        <v>77</v>
      </c>
      <c r="H116">
        <v>80.790000000000006</v>
      </c>
      <c r="I116">
        <v>15</v>
      </c>
      <c r="J116">
        <v>60.592500000000001</v>
      </c>
      <c r="K116">
        <v>1211.8499999999999</v>
      </c>
      <c r="L116" s="1">
        <v>43709</v>
      </c>
      <c r="M116" s="2">
        <v>0.85486111111111107</v>
      </c>
      <c r="N116" t="s">
        <v>37</v>
      </c>
      <c r="O116">
        <v>727.11</v>
      </c>
      <c r="P116">
        <v>4.7619047620000003</v>
      </c>
      <c r="Q116">
        <v>484.74</v>
      </c>
      <c r="R116">
        <v>7.46</v>
      </c>
      <c r="S116">
        <v>96.078500000000005</v>
      </c>
      <c r="T116">
        <v>19.763300000000001</v>
      </c>
    </row>
    <row r="117" spans="1:20" x14ac:dyDescent="0.3">
      <c r="A117" t="s">
        <v>255</v>
      </c>
      <c r="B117" t="s">
        <v>29</v>
      </c>
      <c r="C117" t="s">
        <v>256</v>
      </c>
      <c r="D117" t="s">
        <v>31</v>
      </c>
      <c r="E117" t="s">
        <v>32</v>
      </c>
      <c r="F117" t="s">
        <v>25</v>
      </c>
      <c r="G117" t="s">
        <v>26</v>
      </c>
      <c r="H117">
        <v>27.02</v>
      </c>
      <c r="I117">
        <v>4</v>
      </c>
      <c r="J117">
        <v>5.4039999999999999</v>
      </c>
      <c r="K117">
        <v>108.08</v>
      </c>
      <c r="L117" s="1">
        <v>43688</v>
      </c>
      <c r="M117" s="2">
        <v>0.54236111111111107</v>
      </c>
      <c r="N117" t="s">
        <v>37</v>
      </c>
      <c r="O117">
        <v>81.06</v>
      </c>
      <c r="P117">
        <v>4.7619047620000003</v>
      </c>
      <c r="Q117">
        <v>27.02</v>
      </c>
      <c r="R117">
        <v>7.46</v>
      </c>
      <c r="S117">
        <v>96.078500000000005</v>
      </c>
      <c r="T117">
        <v>19.763300000000001</v>
      </c>
    </row>
    <row r="118" spans="1:20" x14ac:dyDescent="0.3">
      <c r="A118" t="s">
        <v>257</v>
      </c>
      <c r="B118" t="s">
        <v>51</v>
      </c>
      <c r="C118" t="s">
        <v>258</v>
      </c>
      <c r="D118" t="s">
        <v>53</v>
      </c>
      <c r="E118" t="s">
        <v>24</v>
      </c>
      <c r="F118" t="s">
        <v>36</v>
      </c>
      <c r="G118" t="s">
        <v>26</v>
      </c>
      <c r="H118">
        <v>21.94</v>
      </c>
      <c r="I118">
        <v>10</v>
      </c>
      <c r="J118">
        <v>10.97</v>
      </c>
      <c r="K118">
        <v>219.4</v>
      </c>
      <c r="L118" s="1">
        <v>43802</v>
      </c>
      <c r="M118" s="2">
        <v>0.52013888888888893</v>
      </c>
      <c r="N118" t="s">
        <v>27</v>
      </c>
      <c r="O118">
        <v>109.7</v>
      </c>
      <c r="P118">
        <v>4.7619047620000003</v>
      </c>
      <c r="Q118">
        <v>109.7</v>
      </c>
      <c r="R118">
        <v>7.46</v>
      </c>
      <c r="S118">
        <v>96.089100000000002</v>
      </c>
      <c r="T118">
        <v>21.9588</v>
      </c>
    </row>
    <row r="119" spans="1:20" x14ac:dyDescent="0.3">
      <c r="A119" t="s">
        <v>259</v>
      </c>
      <c r="B119" t="s">
        <v>51</v>
      </c>
      <c r="C119" t="s">
        <v>260</v>
      </c>
      <c r="D119" t="s">
        <v>53</v>
      </c>
      <c r="E119" t="s">
        <v>24</v>
      </c>
      <c r="F119" t="s">
        <v>36</v>
      </c>
      <c r="G119" t="s">
        <v>26</v>
      </c>
      <c r="H119">
        <v>51.36</v>
      </c>
      <c r="I119">
        <v>1</v>
      </c>
      <c r="J119">
        <v>2.5680000000000001</v>
      </c>
      <c r="K119">
        <v>51.36</v>
      </c>
      <c r="L119" s="1">
        <v>43518</v>
      </c>
      <c r="M119" s="2">
        <v>0.6430555555555556</v>
      </c>
      <c r="N119" t="s">
        <v>27</v>
      </c>
      <c r="O119">
        <v>51.36</v>
      </c>
      <c r="P119">
        <v>4.7619047620000003</v>
      </c>
      <c r="Q119">
        <v>0</v>
      </c>
      <c r="R119">
        <v>7.46</v>
      </c>
      <c r="S119">
        <v>96.089100000000002</v>
      </c>
      <c r="T119">
        <v>21.9588</v>
      </c>
    </row>
    <row r="120" spans="1:20" x14ac:dyDescent="0.3">
      <c r="A120" t="s">
        <v>261</v>
      </c>
      <c r="B120" t="s">
        <v>21</v>
      </c>
      <c r="C120" t="s">
        <v>262</v>
      </c>
      <c r="D120" t="s">
        <v>23</v>
      </c>
      <c r="E120" t="s">
        <v>32</v>
      </c>
      <c r="F120" t="s">
        <v>25</v>
      </c>
      <c r="G120" t="s">
        <v>26</v>
      </c>
      <c r="H120">
        <v>10.96</v>
      </c>
      <c r="I120">
        <v>10</v>
      </c>
      <c r="J120">
        <v>5.48</v>
      </c>
      <c r="K120">
        <v>109.6</v>
      </c>
      <c r="L120" s="1">
        <v>43658</v>
      </c>
      <c r="M120" s="2">
        <v>0.8666666666666667</v>
      </c>
      <c r="N120" t="s">
        <v>27</v>
      </c>
      <c r="O120">
        <v>109.6</v>
      </c>
      <c r="P120">
        <v>4.7619047620000003</v>
      </c>
      <c r="Q120">
        <v>0</v>
      </c>
      <c r="R120">
        <v>7.46</v>
      </c>
      <c r="S120">
        <v>96.173500000000004</v>
      </c>
      <c r="T120">
        <v>16.840900000000001</v>
      </c>
    </row>
    <row r="121" spans="1:20" x14ac:dyDescent="0.3">
      <c r="A121" t="s">
        <v>263</v>
      </c>
      <c r="B121" t="s">
        <v>51</v>
      </c>
      <c r="C121" t="s">
        <v>175</v>
      </c>
      <c r="D121" t="s">
        <v>53</v>
      </c>
      <c r="E121" t="s">
        <v>32</v>
      </c>
      <c r="F121" t="s">
        <v>36</v>
      </c>
      <c r="G121" t="s">
        <v>77</v>
      </c>
      <c r="H121">
        <v>53.44</v>
      </c>
      <c r="I121">
        <v>3</v>
      </c>
      <c r="J121">
        <v>8.016</v>
      </c>
      <c r="K121">
        <v>160.32</v>
      </c>
      <c r="L121" s="1">
        <v>43582</v>
      </c>
      <c r="M121" s="2">
        <v>0.85972222222222228</v>
      </c>
      <c r="N121" t="s">
        <v>27</v>
      </c>
      <c r="O121">
        <v>106.88</v>
      </c>
      <c r="P121">
        <v>4.7619047620000003</v>
      </c>
      <c r="Q121">
        <v>53.44</v>
      </c>
      <c r="R121">
        <v>7.46</v>
      </c>
      <c r="S121">
        <v>96.089100000000002</v>
      </c>
      <c r="T121">
        <v>21.9588</v>
      </c>
    </row>
    <row r="122" spans="1:20" x14ac:dyDescent="0.3">
      <c r="A122" t="s">
        <v>264</v>
      </c>
      <c r="B122" t="s">
        <v>21</v>
      </c>
      <c r="C122" t="s">
        <v>265</v>
      </c>
      <c r="D122" t="s">
        <v>23</v>
      </c>
      <c r="E122" t="s">
        <v>32</v>
      </c>
      <c r="F122" t="s">
        <v>25</v>
      </c>
      <c r="G122" t="s">
        <v>60</v>
      </c>
      <c r="H122">
        <v>99.56</v>
      </c>
      <c r="I122">
        <v>8</v>
      </c>
      <c r="J122">
        <v>39.823999999999998</v>
      </c>
      <c r="K122">
        <v>796.48</v>
      </c>
      <c r="L122" s="1">
        <v>43557</v>
      </c>
      <c r="M122" s="2">
        <v>0.7104166666666667</v>
      </c>
      <c r="N122" t="s">
        <v>37</v>
      </c>
      <c r="O122">
        <v>796.48</v>
      </c>
      <c r="P122">
        <v>4.7619047620000003</v>
      </c>
      <c r="Q122">
        <v>0</v>
      </c>
      <c r="R122">
        <v>7.46</v>
      </c>
      <c r="S122">
        <v>96.173500000000004</v>
      </c>
      <c r="T122">
        <v>16.840900000000001</v>
      </c>
    </row>
    <row r="123" spans="1:20" x14ac:dyDescent="0.3">
      <c r="A123" t="s">
        <v>266</v>
      </c>
      <c r="B123" t="s">
        <v>29</v>
      </c>
      <c r="C123" t="s">
        <v>138</v>
      </c>
      <c r="D123" t="s">
        <v>31</v>
      </c>
      <c r="E123" t="s">
        <v>32</v>
      </c>
      <c r="F123" t="s">
        <v>36</v>
      </c>
      <c r="G123" t="s">
        <v>68</v>
      </c>
      <c r="H123">
        <v>57.12</v>
      </c>
      <c r="I123">
        <v>8</v>
      </c>
      <c r="J123">
        <v>22.847999999999999</v>
      </c>
      <c r="K123">
        <v>456.96</v>
      </c>
      <c r="L123" s="1">
        <v>43823</v>
      </c>
      <c r="M123" s="2">
        <v>0.50138888888888888</v>
      </c>
      <c r="N123" t="s">
        <v>37</v>
      </c>
      <c r="O123">
        <v>399.84</v>
      </c>
      <c r="P123">
        <v>4.7619047620000003</v>
      </c>
      <c r="Q123">
        <v>57.12</v>
      </c>
      <c r="R123">
        <v>7.46</v>
      </c>
      <c r="S123">
        <v>96.078500000000005</v>
      </c>
      <c r="T123">
        <v>19.763300000000001</v>
      </c>
    </row>
    <row r="124" spans="1:20" x14ac:dyDescent="0.3">
      <c r="A124" t="s">
        <v>267</v>
      </c>
      <c r="B124" t="s">
        <v>51</v>
      </c>
      <c r="C124" t="s">
        <v>268</v>
      </c>
      <c r="D124" t="s">
        <v>53</v>
      </c>
      <c r="E124" t="s">
        <v>32</v>
      </c>
      <c r="F124" t="s">
        <v>36</v>
      </c>
      <c r="G124" t="s">
        <v>68</v>
      </c>
      <c r="H124">
        <v>99.96</v>
      </c>
      <c r="I124">
        <v>13</v>
      </c>
      <c r="J124">
        <v>64.974000000000004</v>
      </c>
      <c r="K124">
        <v>1299.48</v>
      </c>
      <c r="L124" s="1">
        <v>43718</v>
      </c>
      <c r="M124" s="2">
        <v>0.72638888888888886</v>
      </c>
      <c r="N124" t="s">
        <v>37</v>
      </c>
      <c r="O124">
        <v>899.64</v>
      </c>
      <c r="P124">
        <v>4.7619047620000003</v>
      </c>
      <c r="Q124">
        <v>399.84</v>
      </c>
      <c r="R124">
        <v>7.46</v>
      </c>
      <c r="S124">
        <v>96.089100000000002</v>
      </c>
      <c r="T124">
        <v>21.9588</v>
      </c>
    </row>
    <row r="125" spans="1:20" x14ac:dyDescent="0.3">
      <c r="A125" t="s">
        <v>269</v>
      </c>
      <c r="B125" t="s">
        <v>29</v>
      </c>
      <c r="C125" t="s">
        <v>270</v>
      </c>
      <c r="D125" t="s">
        <v>31</v>
      </c>
      <c r="E125" t="s">
        <v>32</v>
      </c>
      <c r="F125" t="s">
        <v>36</v>
      </c>
      <c r="G125" t="s">
        <v>77</v>
      </c>
      <c r="H125">
        <v>63.91</v>
      </c>
      <c r="I125">
        <v>10</v>
      </c>
      <c r="J125">
        <v>31.954999999999998</v>
      </c>
      <c r="K125">
        <v>639.1</v>
      </c>
      <c r="L125" s="1">
        <v>43724</v>
      </c>
      <c r="M125" s="2">
        <v>0.82777777777777772</v>
      </c>
      <c r="N125" t="s">
        <v>37</v>
      </c>
      <c r="O125">
        <v>511.28</v>
      </c>
      <c r="P125">
        <v>4.7619047620000003</v>
      </c>
      <c r="Q125">
        <v>127.82</v>
      </c>
      <c r="R125">
        <v>7.46</v>
      </c>
      <c r="S125">
        <v>96.078500000000005</v>
      </c>
      <c r="T125">
        <v>19.763300000000001</v>
      </c>
    </row>
    <row r="126" spans="1:20" x14ac:dyDescent="0.3">
      <c r="A126" t="s">
        <v>271</v>
      </c>
      <c r="B126" t="s">
        <v>51</v>
      </c>
      <c r="C126" t="s">
        <v>57</v>
      </c>
      <c r="D126" t="s">
        <v>53</v>
      </c>
      <c r="E126" t="s">
        <v>32</v>
      </c>
      <c r="F126" t="s">
        <v>25</v>
      </c>
      <c r="G126" t="s">
        <v>100</v>
      </c>
      <c r="H126">
        <v>56.47</v>
      </c>
      <c r="I126">
        <v>11</v>
      </c>
      <c r="J126">
        <f t="shared" ref="J126:J140" si="3">K126*5%</f>
        <v>31.058499999999999</v>
      </c>
      <c r="K126">
        <v>621.16999999999996</v>
      </c>
      <c r="L126" s="1">
        <v>43627</v>
      </c>
      <c r="M126" s="2">
        <v>0.62291666666666667</v>
      </c>
      <c r="N126" t="s">
        <v>27</v>
      </c>
      <c r="O126">
        <v>451.76</v>
      </c>
      <c r="P126">
        <v>4.7619047620000003</v>
      </c>
      <c r="Q126">
        <v>169.41</v>
      </c>
      <c r="R126">
        <v>7.46</v>
      </c>
      <c r="S126">
        <v>96.089100000000002</v>
      </c>
      <c r="T126">
        <v>21.9588</v>
      </c>
    </row>
    <row r="127" spans="1:20" x14ac:dyDescent="0.3">
      <c r="A127" t="s">
        <v>272</v>
      </c>
      <c r="B127" t="s">
        <v>21</v>
      </c>
      <c r="C127" t="s">
        <v>164</v>
      </c>
      <c r="D127" t="s">
        <v>23</v>
      </c>
      <c r="E127" t="s">
        <v>32</v>
      </c>
      <c r="F127" t="s">
        <v>25</v>
      </c>
      <c r="G127" t="s">
        <v>77</v>
      </c>
      <c r="H127">
        <v>93.69</v>
      </c>
      <c r="I127">
        <v>7</v>
      </c>
      <c r="J127">
        <f t="shared" si="3"/>
        <v>32.791500000000006</v>
      </c>
      <c r="K127">
        <v>655.83</v>
      </c>
      <c r="L127" s="1">
        <v>43549</v>
      </c>
      <c r="M127" s="2">
        <v>0.78055555555555556</v>
      </c>
      <c r="N127" t="s">
        <v>37</v>
      </c>
      <c r="O127">
        <v>655.83</v>
      </c>
      <c r="P127">
        <v>4.7619047620000003</v>
      </c>
      <c r="Q127">
        <v>0</v>
      </c>
      <c r="R127">
        <v>7.46</v>
      </c>
      <c r="S127">
        <v>96.173500000000004</v>
      </c>
      <c r="T127">
        <v>16.840900000000001</v>
      </c>
    </row>
    <row r="128" spans="1:20" x14ac:dyDescent="0.3">
      <c r="A128" t="s">
        <v>273</v>
      </c>
      <c r="B128" t="s">
        <v>21</v>
      </c>
      <c r="C128" t="s">
        <v>274</v>
      </c>
      <c r="D128" t="s">
        <v>23</v>
      </c>
      <c r="E128" t="s">
        <v>32</v>
      </c>
      <c r="F128" t="s">
        <v>25</v>
      </c>
      <c r="G128" t="s">
        <v>68</v>
      </c>
      <c r="H128">
        <v>32.25</v>
      </c>
      <c r="I128">
        <v>5</v>
      </c>
      <c r="J128">
        <f t="shared" si="3"/>
        <v>8.0625</v>
      </c>
      <c r="K128">
        <v>161.25</v>
      </c>
      <c r="L128" s="1">
        <v>43798</v>
      </c>
      <c r="M128" s="2">
        <v>0.55972222222222223</v>
      </c>
      <c r="N128" t="s">
        <v>33</v>
      </c>
      <c r="O128">
        <v>161.25</v>
      </c>
      <c r="P128">
        <v>4.7619047620000003</v>
      </c>
      <c r="Q128">
        <v>0</v>
      </c>
      <c r="R128">
        <v>9</v>
      </c>
      <c r="S128">
        <v>96.173500000000004</v>
      </c>
      <c r="T128">
        <v>16.840900000000001</v>
      </c>
    </row>
    <row r="129" spans="1:20" x14ac:dyDescent="0.3">
      <c r="A129" t="s">
        <v>275</v>
      </c>
      <c r="B129" t="s">
        <v>29</v>
      </c>
      <c r="C129" t="s">
        <v>276</v>
      </c>
      <c r="D129" t="s">
        <v>31</v>
      </c>
      <c r="E129" t="s">
        <v>32</v>
      </c>
      <c r="F129" t="s">
        <v>25</v>
      </c>
      <c r="G129" t="s">
        <v>100</v>
      </c>
      <c r="H129">
        <v>31.73</v>
      </c>
      <c r="I129">
        <v>11</v>
      </c>
      <c r="J129">
        <f t="shared" si="3"/>
        <v>17.451499999999999</v>
      </c>
      <c r="K129">
        <v>349.03</v>
      </c>
      <c r="L129" s="1">
        <v>43589</v>
      </c>
      <c r="M129" s="2">
        <v>0.67847222222222225</v>
      </c>
      <c r="N129" t="s">
        <v>37</v>
      </c>
      <c r="O129">
        <v>285.57</v>
      </c>
      <c r="P129">
        <v>4.7619047620000003</v>
      </c>
      <c r="Q129">
        <v>63.46</v>
      </c>
      <c r="R129">
        <v>6.1950000000000003</v>
      </c>
      <c r="S129">
        <v>96.078500000000005</v>
      </c>
      <c r="T129">
        <v>19.763300000000001</v>
      </c>
    </row>
    <row r="130" spans="1:20" x14ac:dyDescent="0.3">
      <c r="A130" t="s">
        <v>277</v>
      </c>
      <c r="B130" t="s">
        <v>29</v>
      </c>
      <c r="C130" t="s">
        <v>278</v>
      </c>
      <c r="D130" t="s">
        <v>31</v>
      </c>
      <c r="E130" t="s">
        <v>32</v>
      </c>
      <c r="F130" t="s">
        <v>25</v>
      </c>
      <c r="G130" t="s">
        <v>63</v>
      </c>
      <c r="H130">
        <v>68.540000000000006</v>
      </c>
      <c r="I130">
        <v>10</v>
      </c>
      <c r="J130">
        <f t="shared" si="3"/>
        <v>34.270000000000003</v>
      </c>
      <c r="K130">
        <v>685.4</v>
      </c>
      <c r="L130" s="1">
        <v>43628</v>
      </c>
      <c r="M130" s="2">
        <v>0.6645833333333333</v>
      </c>
      <c r="N130" t="s">
        <v>27</v>
      </c>
      <c r="O130">
        <v>548.32000000000005</v>
      </c>
      <c r="P130">
        <v>4.7619047620000003</v>
      </c>
      <c r="Q130">
        <v>137.08000000000001</v>
      </c>
      <c r="R130">
        <v>8.9250000000000007</v>
      </c>
      <c r="S130">
        <v>96.078500000000005</v>
      </c>
      <c r="T130">
        <v>19.763300000000001</v>
      </c>
    </row>
    <row r="131" spans="1:20" x14ac:dyDescent="0.3">
      <c r="A131" t="s">
        <v>279</v>
      </c>
      <c r="B131" t="s">
        <v>51</v>
      </c>
      <c r="C131" t="s">
        <v>280</v>
      </c>
      <c r="D131" t="s">
        <v>53</v>
      </c>
      <c r="E131" t="s">
        <v>32</v>
      </c>
      <c r="F131" t="s">
        <v>25</v>
      </c>
      <c r="G131" t="s">
        <v>68</v>
      </c>
      <c r="H131">
        <v>90.28</v>
      </c>
      <c r="I131">
        <v>13</v>
      </c>
      <c r="J131">
        <f t="shared" si="3"/>
        <v>58.682000000000009</v>
      </c>
      <c r="K131">
        <v>1173.6400000000001</v>
      </c>
      <c r="L131" s="1">
        <v>43555</v>
      </c>
      <c r="M131" s="2">
        <v>0.46875</v>
      </c>
      <c r="N131" t="s">
        <v>27</v>
      </c>
      <c r="O131">
        <v>812.52</v>
      </c>
      <c r="P131">
        <v>4.7619047620000003</v>
      </c>
      <c r="Q131">
        <v>361.12</v>
      </c>
      <c r="R131">
        <v>8.64</v>
      </c>
      <c r="S131">
        <v>96.089100000000002</v>
      </c>
      <c r="T131">
        <v>21.9588</v>
      </c>
    </row>
    <row r="132" spans="1:20" x14ac:dyDescent="0.3">
      <c r="A132" t="s">
        <v>281</v>
      </c>
      <c r="B132" t="s">
        <v>51</v>
      </c>
      <c r="C132" t="s">
        <v>282</v>
      </c>
      <c r="D132" t="s">
        <v>53</v>
      </c>
      <c r="E132" t="s">
        <v>32</v>
      </c>
      <c r="F132" t="s">
        <v>25</v>
      </c>
      <c r="G132" t="s">
        <v>100</v>
      </c>
      <c r="H132">
        <v>39.619999999999997</v>
      </c>
      <c r="I132">
        <v>10</v>
      </c>
      <c r="J132">
        <f t="shared" si="3"/>
        <v>19.810000000000002</v>
      </c>
      <c r="K132">
        <v>396.2</v>
      </c>
      <c r="L132" s="1">
        <v>43559</v>
      </c>
      <c r="M132" s="2">
        <v>0.5541666666666667</v>
      </c>
      <c r="N132" t="s">
        <v>27</v>
      </c>
      <c r="O132">
        <v>277.33999999999997</v>
      </c>
      <c r="P132">
        <v>4.7619047620000003</v>
      </c>
      <c r="Q132">
        <v>118.86</v>
      </c>
      <c r="R132">
        <v>9</v>
      </c>
      <c r="S132">
        <v>96.089100000000002</v>
      </c>
      <c r="T132">
        <v>21.9588</v>
      </c>
    </row>
    <row r="133" spans="1:20" x14ac:dyDescent="0.3">
      <c r="A133" t="s">
        <v>283</v>
      </c>
      <c r="B133" t="s">
        <v>21</v>
      </c>
      <c r="C133" t="s">
        <v>284</v>
      </c>
      <c r="D133" t="s">
        <v>23</v>
      </c>
      <c r="E133" t="s">
        <v>32</v>
      </c>
      <c r="F133" t="s">
        <v>25</v>
      </c>
      <c r="G133" t="s">
        <v>68</v>
      </c>
      <c r="H133">
        <v>92.13</v>
      </c>
      <c r="I133">
        <v>6</v>
      </c>
      <c r="J133">
        <f t="shared" si="3"/>
        <v>27.638999999999999</v>
      </c>
      <c r="K133">
        <v>552.78</v>
      </c>
      <c r="L133" s="1">
        <v>43690</v>
      </c>
      <c r="M133" s="2">
        <v>0.8569444444444444</v>
      </c>
      <c r="N133" t="s">
        <v>27</v>
      </c>
      <c r="O133">
        <v>552.78</v>
      </c>
      <c r="P133">
        <v>4.7619047620000003</v>
      </c>
      <c r="Q133">
        <v>0</v>
      </c>
      <c r="R133">
        <v>8.3000000000000007</v>
      </c>
      <c r="S133">
        <v>96.173500000000004</v>
      </c>
      <c r="T133">
        <v>16.840900000000001</v>
      </c>
    </row>
    <row r="134" spans="1:20" x14ac:dyDescent="0.3">
      <c r="A134" t="s">
        <v>285</v>
      </c>
      <c r="B134" t="s">
        <v>51</v>
      </c>
      <c r="C134" t="s">
        <v>286</v>
      </c>
      <c r="D134" t="s">
        <v>53</v>
      </c>
      <c r="E134" t="s">
        <v>32</v>
      </c>
      <c r="F134" t="s">
        <v>25</v>
      </c>
      <c r="G134" t="s">
        <v>68</v>
      </c>
      <c r="H134">
        <v>34.840000000000003</v>
      </c>
      <c r="I134">
        <v>6</v>
      </c>
      <c r="J134">
        <f t="shared" si="3"/>
        <v>10.452</v>
      </c>
      <c r="K134">
        <v>209.04</v>
      </c>
      <c r="L134" s="1">
        <v>43476</v>
      </c>
      <c r="M134" s="2">
        <v>0.77500000000000002</v>
      </c>
      <c r="N134" t="s">
        <v>27</v>
      </c>
      <c r="O134">
        <v>139.36000000000001</v>
      </c>
      <c r="P134">
        <v>4.7619047620000003</v>
      </c>
      <c r="Q134">
        <v>69.680000000000007</v>
      </c>
      <c r="R134">
        <v>8.8800000000000008</v>
      </c>
      <c r="S134">
        <v>96.089100000000002</v>
      </c>
      <c r="T134">
        <v>21.9588</v>
      </c>
    </row>
    <row r="135" spans="1:20" x14ac:dyDescent="0.3">
      <c r="A135" t="s">
        <v>287</v>
      </c>
      <c r="B135" t="s">
        <v>51</v>
      </c>
      <c r="C135" t="s">
        <v>288</v>
      </c>
      <c r="D135" t="s">
        <v>53</v>
      </c>
      <c r="E135" t="s">
        <v>32</v>
      </c>
      <c r="F135" t="s">
        <v>36</v>
      </c>
      <c r="G135" t="s">
        <v>60</v>
      </c>
      <c r="H135">
        <v>87.45</v>
      </c>
      <c r="I135">
        <v>8</v>
      </c>
      <c r="J135">
        <f t="shared" si="3"/>
        <v>34.980000000000004</v>
      </c>
      <c r="K135">
        <v>699.6</v>
      </c>
      <c r="L135" s="1">
        <v>43521</v>
      </c>
      <c r="M135" s="2">
        <v>0.61111111111111116</v>
      </c>
      <c r="N135" t="s">
        <v>27</v>
      </c>
      <c r="O135">
        <v>524.70000000000005</v>
      </c>
      <c r="P135">
        <v>4.7619047620000003</v>
      </c>
      <c r="Q135">
        <v>174.9</v>
      </c>
      <c r="R135">
        <v>10</v>
      </c>
      <c r="S135">
        <v>96.089100000000002</v>
      </c>
      <c r="T135">
        <v>21.9588</v>
      </c>
    </row>
    <row r="136" spans="1:20" x14ac:dyDescent="0.3">
      <c r="A136" t="s">
        <v>289</v>
      </c>
      <c r="B136" t="s">
        <v>29</v>
      </c>
      <c r="C136" t="s">
        <v>290</v>
      </c>
      <c r="D136" t="s">
        <v>31</v>
      </c>
      <c r="E136" t="s">
        <v>32</v>
      </c>
      <c r="F136" t="s">
        <v>25</v>
      </c>
      <c r="G136" t="s">
        <v>26</v>
      </c>
      <c r="H136">
        <v>81.3</v>
      </c>
      <c r="I136">
        <v>7</v>
      </c>
      <c r="J136">
        <f t="shared" si="3"/>
        <v>28.455000000000002</v>
      </c>
      <c r="K136">
        <v>569.1</v>
      </c>
      <c r="L136" s="1">
        <v>43761</v>
      </c>
      <c r="M136" s="2">
        <v>0.69652777777777775</v>
      </c>
      <c r="N136" t="s">
        <v>27</v>
      </c>
      <c r="O136">
        <v>487.8</v>
      </c>
      <c r="P136">
        <v>4.7619047620000003</v>
      </c>
      <c r="Q136">
        <v>81.3</v>
      </c>
      <c r="R136">
        <v>5.5650000000000004</v>
      </c>
      <c r="S136">
        <v>96.078500000000005</v>
      </c>
      <c r="T136">
        <v>19.763300000000001</v>
      </c>
    </row>
    <row r="137" spans="1:20" x14ac:dyDescent="0.3">
      <c r="A137" t="s">
        <v>291</v>
      </c>
      <c r="B137" t="s">
        <v>29</v>
      </c>
      <c r="C137" t="s">
        <v>55</v>
      </c>
      <c r="D137" t="s">
        <v>31</v>
      </c>
      <c r="E137" t="s">
        <v>32</v>
      </c>
      <c r="F137" t="s">
        <v>36</v>
      </c>
      <c r="G137" t="s">
        <v>100</v>
      </c>
      <c r="H137">
        <v>90.22</v>
      </c>
      <c r="I137">
        <v>4</v>
      </c>
      <c r="J137">
        <f t="shared" si="3"/>
        <v>18.044</v>
      </c>
      <c r="K137">
        <v>360.88</v>
      </c>
      <c r="L137" s="1">
        <v>43642</v>
      </c>
      <c r="M137" s="2">
        <v>0.81874999999999998</v>
      </c>
      <c r="N137" t="s">
        <v>27</v>
      </c>
      <c r="O137">
        <v>270.66000000000003</v>
      </c>
      <c r="P137">
        <v>4.7619047620000003</v>
      </c>
      <c r="Q137">
        <v>90.22</v>
      </c>
      <c r="R137">
        <v>6.51</v>
      </c>
      <c r="S137">
        <v>96.078500000000005</v>
      </c>
      <c r="T137">
        <v>19.763300000000001</v>
      </c>
    </row>
    <row r="138" spans="1:20" x14ac:dyDescent="0.3">
      <c r="A138" t="s">
        <v>292</v>
      </c>
      <c r="B138" t="s">
        <v>21</v>
      </c>
      <c r="C138" t="s">
        <v>205</v>
      </c>
      <c r="D138" t="s">
        <v>23</v>
      </c>
      <c r="E138" t="s">
        <v>32</v>
      </c>
      <c r="F138" t="s">
        <v>25</v>
      </c>
      <c r="G138" t="s">
        <v>60</v>
      </c>
      <c r="H138">
        <v>26.31</v>
      </c>
      <c r="I138">
        <v>5</v>
      </c>
      <c r="J138">
        <f t="shared" si="3"/>
        <v>6.5775000000000006</v>
      </c>
      <c r="K138">
        <v>131.55000000000001</v>
      </c>
      <c r="L138" s="1">
        <v>43487</v>
      </c>
      <c r="M138" s="2">
        <v>0.87430555555555556</v>
      </c>
      <c r="N138" t="s">
        <v>27</v>
      </c>
      <c r="O138">
        <v>131.55000000000001</v>
      </c>
      <c r="P138">
        <v>4.7619047620000003</v>
      </c>
      <c r="Q138">
        <v>0</v>
      </c>
      <c r="R138">
        <v>8.8000000000000007</v>
      </c>
      <c r="S138">
        <v>96.173500000000004</v>
      </c>
      <c r="T138">
        <v>16.840900000000001</v>
      </c>
    </row>
    <row r="139" spans="1:20" x14ac:dyDescent="0.3">
      <c r="A139" t="s">
        <v>293</v>
      </c>
      <c r="B139" t="s">
        <v>21</v>
      </c>
      <c r="C139" t="s">
        <v>294</v>
      </c>
      <c r="D139" t="s">
        <v>23</v>
      </c>
      <c r="E139" t="s">
        <v>32</v>
      </c>
      <c r="F139" t="s">
        <v>25</v>
      </c>
      <c r="G139" t="s">
        <v>77</v>
      </c>
      <c r="H139">
        <v>34.42</v>
      </c>
      <c r="I139">
        <v>6</v>
      </c>
      <c r="J139">
        <f t="shared" si="3"/>
        <v>10.326000000000001</v>
      </c>
      <c r="K139">
        <v>206.52</v>
      </c>
      <c r="L139" s="1">
        <v>43510</v>
      </c>
      <c r="M139" s="2">
        <v>0.65208333333333335</v>
      </c>
      <c r="N139" t="s">
        <v>27</v>
      </c>
      <c r="O139">
        <v>206.52</v>
      </c>
      <c r="P139">
        <v>4.7619047620000003</v>
      </c>
      <c r="Q139">
        <v>0</v>
      </c>
      <c r="R139">
        <v>9.8000000000000007</v>
      </c>
      <c r="S139">
        <v>96.173500000000004</v>
      </c>
      <c r="T139">
        <v>16.840900000000001</v>
      </c>
    </row>
    <row r="140" spans="1:20" x14ac:dyDescent="0.3">
      <c r="A140" t="s">
        <v>295</v>
      </c>
      <c r="B140" t="s">
        <v>51</v>
      </c>
      <c r="C140" t="s">
        <v>296</v>
      </c>
      <c r="D140" t="s">
        <v>53</v>
      </c>
      <c r="E140" t="s">
        <v>32</v>
      </c>
      <c r="F140" t="s">
        <v>36</v>
      </c>
      <c r="G140" t="s">
        <v>68</v>
      </c>
      <c r="H140">
        <v>51.91</v>
      </c>
      <c r="I140">
        <v>14</v>
      </c>
      <c r="J140">
        <f t="shared" si="3"/>
        <v>36.337000000000003</v>
      </c>
      <c r="K140">
        <v>726.74</v>
      </c>
      <c r="L140" s="1">
        <v>43476</v>
      </c>
      <c r="M140" s="2">
        <v>0.51458333333333328</v>
      </c>
      <c r="N140" t="s">
        <v>33</v>
      </c>
      <c r="O140">
        <v>519.1</v>
      </c>
      <c r="P140">
        <v>4.7619047620000003</v>
      </c>
      <c r="Q140">
        <v>207.64</v>
      </c>
      <c r="R140">
        <v>9.84</v>
      </c>
      <c r="S140">
        <v>96.089100000000002</v>
      </c>
      <c r="T140">
        <v>21.9588</v>
      </c>
    </row>
    <row r="141" spans="1:20" x14ac:dyDescent="0.3">
      <c r="A141" t="s">
        <v>297</v>
      </c>
      <c r="B141" t="s">
        <v>21</v>
      </c>
      <c r="C141" t="s">
        <v>265</v>
      </c>
      <c r="D141" t="s">
        <v>23</v>
      </c>
      <c r="E141" t="s">
        <v>32</v>
      </c>
      <c r="F141" t="s">
        <v>36</v>
      </c>
      <c r="G141" t="s">
        <v>68</v>
      </c>
      <c r="H141">
        <v>72.5</v>
      </c>
      <c r="I141">
        <v>8</v>
      </c>
      <c r="J141">
        <v>29</v>
      </c>
      <c r="K141">
        <v>580</v>
      </c>
      <c r="L141" s="1">
        <v>43576</v>
      </c>
      <c r="M141" s="2">
        <v>0.80902777777777779</v>
      </c>
      <c r="N141" t="s">
        <v>27</v>
      </c>
      <c r="O141">
        <v>580</v>
      </c>
      <c r="P141">
        <v>4.7619047620000003</v>
      </c>
      <c r="Q141">
        <v>0</v>
      </c>
      <c r="R141">
        <v>9.1999999999999993</v>
      </c>
      <c r="S141">
        <v>96.173500000000004</v>
      </c>
      <c r="T141">
        <v>16.840900000000001</v>
      </c>
    </row>
    <row r="142" spans="1:20" x14ac:dyDescent="0.3">
      <c r="A142" t="s">
        <v>298</v>
      </c>
      <c r="B142" t="s">
        <v>29</v>
      </c>
      <c r="C142" t="s">
        <v>299</v>
      </c>
      <c r="D142" t="s">
        <v>31</v>
      </c>
      <c r="E142" t="s">
        <v>32</v>
      </c>
      <c r="F142" t="s">
        <v>25</v>
      </c>
      <c r="G142" t="s">
        <v>68</v>
      </c>
      <c r="H142">
        <v>89.8</v>
      </c>
      <c r="I142">
        <v>12</v>
      </c>
      <c r="J142">
        <v>53.88</v>
      </c>
      <c r="K142">
        <v>1077.5999999999999</v>
      </c>
      <c r="L142" s="1">
        <v>43524</v>
      </c>
      <c r="M142" s="2">
        <v>0.54166666666666663</v>
      </c>
      <c r="N142" t="s">
        <v>37</v>
      </c>
      <c r="O142">
        <v>898</v>
      </c>
      <c r="P142">
        <v>4.7619047620000003</v>
      </c>
      <c r="Q142">
        <v>179.6</v>
      </c>
      <c r="R142">
        <v>5.67</v>
      </c>
      <c r="S142">
        <v>96.078500000000005</v>
      </c>
      <c r="T142">
        <v>19.763300000000001</v>
      </c>
    </row>
    <row r="143" spans="1:20" x14ac:dyDescent="0.3">
      <c r="A143" t="s">
        <v>300</v>
      </c>
      <c r="B143" t="s">
        <v>29</v>
      </c>
      <c r="C143" t="s">
        <v>301</v>
      </c>
      <c r="D143" t="s">
        <v>31</v>
      </c>
      <c r="E143" t="s">
        <v>32</v>
      </c>
      <c r="F143" t="s">
        <v>36</v>
      </c>
      <c r="G143" t="s">
        <v>26</v>
      </c>
      <c r="H143">
        <v>90.5</v>
      </c>
      <c r="I143">
        <v>12</v>
      </c>
      <c r="J143">
        <v>54.3</v>
      </c>
      <c r="K143">
        <v>1086</v>
      </c>
      <c r="L143" s="1">
        <v>43704</v>
      </c>
      <c r="M143" s="2">
        <v>0.57499999999999996</v>
      </c>
      <c r="N143" t="s">
        <v>33</v>
      </c>
      <c r="O143">
        <v>905</v>
      </c>
      <c r="P143">
        <v>4.7619047620000003</v>
      </c>
      <c r="Q143">
        <v>181</v>
      </c>
      <c r="R143">
        <v>8.5050000000000008</v>
      </c>
      <c r="S143">
        <v>96.078500000000005</v>
      </c>
      <c r="T143">
        <v>19.763300000000001</v>
      </c>
    </row>
    <row r="144" spans="1:20" x14ac:dyDescent="0.3">
      <c r="A144" t="s">
        <v>302</v>
      </c>
      <c r="B144" t="s">
        <v>29</v>
      </c>
      <c r="C144" t="s">
        <v>303</v>
      </c>
      <c r="D144" t="s">
        <v>31</v>
      </c>
      <c r="E144" t="s">
        <v>32</v>
      </c>
      <c r="F144" t="s">
        <v>25</v>
      </c>
      <c r="G144" t="s">
        <v>26</v>
      </c>
      <c r="H144">
        <v>68.599999999999994</v>
      </c>
      <c r="I144">
        <v>12</v>
      </c>
      <c r="J144">
        <v>41.16</v>
      </c>
      <c r="K144">
        <v>823.2</v>
      </c>
      <c r="L144" s="1">
        <v>43792</v>
      </c>
      <c r="M144" s="2">
        <v>0.83125000000000004</v>
      </c>
      <c r="N144" t="s">
        <v>33</v>
      </c>
      <c r="O144">
        <v>686</v>
      </c>
      <c r="P144">
        <v>4.7619047620000003</v>
      </c>
      <c r="Q144">
        <v>137.19999999999999</v>
      </c>
      <c r="R144">
        <v>9.5549999999999997</v>
      </c>
      <c r="S144">
        <v>96.078500000000005</v>
      </c>
      <c r="T144">
        <v>19.763300000000001</v>
      </c>
    </row>
    <row r="145" spans="1:20" x14ac:dyDescent="0.3">
      <c r="A145" t="s">
        <v>304</v>
      </c>
      <c r="B145" t="s">
        <v>29</v>
      </c>
      <c r="C145" t="s">
        <v>305</v>
      </c>
      <c r="D145" t="s">
        <v>31</v>
      </c>
      <c r="E145" t="s">
        <v>24</v>
      </c>
      <c r="F145" t="s">
        <v>25</v>
      </c>
      <c r="G145" t="s">
        <v>63</v>
      </c>
      <c r="H145">
        <v>30.41</v>
      </c>
      <c r="I145">
        <v>1</v>
      </c>
      <c r="J145">
        <v>1.5205</v>
      </c>
      <c r="K145">
        <v>30.41</v>
      </c>
      <c r="L145" s="1">
        <v>43693</v>
      </c>
      <c r="M145" s="2">
        <v>0.44166666666666665</v>
      </c>
      <c r="N145" t="s">
        <v>37</v>
      </c>
      <c r="O145">
        <v>30.41</v>
      </c>
      <c r="P145">
        <v>4.7619047620000003</v>
      </c>
      <c r="Q145">
        <v>0</v>
      </c>
      <c r="R145">
        <v>8.82</v>
      </c>
      <c r="S145">
        <v>96.078500000000005</v>
      </c>
      <c r="T145">
        <v>19.763300000000001</v>
      </c>
    </row>
    <row r="146" spans="1:20" x14ac:dyDescent="0.3">
      <c r="A146" t="s">
        <v>306</v>
      </c>
      <c r="B146" t="s">
        <v>21</v>
      </c>
      <c r="C146" t="s">
        <v>307</v>
      </c>
      <c r="D146" t="s">
        <v>23</v>
      </c>
      <c r="E146" t="s">
        <v>32</v>
      </c>
      <c r="F146" t="s">
        <v>25</v>
      </c>
      <c r="G146" t="s">
        <v>77</v>
      </c>
      <c r="H146">
        <v>77.95</v>
      </c>
      <c r="I146">
        <v>6</v>
      </c>
      <c r="J146">
        <v>23.385000000000002</v>
      </c>
      <c r="K146">
        <v>467.7</v>
      </c>
      <c r="L146" s="1">
        <v>43796</v>
      </c>
      <c r="M146" s="2">
        <v>0.69236111111111109</v>
      </c>
      <c r="N146" t="s">
        <v>27</v>
      </c>
      <c r="O146">
        <v>467.7</v>
      </c>
      <c r="P146">
        <v>4.7619047620000003</v>
      </c>
      <c r="Q146">
        <v>0</v>
      </c>
      <c r="R146">
        <v>8</v>
      </c>
      <c r="S146">
        <v>96.173500000000004</v>
      </c>
      <c r="T146">
        <v>16.840900000000001</v>
      </c>
    </row>
    <row r="147" spans="1:20" x14ac:dyDescent="0.3">
      <c r="A147" t="s">
        <v>308</v>
      </c>
      <c r="B147" t="s">
        <v>29</v>
      </c>
      <c r="C147" t="s">
        <v>309</v>
      </c>
      <c r="D147" t="s">
        <v>31</v>
      </c>
      <c r="E147" t="s">
        <v>32</v>
      </c>
      <c r="F147" t="s">
        <v>25</v>
      </c>
      <c r="G147" t="s">
        <v>26</v>
      </c>
      <c r="H147">
        <v>46.26</v>
      </c>
      <c r="I147">
        <v>7</v>
      </c>
      <c r="J147">
        <v>16.190999999999999</v>
      </c>
      <c r="K147">
        <v>323.82</v>
      </c>
      <c r="L147" s="1">
        <v>43515</v>
      </c>
      <c r="M147" s="2">
        <v>0.71597222222222223</v>
      </c>
      <c r="N147" t="s">
        <v>37</v>
      </c>
      <c r="O147">
        <v>277.56</v>
      </c>
      <c r="P147">
        <v>4.7619047620000003</v>
      </c>
      <c r="Q147">
        <v>46.26</v>
      </c>
      <c r="R147">
        <v>9.9749999999999996</v>
      </c>
      <c r="S147">
        <v>96.078500000000005</v>
      </c>
      <c r="T147">
        <v>19.763300000000001</v>
      </c>
    </row>
    <row r="148" spans="1:20" x14ac:dyDescent="0.3">
      <c r="A148" t="s">
        <v>310</v>
      </c>
      <c r="B148" t="s">
        <v>21</v>
      </c>
      <c r="C148" t="s">
        <v>311</v>
      </c>
      <c r="D148" t="s">
        <v>23</v>
      </c>
      <c r="E148" t="s">
        <v>24</v>
      </c>
      <c r="F148" t="s">
        <v>25</v>
      </c>
      <c r="G148" t="s">
        <v>100</v>
      </c>
      <c r="H148">
        <v>30.14</v>
      </c>
      <c r="I148">
        <v>14</v>
      </c>
      <c r="J148">
        <v>21.097999999999999</v>
      </c>
      <c r="K148">
        <v>421.96</v>
      </c>
      <c r="L148" s="1">
        <v>43589</v>
      </c>
      <c r="M148" s="2">
        <v>0.51944444444444449</v>
      </c>
      <c r="N148" t="s">
        <v>27</v>
      </c>
      <c r="O148">
        <v>301.39999999999998</v>
      </c>
      <c r="P148">
        <v>4.7619047620000003</v>
      </c>
      <c r="Q148">
        <v>120.56</v>
      </c>
      <c r="R148">
        <v>9.1999999999999993</v>
      </c>
      <c r="S148">
        <v>96.173500000000004</v>
      </c>
      <c r="T148">
        <v>16.840900000000001</v>
      </c>
    </row>
    <row r="149" spans="1:20" x14ac:dyDescent="0.3">
      <c r="A149" t="s">
        <v>312</v>
      </c>
      <c r="B149" t="s">
        <v>29</v>
      </c>
      <c r="C149" t="s">
        <v>313</v>
      </c>
      <c r="D149" t="s">
        <v>31</v>
      </c>
      <c r="E149" t="s">
        <v>32</v>
      </c>
      <c r="F149" t="s">
        <v>36</v>
      </c>
      <c r="G149" t="s">
        <v>26</v>
      </c>
      <c r="H149">
        <v>66.14</v>
      </c>
      <c r="I149">
        <v>5</v>
      </c>
      <c r="J149">
        <v>16.535</v>
      </c>
      <c r="K149">
        <v>330.7</v>
      </c>
      <c r="L149" s="1">
        <v>43567</v>
      </c>
      <c r="M149" s="2">
        <v>0.53194444444444444</v>
      </c>
      <c r="N149" t="s">
        <v>37</v>
      </c>
      <c r="O149">
        <v>264.56</v>
      </c>
      <c r="P149">
        <v>4.7619047620000003</v>
      </c>
      <c r="Q149">
        <v>66.14</v>
      </c>
      <c r="R149">
        <v>5.88</v>
      </c>
      <c r="S149">
        <v>96.078500000000005</v>
      </c>
      <c r="T149">
        <v>19.763300000000001</v>
      </c>
    </row>
    <row r="150" spans="1:20" x14ac:dyDescent="0.3">
      <c r="A150" t="s">
        <v>314</v>
      </c>
      <c r="B150" t="s">
        <v>51</v>
      </c>
      <c r="C150" t="s">
        <v>207</v>
      </c>
      <c r="D150" t="s">
        <v>53</v>
      </c>
      <c r="E150" t="s">
        <v>24</v>
      </c>
      <c r="F150" t="s">
        <v>36</v>
      </c>
      <c r="G150" t="s">
        <v>77</v>
      </c>
      <c r="H150">
        <v>71.86</v>
      </c>
      <c r="I150">
        <v>15</v>
      </c>
      <c r="J150">
        <v>53.895000000000003</v>
      </c>
      <c r="K150">
        <v>1077.9000000000001</v>
      </c>
      <c r="L150" s="1">
        <v>43470</v>
      </c>
      <c r="M150" s="2">
        <v>0.62986111111111109</v>
      </c>
      <c r="N150" t="s">
        <v>37</v>
      </c>
      <c r="O150">
        <v>574.88</v>
      </c>
      <c r="P150">
        <v>4.7619047620000003</v>
      </c>
      <c r="Q150">
        <v>503.02</v>
      </c>
      <c r="R150">
        <v>7.44</v>
      </c>
      <c r="S150">
        <v>96.089100000000002</v>
      </c>
      <c r="T150">
        <v>21.9588</v>
      </c>
    </row>
    <row r="151" spans="1:20" x14ac:dyDescent="0.3">
      <c r="A151" t="s">
        <v>315</v>
      </c>
      <c r="B151" t="s">
        <v>21</v>
      </c>
      <c r="C151" t="s">
        <v>316</v>
      </c>
      <c r="D151" t="s">
        <v>23</v>
      </c>
      <c r="E151" t="s">
        <v>32</v>
      </c>
      <c r="F151" t="s">
        <v>36</v>
      </c>
      <c r="G151" t="s">
        <v>26</v>
      </c>
      <c r="H151">
        <v>32.46</v>
      </c>
      <c r="I151">
        <v>8</v>
      </c>
      <c r="J151">
        <v>12.984</v>
      </c>
      <c r="K151">
        <v>259.68</v>
      </c>
      <c r="L151" s="1">
        <v>43477</v>
      </c>
      <c r="M151" s="2">
        <v>0.57499999999999996</v>
      </c>
      <c r="N151" t="s">
        <v>37</v>
      </c>
      <c r="O151">
        <v>259.68</v>
      </c>
      <c r="P151">
        <v>4.7619047620000003</v>
      </c>
      <c r="Q151">
        <v>0</v>
      </c>
      <c r="R151">
        <v>4.9000000000000004</v>
      </c>
      <c r="S151">
        <v>96.173500000000004</v>
      </c>
      <c r="T151">
        <v>16.840900000000001</v>
      </c>
    </row>
    <row r="152" spans="1:20" x14ac:dyDescent="0.3">
      <c r="A152" t="s">
        <v>317</v>
      </c>
      <c r="B152" t="s">
        <v>51</v>
      </c>
      <c r="C152" t="s">
        <v>318</v>
      </c>
      <c r="D152" t="s">
        <v>53</v>
      </c>
      <c r="E152" t="s">
        <v>24</v>
      </c>
      <c r="F152" t="s">
        <v>25</v>
      </c>
      <c r="G152" t="s">
        <v>26</v>
      </c>
      <c r="H152">
        <v>91.54</v>
      </c>
      <c r="I152">
        <v>8</v>
      </c>
      <c r="J152">
        <f t="shared" ref="J152:J159" si="4">K152*5%</f>
        <v>36.616000000000007</v>
      </c>
      <c r="K152">
        <v>732.32</v>
      </c>
      <c r="L152" s="1">
        <v>43668</v>
      </c>
      <c r="M152" s="2">
        <v>0.80555555555555558</v>
      </c>
      <c r="N152" t="s">
        <v>37</v>
      </c>
      <c r="O152">
        <v>366.16</v>
      </c>
      <c r="P152">
        <v>4.7619047620000003</v>
      </c>
      <c r="Q152">
        <v>366.16</v>
      </c>
      <c r="R152">
        <v>5.76</v>
      </c>
      <c r="S152">
        <v>96.089100000000002</v>
      </c>
      <c r="T152">
        <v>21.9588</v>
      </c>
    </row>
    <row r="153" spans="1:20" x14ac:dyDescent="0.3">
      <c r="A153" t="s">
        <v>319</v>
      </c>
      <c r="B153" t="s">
        <v>29</v>
      </c>
      <c r="C153" t="s">
        <v>320</v>
      </c>
      <c r="D153" t="s">
        <v>31</v>
      </c>
      <c r="E153" t="s">
        <v>24</v>
      </c>
      <c r="F153" t="s">
        <v>36</v>
      </c>
      <c r="G153" t="s">
        <v>26</v>
      </c>
      <c r="H153">
        <v>34.56</v>
      </c>
      <c r="I153">
        <v>11</v>
      </c>
      <c r="J153">
        <f t="shared" si="4"/>
        <v>19.008000000000003</v>
      </c>
      <c r="K153">
        <v>380.16</v>
      </c>
      <c r="L153" s="1">
        <v>43703</v>
      </c>
      <c r="M153" s="2">
        <v>0.67152777777777772</v>
      </c>
      <c r="N153" t="s">
        <v>37</v>
      </c>
      <c r="O153">
        <v>241.92</v>
      </c>
      <c r="P153">
        <v>4.7619047620000003</v>
      </c>
      <c r="Q153">
        <v>138.24</v>
      </c>
      <c r="R153">
        <v>7.665</v>
      </c>
      <c r="S153">
        <v>96.078500000000005</v>
      </c>
      <c r="T153">
        <v>19.763300000000001</v>
      </c>
    </row>
    <row r="154" spans="1:20" x14ac:dyDescent="0.3">
      <c r="A154" t="s">
        <v>321</v>
      </c>
      <c r="B154" t="s">
        <v>21</v>
      </c>
      <c r="C154" t="s">
        <v>179</v>
      </c>
      <c r="D154" t="s">
        <v>23</v>
      </c>
      <c r="E154" t="s">
        <v>32</v>
      </c>
      <c r="F154" t="s">
        <v>36</v>
      </c>
      <c r="G154" t="s">
        <v>26</v>
      </c>
      <c r="H154">
        <v>83.24</v>
      </c>
      <c r="I154">
        <v>9</v>
      </c>
      <c r="J154">
        <f t="shared" si="4"/>
        <v>37.457999999999998</v>
      </c>
      <c r="K154">
        <v>749.16</v>
      </c>
      <c r="L154" s="1">
        <v>43490</v>
      </c>
      <c r="M154" s="2">
        <v>0.49722222222222223</v>
      </c>
      <c r="N154" t="s">
        <v>37</v>
      </c>
      <c r="O154">
        <v>749.16</v>
      </c>
      <c r="P154">
        <v>4.7619047620000003</v>
      </c>
      <c r="Q154">
        <v>0</v>
      </c>
      <c r="R154">
        <v>7.4</v>
      </c>
      <c r="S154">
        <v>96.173500000000004</v>
      </c>
      <c r="T154">
        <v>16.840900000000001</v>
      </c>
    </row>
    <row r="155" spans="1:20" x14ac:dyDescent="0.3">
      <c r="A155" t="s">
        <v>322</v>
      </c>
      <c r="B155" t="s">
        <v>29</v>
      </c>
      <c r="C155" t="s">
        <v>323</v>
      </c>
      <c r="D155" t="s">
        <v>31</v>
      </c>
      <c r="E155" t="s">
        <v>32</v>
      </c>
      <c r="F155" t="s">
        <v>25</v>
      </c>
      <c r="G155" t="s">
        <v>26</v>
      </c>
      <c r="H155">
        <v>16.48</v>
      </c>
      <c r="I155">
        <v>7</v>
      </c>
      <c r="J155">
        <f t="shared" si="4"/>
        <v>5.7680000000000007</v>
      </c>
      <c r="K155">
        <v>115.36</v>
      </c>
      <c r="L155" s="1">
        <v>43748</v>
      </c>
      <c r="M155" s="2">
        <v>0.76597222222222228</v>
      </c>
      <c r="N155" t="s">
        <v>27</v>
      </c>
      <c r="O155">
        <v>98.88</v>
      </c>
      <c r="P155">
        <v>4.7619047620000003</v>
      </c>
      <c r="Q155">
        <v>16.48</v>
      </c>
      <c r="R155">
        <v>10</v>
      </c>
      <c r="S155">
        <v>96.078500000000005</v>
      </c>
      <c r="T155">
        <v>19.763300000000001</v>
      </c>
    </row>
    <row r="156" spans="1:20" x14ac:dyDescent="0.3">
      <c r="A156" t="s">
        <v>324</v>
      </c>
      <c r="B156" t="s">
        <v>29</v>
      </c>
      <c r="C156" t="s">
        <v>248</v>
      </c>
      <c r="D156" t="s">
        <v>31</v>
      </c>
      <c r="E156" t="s">
        <v>32</v>
      </c>
      <c r="F156" t="s">
        <v>25</v>
      </c>
      <c r="G156" t="s">
        <v>26</v>
      </c>
      <c r="H156">
        <v>80.97</v>
      </c>
      <c r="I156">
        <v>10</v>
      </c>
      <c r="J156">
        <f t="shared" si="4"/>
        <v>40.485000000000007</v>
      </c>
      <c r="K156">
        <v>809.7</v>
      </c>
      <c r="L156" s="1">
        <v>43826</v>
      </c>
      <c r="M156" s="2">
        <v>0.54513888888888884</v>
      </c>
      <c r="N156" t="s">
        <v>33</v>
      </c>
      <c r="O156">
        <v>647.76</v>
      </c>
      <c r="P156">
        <v>4.7619047620000003</v>
      </c>
      <c r="Q156">
        <v>161.94</v>
      </c>
      <c r="R156">
        <v>9.7650000000000006</v>
      </c>
      <c r="S156">
        <v>96.078500000000005</v>
      </c>
      <c r="T156">
        <v>19.763300000000001</v>
      </c>
    </row>
    <row r="157" spans="1:20" x14ac:dyDescent="0.3">
      <c r="A157" t="s">
        <v>325</v>
      </c>
      <c r="B157" t="s">
        <v>21</v>
      </c>
      <c r="C157" t="s">
        <v>326</v>
      </c>
      <c r="D157" t="s">
        <v>23</v>
      </c>
      <c r="E157" t="s">
        <v>24</v>
      </c>
      <c r="F157" t="s">
        <v>36</v>
      </c>
      <c r="G157" t="s">
        <v>26</v>
      </c>
      <c r="H157">
        <v>92.29</v>
      </c>
      <c r="I157">
        <v>7</v>
      </c>
      <c r="J157">
        <f t="shared" si="4"/>
        <v>32.301499999999997</v>
      </c>
      <c r="K157">
        <v>646.03</v>
      </c>
      <c r="L157" s="1">
        <v>43830</v>
      </c>
      <c r="M157" s="2">
        <v>0.66319444444444442</v>
      </c>
      <c r="N157" t="s">
        <v>37</v>
      </c>
      <c r="O157">
        <v>461.45</v>
      </c>
      <c r="P157">
        <v>4.7619047620000003</v>
      </c>
      <c r="Q157">
        <v>184.58</v>
      </c>
      <c r="R157">
        <v>9</v>
      </c>
      <c r="S157">
        <v>96.173500000000004</v>
      </c>
      <c r="T157">
        <v>16.840900000000001</v>
      </c>
    </row>
    <row r="158" spans="1:20" x14ac:dyDescent="0.3">
      <c r="A158" t="s">
        <v>327</v>
      </c>
      <c r="B158" t="s">
        <v>51</v>
      </c>
      <c r="C158" t="s">
        <v>328</v>
      </c>
      <c r="D158" t="s">
        <v>53</v>
      </c>
      <c r="E158" t="s">
        <v>24</v>
      </c>
      <c r="F158" t="s">
        <v>36</v>
      </c>
      <c r="G158" t="s">
        <v>26</v>
      </c>
      <c r="H158">
        <v>72.17</v>
      </c>
      <c r="I158">
        <v>1</v>
      </c>
      <c r="J158">
        <f t="shared" si="4"/>
        <v>3.6085000000000003</v>
      </c>
      <c r="K158">
        <v>72.17</v>
      </c>
      <c r="L158" s="1">
        <v>43790</v>
      </c>
      <c r="M158" s="2">
        <v>0.81944444444444442</v>
      </c>
      <c r="N158" t="s">
        <v>33</v>
      </c>
      <c r="O158">
        <v>72.17</v>
      </c>
      <c r="P158">
        <v>4.7619047620000003</v>
      </c>
      <c r="Q158">
        <v>0</v>
      </c>
      <c r="R158">
        <v>7.32</v>
      </c>
      <c r="S158">
        <v>96.089100000000002</v>
      </c>
      <c r="T158">
        <v>21.9588</v>
      </c>
    </row>
    <row r="159" spans="1:20" x14ac:dyDescent="0.3">
      <c r="A159" t="s">
        <v>329</v>
      </c>
      <c r="B159" t="s">
        <v>51</v>
      </c>
      <c r="C159" t="s">
        <v>134</v>
      </c>
      <c r="D159" t="s">
        <v>53</v>
      </c>
      <c r="E159" t="s">
        <v>32</v>
      </c>
      <c r="F159" t="s">
        <v>36</v>
      </c>
      <c r="G159" t="s">
        <v>26</v>
      </c>
      <c r="H159">
        <v>50.28</v>
      </c>
      <c r="I159">
        <v>7</v>
      </c>
      <c r="J159">
        <f t="shared" si="4"/>
        <v>17.597999999999999</v>
      </c>
      <c r="K159">
        <v>351.96</v>
      </c>
      <c r="L159" s="1">
        <v>43778</v>
      </c>
      <c r="M159" s="2">
        <v>0.58194444444444449</v>
      </c>
      <c r="N159" t="s">
        <v>27</v>
      </c>
      <c r="O159">
        <v>251.4</v>
      </c>
      <c r="P159">
        <v>4.7619047620000003</v>
      </c>
      <c r="Q159">
        <v>100.56</v>
      </c>
      <c r="R159">
        <v>10</v>
      </c>
      <c r="S159">
        <v>96.089100000000002</v>
      </c>
      <c r="T159">
        <v>21.9588</v>
      </c>
    </row>
    <row r="160" spans="1:20" x14ac:dyDescent="0.3">
      <c r="A160" t="s">
        <v>330</v>
      </c>
      <c r="B160" t="s">
        <v>51</v>
      </c>
      <c r="C160" t="s">
        <v>331</v>
      </c>
      <c r="D160" t="s">
        <v>53</v>
      </c>
      <c r="E160" t="s">
        <v>24</v>
      </c>
      <c r="F160" t="s">
        <v>36</v>
      </c>
      <c r="G160" t="s">
        <v>26</v>
      </c>
      <c r="H160">
        <v>97.22</v>
      </c>
      <c r="I160">
        <v>18</v>
      </c>
      <c r="J160">
        <v>87.498000000000005</v>
      </c>
      <c r="K160">
        <v>1749.96</v>
      </c>
      <c r="L160" s="1">
        <v>43611</v>
      </c>
      <c r="M160" s="2">
        <v>0.61319444444444449</v>
      </c>
      <c r="N160" t="s">
        <v>27</v>
      </c>
      <c r="O160">
        <v>874.98</v>
      </c>
      <c r="P160">
        <v>4.7619047620000003</v>
      </c>
      <c r="Q160">
        <v>874.98</v>
      </c>
      <c r="R160">
        <v>7.2</v>
      </c>
      <c r="S160">
        <v>96.089100000000002</v>
      </c>
      <c r="T160">
        <v>21.9588</v>
      </c>
    </row>
    <row r="161" spans="1:20" x14ac:dyDescent="0.3">
      <c r="A161" t="s">
        <v>332</v>
      </c>
      <c r="B161" t="s">
        <v>51</v>
      </c>
      <c r="C161" t="s">
        <v>333</v>
      </c>
      <c r="D161" t="s">
        <v>53</v>
      </c>
      <c r="E161" t="s">
        <v>32</v>
      </c>
      <c r="F161" t="s">
        <v>36</v>
      </c>
      <c r="G161" t="s">
        <v>26</v>
      </c>
      <c r="H161">
        <v>93.39</v>
      </c>
      <c r="I161">
        <v>8</v>
      </c>
      <c r="J161">
        <v>37.356000000000002</v>
      </c>
      <c r="K161">
        <v>747.12</v>
      </c>
      <c r="L161" s="1">
        <v>43704</v>
      </c>
      <c r="M161" s="2">
        <v>0.8041666666666667</v>
      </c>
      <c r="N161" t="s">
        <v>27</v>
      </c>
      <c r="O161">
        <v>560.34</v>
      </c>
      <c r="P161">
        <v>4.7619047620000003</v>
      </c>
      <c r="Q161">
        <v>186.78</v>
      </c>
      <c r="R161">
        <v>10</v>
      </c>
      <c r="S161">
        <v>96.089100000000002</v>
      </c>
      <c r="T161">
        <v>21.9588</v>
      </c>
    </row>
    <row r="162" spans="1:20" x14ac:dyDescent="0.3">
      <c r="A162" t="s">
        <v>334</v>
      </c>
      <c r="B162" t="s">
        <v>29</v>
      </c>
      <c r="C162" t="s">
        <v>335</v>
      </c>
      <c r="D162" t="s">
        <v>31</v>
      </c>
      <c r="E162" t="s">
        <v>32</v>
      </c>
      <c r="F162" t="s">
        <v>25</v>
      </c>
      <c r="G162" t="s">
        <v>26</v>
      </c>
      <c r="H162">
        <v>43.18</v>
      </c>
      <c r="I162">
        <v>10</v>
      </c>
      <c r="J162">
        <v>21.59</v>
      </c>
      <c r="K162">
        <v>431.8</v>
      </c>
      <c r="L162" s="1">
        <v>43578</v>
      </c>
      <c r="M162" s="2">
        <v>0.81874999999999998</v>
      </c>
      <c r="N162" t="s">
        <v>37</v>
      </c>
      <c r="O162">
        <v>345.44</v>
      </c>
      <c r="P162">
        <v>4.7619047620000003</v>
      </c>
      <c r="Q162">
        <v>86.36</v>
      </c>
      <c r="R162">
        <v>8.7149999999999999</v>
      </c>
      <c r="S162">
        <v>96.078500000000005</v>
      </c>
      <c r="T162">
        <v>19.763300000000001</v>
      </c>
    </row>
    <row r="163" spans="1:20" x14ac:dyDescent="0.3">
      <c r="A163" t="s">
        <v>336</v>
      </c>
      <c r="B163" t="s">
        <v>21</v>
      </c>
      <c r="C163" t="s">
        <v>337</v>
      </c>
      <c r="D163" t="s">
        <v>23</v>
      </c>
      <c r="E163" t="s">
        <v>32</v>
      </c>
      <c r="F163" t="s">
        <v>36</v>
      </c>
      <c r="G163" t="s">
        <v>26</v>
      </c>
      <c r="H163">
        <v>63.69</v>
      </c>
      <c r="I163">
        <v>1</v>
      </c>
      <c r="J163">
        <v>3.1844999999999999</v>
      </c>
      <c r="K163">
        <v>63.69</v>
      </c>
      <c r="L163" s="1">
        <v>43642</v>
      </c>
      <c r="M163" s="2">
        <v>0.68125000000000002</v>
      </c>
      <c r="N163" t="s">
        <v>33</v>
      </c>
      <c r="O163">
        <v>63.69</v>
      </c>
      <c r="P163">
        <v>4.7619047620000003</v>
      </c>
      <c r="Q163">
        <v>0</v>
      </c>
      <c r="R163">
        <v>6</v>
      </c>
      <c r="S163">
        <v>96.173500000000004</v>
      </c>
      <c r="T163">
        <v>16.840900000000001</v>
      </c>
    </row>
    <row r="164" spans="1:20" x14ac:dyDescent="0.3">
      <c r="A164" t="s">
        <v>338</v>
      </c>
      <c r="B164" t="s">
        <v>21</v>
      </c>
      <c r="C164" t="s">
        <v>339</v>
      </c>
      <c r="D164" t="s">
        <v>23</v>
      </c>
      <c r="E164" t="s">
        <v>32</v>
      </c>
      <c r="F164" t="s">
        <v>36</v>
      </c>
      <c r="G164" t="s">
        <v>26</v>
      </c>
      <c r="H164">
        <v>45.79</v>
      </c>
      <c r="I164">
        <v>7</v>
      </c>
      <c r="J164">
        <v>16.026499999999999</v>
      </c>
      <c r="K164">
        <v>320.52999999999997</v>
      </c>
      <c r="L164" s="1">
        <v>43492</v>
      </c>
      <c r="M164" s="2">
        <v>0.82222222222222219</v>
      </c>
      <c r="N164" t="s">
        <v>37</v>
      </c>
      <c r="O164">
        <v>320.52999999999997</v>
      </c>
      <c r="P164">
        <v>4.7619047620000003</v>
      </c>
      <c r="Q164">
        <v>0</v>
      </c>
      <c r="R164">
        <v>7</v>
      </c>
      <c r="S164">
        <v>96.173500000000004</v>
      </c>
      <c r="T164">
        <v>16.840900000000001</v>
      </c>
    </row>
    <row r="165" spans="1:20" x14ac:dyDescent="0.3">
      <c r="A165" t="s">
        <v>340</v>
      </c>
      <c r="B165" t="s">
        <v>29</v>
      </c>
      <c r="C165" t="s">
        <v>341</v>
      </c>
      <c r="D165" t="s">
        <v>31</v>
      </c>
      <c r="E165" t="s">
        <v>32</v>
      </c>
      <c r="F165" t="s">
        <v>36</v>
      </c>
      <c r="G165" t="s">
        <v>26</v>
      </c>
      <c r="H165">
        <v>76.400000000000006</v>
      </c>
      <c r="I165">
        <v>2</v>
      </c>
      <c r="J165">
        <v>7.64</v>
      </c>
      <c r="K165">
        <v>152.80000000000001</v>
      </c>
      <c r="L165" s="1">
        <v>43559</v>
      </c>
      <c r="M165" s="2">
        <v>0.8208333333333333</v>
      </c>
      <c r="N165" t="s">
        <v>27</v>
      </c>
      <c r="O165">
        <v>152.80000000000001</v>
      </c>
      <c r="P165">
        <v>4.7619047620000003</v>
      </c>
      <c r="Q165">
        <v>0</v>
      </c>
      <c r="R165">
        <v>6.8250000000000002</v>
      </c>
      <c r="S165">
        <v>96.078500000000005</v>
      </c>
      <c r="T165">
        <v>19.763300000000001</v>
      </c>
    </row>
    <row r="166" spans="1:20" x14ac:dyDescent="0.3">
      <c r="A166" t="s">
        <v>342</v>
      </c>
      <c r="B166" t="s">
        <v>51</v>
      </c>
      <c r="C166" t="s">
        <v>343</v>
      </c>
      <c r="D166" t="s">
        <v>53</v>
      </c>
      <c r="E166" t="s">
        <v>32</v>
      </c>
      <c r="F166" t="s">
        <v>36</v>
      </c>
      <c r="G166" t="s">
        <v>26</v>
      </c>
      <c r="H166">
        <v>39.9</v>
      </c>
      <c r="I166">
        <v>14</v>
      </c>
      <c r="J166">
        <v>27.93</v>
      </c>
      <c r="K166">
        <v>558.6</v>
      </c>
      <c r="L166" s="1">
        <v>43634</v>
      </c>
      <c r="M166" s="2">
        <v>0.64166666666666672</v>
      </c>
      <c r="N166" t="s">
        <v>37</v>
      </c>
      <c r="O166">
        <v>399</v>
      </c>
      <c r="P166">
        <v>4.7619047620000003</v>
      </c>
      <c r="Q166">
        <v>159.6</v>
      </c>
      <c r="R166">
        <v>7.08</v>
      </c>
      <c r="S166">
        <v>96.089100000000002</v>
      </c>
      <c r="T166">
        <v>21.9588</v>
      </c>
    </row>
    <row r="167" spans="1:20" x14ac:dyDescent="0.3">
      <c r="A167" t="s">
        <v>344</v>
      </c>
      <c r="B167" t="s">
        <v>51</v>
      </c>
      <c r="C167" t="s">
        <v>345</v>
      </c>
      <c r="D167" t="s">
        <v>53</v>
      </c>
      <c r="E167" t="s">
        <v>24</v>
      </c>
      <c r="F167" t="s">
        <v>36</v>
      </c>
      <c r="G167" t="s">
        <v>26</v>
      </c>
      <c r="H167">
        <v>42.57</v>
      </c>
      <c r="I167">
        <v>15</v>
      </c>
      <c r="J167">
        <v>31.927499999999998</v>
      </c>
      <c r="K167">
        <v>638.54999999999995</v>
      </c>
      <c r="L167" s="1">
        <v>43622</v>
      </c>
      <c r="M167" s="2">
        <v>0.59166666666666667</v>
      </c>
      <c r="N167" t="s">
        <v>27</v>
      </c>
      <c r="O167">
        <v>340.56</v>
      </c>
      <c r="P167">
        <v>4.7619047620000003</v>
      </c>
      <c r="Q167">
        <v>297.99</v>
      </c>
      <c r="R167">
        <v>6.72</v>
      </c>
      <c r="S167">
        <v>96.089100000000002</v>
      </c>
      <c r="T167">
        <v>21.9588</v>
      </c>
    </row>
    <row r="168" spans="1:20" x14ac:dyDescent="0.3">
      <c r="A168" t="s">
        <v>346</v>
      </c>
      <c r="B168" t="s">
        <v>29</v>
      </c>
      <c r="C168" t="s">
        <v>347</v>
      </c>
      <c r="D168" t="s">
        <v>31</v>
      </c>
      <c r="E168" t="s">
        <v>32</v>
      </c>
      <c r="F168" t="s">
        <v>36</v>
      </c>
      <c r="G168" t="s">
        <v>26</v>
      </c>
      <c r="H168">
        <v>95.58</v>
      </c>
      <c r="I168">
        <v>12</v>
      </c>
      <c r="J168">
        <v>57.347999999999999</v>
      </c>
      <c r="K168">
        <v>1146.96</v>
      </c>
      <c r="L168" s="1">
        <v>43471</v>
      </c>
      <c r="M168" s="2">
        <v>0.56388888888888888</v>
      </c>
      <c r="N168" t="s">
        <v>33</v>
      </c>
      <c r="O168">
        <v>955.8</v>
      </c>
      <c r="P168">
        <v>4.7619047620000003</v>
      </c>
      <c r="Q168">
        <v>191.16</v>
      </c>
      <c r="R168">
        <v>5.04</v>
      </c>
      <c r="S168">
        <v>96.078500000000005</v>
      </c>
      <c r="T168">
        <v>19.763300000000001</v>
      </c>
    </row>
    <row r="169" spans="1:20" x14ac:dyDescent="0.3">
      <c r="A169" t="s">
        <v>348</v>
      </c>
      <c r="B169" t="s">
        <v>21</v>
      </c>
      <c r="C169" t="s">
        <v>349</v>
      </c>
      <c r="D169" t="s">
        <v>23</v>
      </c>
      <c r="E169" t="s">
        <v>32</v>
      </c>
      <c r="F169" t="s">
        <v>36</v>
      </c>
      <c r="G169" t="s">
        <v>26</v>
      </c>
      <c r="H169">
        <v>98.98</v>
      </c>
      <c r="I169">
        <v>10</v>
      </c>
      <c r="J169">
        <v>49.49</v>
      </c>
      <c r="K169">
        <v>989.8</v>
      </c>
      <c r="L169" s="1">
        <v>43578</v>
      </c>
      <c r="M169" s="2">
        <v>0.68055555555555558</v>
      </c>
      <c r="N169" t="s">
        <v>37</v>
      </c>
      <c r="O169">
        <v>989.8</v>
      </c>
      <c r="P169">
        <v>4.7619047620000003</v>
      </c>
      <c r="Q169">
        <v>0</v>
      </c>
      <c r="R169">
        <v>8.6999999999999993</v>
      </c>
      <c r="S169">
        <v>96.173500000000004</v>
      </c>
      <c r="T169">
        <v>16.840900000000001</v>
      </c>
    </row>
    <row r="170" spans="1:20" x14ac:dyDescent="0.3">
      <c r="A170" t="s">
        <v>350</v>
      </c>
      <c r="B170" t="s">
        <v>21</v>
      </c>
      <c r="C170" t="s">
        <v>351</v>
      </c>
      <c r="D170" t="s">
        <v>23</v>
      </c>
      <c r="E170" t="s">
        <v>32</v>
      </c>
      <c r="F170" t="s">
        <v>36</v>
      </c>
      <c r="G170" t="s">
        <v>26</v>
      </c>
      <c r="H170">
        <v>51.28</v>
      </c>
      <c r="I170">
        <v>6</v>
      </c>
      <c r="J170">
        <v>15.384</v>
      </c>
      <c r="K170">
        <v>307.68</v>
      </c>
      <c r="L170" s="1">
        <v>43656</v>
      </c>
      <c r="M170" s="2">
        <v>0.68819444444444444</v>
      </c>
      <c r="N170" t="s">
        <v>33</v>
      </c>
      <c r="O170">
        <v>307.68</v>
      </c>
      <c r="P170">
        <v>4.7619047620000003</v>
      </c>
      <c r="Q170">
        <v>0</v>
      </c>
      <c r="R170">
        <v>6.5</v>
      </c>
      <c r="S170">
        <v>96.173500000000004</v>
      </c>
      <c r="T170">
        <v>16.840900000000001</v>
      </c>
    </row>
    <row r="171" spans="1:20" x14ac:dyDescent="0.3">
      <c r="A171" t="s">
        <v>352</v>
      </c>
      <c r="B171" t="s">
        <v>21</v>
      </c>
      <c r="C171" t="s">
        <v>351</v>
      </c>
      <c r="D171" t="s">
        <v>23</v>
      </c>
      <c r="E171" t="s">
        <v>24</v>
      </c>
      <c r="F171" t="s">
        <v>36</v>
      </c>
      <c r="G171" t="s">
        <v>26</v>
      </c>
      <c r="H171">
        <v>69.52</v>
      </c>
      <c r="I171">
        <v>10</v>
      </c>
      <c r="J171">
        <v>34.76</v>
      </c>
      <c r="K171">
        <v>695.2</v>
      </c>
      <c r="L171" s="1">
        <v>43807</v>
      </c>
      <c r="M171" s="2">
        <v>0.63194444444444442</v>
      </c>
      <c r="N171" t="s">
        <v>37</v>
      </c>
      <c r="O171">
        <v>486.64</v>
      </c>
      <c r="P171">
        <v>4.7619047620000003</v>
      </c>
      <c r="Q171">
        <v>208.56</v>
      </c>
      <c r="R171">
        <v>8.5</v>
      </c>
      <c r="S171">
        <v>96.173500000000004</v>
      </c>
      <c r="T171">
        <v>16.840900000000001</v>
      </c>
    </row>
    <row r="172" spans="1:20" x14ac:dyDescent="0.3">
      <c r="A172" t="s">
        <v>353</v>
      </c>
      <c r="B172" t="s">
        <v>21</v>
      </c>
      <c r="C172" t="s">
        <v>354</v>
      </c>
      <c r="D172" t="s">
        <v>23</v>
      </c>
      <c r="E172" t="s">
        <v>32</v>
      </c>
      <c r="F172" t="s">
        <v>36</v>
      </c>
      <c r="G172" t="s">
        <v>26</v>
      </c>
      <c r="H172">
        <v>70.010000000000005</v>
      </c>
      <c r="I172">
        <v>5</v>
      </c>
      <c r="J172">
        <v>17.502500000000001</v>
      </c>
      <c r="K172">
        <v>350.05</v>
      </c>
      <c r="L172" s="1">
        <v>43785</v>
      </c>
      <c r="M172" s="2">
        <v>0.48333333333333334</v>
      </c>
      <c r="N172" t="s">
        <v>27</v>
      </c>
      <c r="O172">
        <v>350.05</v>
      </c>
      <c r="P172">
        <v>4.7619047620000003</v>
      </c>
      <c r="Q172">
        <v>0</v>
      </c>
      <c r="R172">
        <v>5.5</v>
      </c>
      <c r="S172">
        <v>96.173500000000004</v>
      </c>
      <c r="T172">
        <v>16.840900000000001</v>
      </c>
    </row>
    <row r="173" spans="1:20" x14ac:dyDescent="0.3">
      <c r="A173" t="s">
        <v>355</v>
      </c>
      <c r="B173" t="s">
        <v>51</v>
      </c>
      <c r="C173" t="s">
        <v>356</v>
      </c>
      <c r="D173" t="s">
        <v>53</v>
      </c>
      <c r="E173" t="s">
        <v>24</v>
      </c>
      <c r="F173" t="s">
        <v>36</v>
      </c>
      <c r="G173" t="s">
        <v>26</v>
      </c>
      <c r="H173">
        <v>80.05</v>
      </c>
      <c r="I173">
        <v>10</v>
      </c>
      <c r="J173">
        <v>40.024999999999999</v>
      </c>
      <c r="K173">
        <v>800.5</v>
      </c>
      <c r="L173" s="1">
        <v>43520</v>
      </c>
      <c r="M173" s="2">
        <v>0.53125</v>
      </c>
      <c r="N173" t="s">
        <v>37</v>
      </c>
      <c r="O173">
        <v>400.25</v>
      </c>
      <c r="P173">
        <v>4.7619047620000003</v>
      </c>
      <c r="Q173">
        <v>400.25</v>
      </c>
      <c r="R173">
        <v>10</v>
      </c>
      <c r="S173">
        <v>96.089100000000002</v>
      </c>
      <c r="T173">
        <v>21.9588</v>
      </c>
    </row>
    <row r="174" spans="1:20" x14ac:dyDescent="0.3">
      <c r="A174" t="s">
        <v>357</v>
      </c>
      <c r="B174" t="s">
        <v>29</v>
      </c>
      <c r="C174" t="s">
        <v>358</v>
      </c>
      <c r="D174" t="s">
        <v>31</v>
      </c>
      <c r="E174" t="s">
        <v>32</v>
      </c>
      <c r="F174" t="s">
        <v>36</v>
      </c>
      <c r="G174" t="s">
        <v>26</v>
      </c>
      <c r="H174">
        <v>20.85</v>
      </c>
      <c r="I174">
        <v>10</v>
      </c>
      <c r="J174">
        <v>10.425000000000001</v>
      </c>
      <c r="K174">
        <v>208.5</v>
      </c>
      <c r="L174" s="1">
        <v>43490</v>
      </c>
      <c r="M174" s="2">
        <v>0.80347222222222225</v>
      </c>
      <c r="N174" t="s">
        <v>33</v>
      </c>
      <c r="O174">
        <v>166.8</v>
      </c>
      <c r="P174">
        <v>4.7619047620000003</v>
      </c>
      <c r="Q174">
        <v>41.7</v>
      </c>
      <c r="R174">
        <v>6.6150000000000002</v>
      </c>
      <c r="S174">
        <v>96.078500000000005</v>
      </c>
      <c r="T174">
        <v>19.763300000000001</v>
      </c>
    </row>
    <row r="175" spans="1:20" x14ac:dyDescent="0.3">
      <c r="A175" t="s">
        <v>359</v>
      </c>
      <c r="B175" t="s">
        <v>51</v>
      </c>
      <c r="C175" t="s">
        <v>81</v>
      </c>
      <c r="D175" t="s">
        <v>53</v>
      </c>
      <c r="E175" t="s">
        <v>32</v>
      </c>
      <c r="F175" t="s">
        <v>36</v>
      </c>
      <c r="G175" t="s">
        <v>26</v>
      </c>
      <c r="H175">
        <v>52.89</v>
      </c>
      <c r="I175">
        <v>8</v>
      </c>
      <c r="J175">
        <v>21.155999999999999</v>
      </c>
      <c r="K175">
        <v>423.12</v>
      </c>
      <c r="L175" s="1">
        <v>43492</v>
      </c>
      <c r="M175" s="2">
        <v>0.7319444444444444</v>
      </c>
      <c r="N175" t="s">
        <v>37</v>
      </c>
      <c r="O175">
        <v>317.33999999999997</v>
      </c>
      <c r="P175">
        <v>4.7619047620000003</v>
      </c>
      <c r="Q175">
        <v>105.78</v>
      </c>
      <c r="R175">
        <v>10</v>
      </c>
      <c r="S175">
        <v>96.089100000000002</v>
      </c>
      <c r="T175">
        <v>21.9588</v>
      </c>
    </row>
    <row r="176" spans="1:20" x14ac:dyDescent="0.3">
      <c r="A176" t="s">
        <v>360</v>
      </c>
      <c r="B176" t="s">
        <v>51</v>
      </c>
      <c r="C176" t="s">
        <v>361</v>
      </c>
      <c r="D176" t="s">
        <v>53</v>
      </c>
      <c r="E176" t="s">
        <v>32</v>
      </c>
      <c r="F176" t="s">
        <v>36</v>
      </c>
      <c r="G176" t="s">
        <v>26</v>
      </c>
      <c r="H176">
        <v>19.79</v>
      </c>
      <c r="I176">
        <v>11</v>
      </c>
      <c r="J176">
        <v>10.884499999999999</v>
      </c>
      <c r="K176">
        <v>217.69</v>
      </c>
      <c r="L176" s="1">
        <v>43636</v>
      </c>
      <c r="M176" s="2">
        <v>0.50277777777777777</v>
      </c>
      <c r="N176" t="s">
        <v>27</v>
      </c>
      <c r="O176">
        <v>158.32</v>
      </c>
      <c r="P176">
        <v>4.7619047620000003</v>
      </c>
      <c r="Q176">
        <v>59.37</v>
      </c>
      <c r="R176">
        <v>10</v>
      </c>
      <c r="S176">
        <v>96.089100000000002</v>
      </c>
      <c r="T176">
        <v>21.9588</v>
      </c>
    </row>
    <row r="177" spans="1:20" x14ac:dyDescent="0.3">
      <c r="A177" t="s">
        <v>362</v>
      </c>
      <c r="B177" t="s">
        <v>21</v>
      </c>
      <c r="C177" t="s">
        <v>363</v>
      </c>
      <c r="D177" t="s">
        <v>23</v>
      </c>
      <c r="E177" t="s">
        <v>32</v>
      </c>
      <c r="F177" t="s">
        <v>36</v>
      </c>
      <c r="G177" t="s">
        <v>26</v>
      </c>
      <c r="H177">
        <v>33.840000000000003</v>
      </c>
      <c r="I177">
        <v>9</v>
      </c>
      <c r="J177">
        <f t="shared" ref="J177:J191" si="5">K177*5%</f>
        <v>15.228000000000002</v>
      </c>
      <c r="K177">
        <v>304.56</v>
      </c>
      <c r="L177" s="1">
        <v>43530</v>
      </c>
      <c r="M177" s="2">
        <v>0.68125000000000002</v>
      </c>
      <c r="N177" t="s">
        <v>27</v>
      </c>
      <c r="O177">
        <v>304.56</v>
      </c>
      <c r="P177">
        <v>4.7619047620000003</v>
      </c>
      <c r="Q177">
        <v>0</v>
      </c>
      <c r="R177">
        <v>8.8000000000000007</v>
      </c>
      <c r="S177">
        <v>96.173500000000004</v>
      </c>
      <c r="T177">
        <v>16.840900000000001</v>
      </c>
    </row>
    <row r="178" spans="1:20" x14ac:dyDescent="0.3">
      <c r="A178" t="s">
        <v>364</v>
      </c>
      <c r="B178" t="s">
        <v>21</v>
      </c>
      <c r="C178" t="s">
        <v>365</v>
      </c>
      <c r="D178" t="s">
        <v>23</v>
      </c>
      <c r="E178" t="s">
        <v>32</v>
      </c>
      <c r="F178" t="s">
        <v>36</v>
      </c>
      <c r="G178" t="s">
        <v>26</v>
      </c>
      <c r="H178">
        <v>22.17</v>
      </c>
      <c r="I178">
        <v>8</v>
      </c>
      <c r="J178">
        <f t="shared" si="5"/>
        <v>8.8680000000000003</v>
      </c>
      <c r="K178">
        <v>177.36</v>
      </c>
      <c r="L178" s="1">
        <v>43625</v>
      </c>
      <c r="M178" s="2">
        <v>0.70902777777777781</v>
      </c>
      <c r="N178" t="s">
        <v>37</v>
      </c>
      <c r="O178">
        <v>177.36</v>
      </c>
      <c r="P178">
        <v>4.7619047620000003</v>
      </c>
      <c r="Q178">
        <v>0</v>
      </c>
      <c r="R178">
        <v>9.6</v>
      </c>
      <c r="S178">
        <v>96.173500000000004</v>
      </c>
      <c r="T178">
        <v>16.840900000000001</v>
      </c>
    </row>
    <row r="179" spans="1:20" x14ac:dyDescent="0.3">
      <c r="A179" t="s">
        <v>366</v>
      </c>
      <c r="B179" t="s">
        <v>29</v>
      </c>
      <c r="C179" t="s">
        <v>367</v>
      </c>
      <c r="D179" t="s">
        <v>31</v>
      </c>
      <c r="E179" t="s">
        <v>32</v>
      </c>
      <c r="F179" t="s">
        <v>25</v>
      </c>
      <c r="G179" t="s">
        <v>26</v>
      </c>
      <c r="H179">
        <v>22.51</v>
      </c>
      <c r="I179">
        <v>8</v>
      </c>
      <c r="J179">
        <f t="shared" si="5"/>
        <v>9.0040000000000013</v>
      </c>
      <c r="K179">
        <v>180.08</v>
      </c>
      <c r="L179" s="1">
        <v>43742</v>
      </c>
      <c r="M179" s="2">
        <v>0.4513888888888889</v>
      </c>
      <c r="N179" t="s">
        <v>37</v>
      </c>
      <c r="O179">
        <v>157.57</v>
      </c>
      <c r="P179">
        <v>4.7619047620000003</v>
      </c>
      <c r="Q179">
        <v>22.51</v>
      </c>
      <c r="R179">
        <v>5.04</v>
      </c>
      <c r="S179">
        <v>96.078500000000005</v>
      </c>
      <c r="T179">
        <v>19.763300000000001</v>
      </c>
    </row>
    <row r="180" spans="1:20" x14ac:dyDescent="0.3">
      <c r="A180" t="s">
        <v>368</v>
      </c>
      <c r="B180" t="s">
        <v>21</v>
      </c>
      <c r="C180" t="s">
        <v>369</v>
      </c>
      <c r="D180" t="s">
        <v>23</v>
      </c>
      <c r="E180" t="s">
        <v>32</v>
      </c>
      <c r="F180" t="s">
        <v>36</v>
      </c>
      <c r="G180" t="s">
        <v>26</v>
      </c>
      <c r="H180">
        <v>73.88</v>
      </c>
      <c r="I180">
        <v>6</v>
      </c>
      <c r="J180">
        <f t="shared" si="5"/>
        <v>22.164000000000001</v>
      </c>
      <c r="K180">
        <v>443.28</v>
      </c>
      <c r="L180" s="1">
        <v>43609</v>
      </c>
      <c r="M180" s="2">
        <v>0.80277777777777781</v>
      </c>
      <c r="N180" t="s">
        <v>27</v>
      </c>
      <c r="O180">
        <v>443.28</v>
      </c>
      <c r="P180">
        <v>4.7619047620000003</v>
      </c>
      <c r="Q180">
        <v>0</v>
      </c>
      <c r="R180">
        <v>4.4000000000000004</v>
      </c>
      <c r="S180">
        <v>96.173500000000004</v>
      </c>
      <c r="T180">
        <v>16.840900000000001</v>
      </c>
    </row>
    <row r="181" spans="1:20" x14ac:dyDescent="0.3">
      <c r="A181" t="s">
        <v>370</v>
      </c>
      <c r="B181" t="s">
        <v>21</v>
      </c>
      <c r="C181" t="s">
        <v>371</v>
      </c>
      <c r="D181" t="s">
        <v>31</v>
      </c>
      <c r="E181" t="s">
        <v>32</v>
      </c>
      <c r="F181" t="s">
        <v>36</v>
      </c>
      <c r="G181" t="s">
        <v>26</v>
      </c>
      <c r="H181">
        <v>86.8</v>
      </c>
      <c r="I181">
        <v>4</v>
      </c>
      <c r="J181">
        <f t="shared" si="5"/>
        <v>17.36</v>
      </c>
      <c r="K181">
        <v>347.2</v>
      </c>
      <c r="L181" s="1">
        <v>43756</v>
      </c>
      <c r="M181" s="2">
        <v>0.69930555555555551</v>
      </c>
      <c r="N181" t="s">
        <v>27</v>
      </c>
      <c r="O181">
        <v>260.39999999999998</v>
      </c>
      <c r="P181">
        <v>4.7619047620000003</v>
      </c>
      <c r="Q181">
        <v>86.8</v>
      </c>
      <c r="R181">
        <v>7.46</v>
      </c>
      <c r="S181">
        <v>96.078500000000005</v>
      </c>
      <c r="T181">
        <v>19.763300000000001</v>
      </c>
    </row>
    <row r="182" spans="1:20" x14ac:dyDescent="0.3">
      <c r="A182" t="s">
        <v>372</v>
      </c>
      <c r="B182" t="s">
        <v>21</v>
      </c>
      <c r="C182" t="s">
        <v>183</v>
      </c>
      <c r="D182" t="s">
        <v>31</v>
      </c>
      <c r="E182" t="s">
        <v>32</v>
      </c>
      <c r="F182" t="s">
        <v>25</v>
      </c>
      <c r="G182" t="s">
        <v>26</v>
      </c>
      <c r="H182">
        <v>64.260000000000005</v>
      </c>
      <c r="I182">
        <v>8</v>
      </c>
      <c r="J182">
        <f t="shared" si="5"/>
        <v>25.704000000000004</v>
      </c>
      <c r="K182">
        <v>514.08000000000004</v>
      </c>
      <c r="L182" s="1">
        <v>43498</v>
      </c>
      <c r="M182" s="2">
        <v>0.41666666666666669</v>
      </c>
      <c r="N182" t="s">
        <v>33</v>
      </c>
      <c r="O182">
        <v>449.82</v>
      </c>
      <c r="P182">
        <v>4.7619047620000003</v>
      </c>
      <c r="Q182">
        <v>64.260000000000005</v>
      </c>
      <c r="R182">
        <v>7.46</v>
      </c>
      <c r="S182">
        <v>96.078500000000005</v>
      </c>
      <c r="T182">
        <v>19.763300000000001</v>
      </c>
    </row>
    <row r="183" spans="1:20" x14ac:dyDescent="0.3">
      <c r="A183" t="s">
        <v>373</v>
      </c>
      <c r="B183" t="s">
        <v>21</v>
      </c>
      <c r="C183" t="s">
        <v>374</v>
      </c>
      <c r="D183" t="s">
        <v>31</v>
      </c>
      <c r="E183" t="s">
        <v>32</v>
      </c>
      <c r="F183" t="s">
        <v>25</v>
      </c>
      <c r="G183" t="s">
        <v>26</v>
      </c>
      <c r="H183">
        <v>38.47</v>
      </c>
      <c r="I183">
        <v>10</v>
      </c>
      <c r="J183">
        <f t="shared" si="5"/>
        <v>19.234999999999999</v>
      </c>
      <c r="K183">
        <v>384.7</v>
      </c>
      <c r="L183" s="1">
        <v>43658</v>
      </c>
      <c r="M183" s="2">
        <v>0.49375000000000002</v>
      </c>
      <c r="N183" t="s">
        <v>33</v>
      </c>
      <c r="O183">
        <v>307.76</v>
      </c>
      <c r="P183">
        <v>4.7619047620000003</v>
      </c>
      <c r="Q183">
        <v>76.94</v>
      </c>
      <c r="R183">
        <v>7.46</v>
      </c>
      <c r="S183">
        <v>96.078500000000005</v>
      </c>
      <c r="T183">
        <v>19.763300000000001</v>
      </c>
    </row>
    <row r="184" spans="1:20" x14ac:dyDescent="0.3">
      <c r="A184" t="s">
        <v>375</v>
      </c>
      <c r="B184" t="s">
        <v>21</v>
      </c>
      <c r="C184" t="s">
        <v>376</v>
      </c>
      <c r="D184" t="s">
        <v>23</v>
      </c>
      <c r="E184" t="s">
        <v>32</v>
      </c>
      <c r="F184" t="s">
        <v>25</v>
      </c>
      <c r="G184" t="s">
        <v>26</v>
      </c>
      <c r="H184">
        <v>15.5</v>
      </c>
      <c r="I184">
        <v>10</v>
      </c>
      <c r="J184">
        <f t="shared" si="5"/>
        <v>7.75</v>
      </c>
      <c r="K184">
        <v>155</v>
      </c>
      <c r="L184" s="1">
        <v>43659</v>
      </c>
      <c r="M184" s="2">
        <v>0.4548611111111111</v>
      </c>
      <c r="N184" t="s">
        <v>27</v>
      </c>
      <c r="O184">
        <v>155</v>
      </c>
      <c r="P184">
        <v>4.7619047620000003</v>
      </c>
      <c r="Q184">
        <v>0</v>
      </c>
      <c r="R184">
        <v>7.46</v>
      </c>
      <c r="S184">
        <v>96.173500000000004</v>
      </c>
      <c r="T184">
        <v>16.840900000000001</v>
      </c>
    </row>
    <row r="185" spans="1:20" x14ac:dyDescent="0.3">
      <c r="A185" t="s">
        <v>377</v>
      </c>
      <c r="B185" t="s">
        <v>21</v>
      </c>
      <c r="C185" t="s">
        <v>378</v>
      </c>
      <c r="D185" t="s">
        <v>31</v>
      </c>
      <c r="E185" t="s">
        <v>32</v>
      </c>
      <c r="F185" t="s">
        <v>25</v>
      </c>
      <c r="G185" t="s">
        <v>26</v>
      </c>
      <c r="H185">
        <v>34.31</v>
      </c>
      <c r="I185">
        <v>10</v>
      </c>
      <c r="J185">
        <f t="shared" si="5"/>
        <v>17.155000000000001</v>
      </c>
      <c r="K185">
        <v>343.1</v>
      </c>
      <c r="L185" s="1">
        <v>43825</v>
      </c>
      <c r="M185" s="2">
        <v>0.625</v>
      </c>
      <c r="N185" t="s">
        <v>27</v>
      </c>
      <c r="O185">
        <v>274.48</v>
      </c>
      <c r="P185">
        <v>4.7619047620000003</v>
      </c>
      <c r="Q185">
        <v>68.62</v>
      </c>
      <c r="R185">
        <v>7.46</v>
      </c>
      <c r="S185">
        <v>96.078500000000005</v>
      </c>
      <c r="T185">
        <v>19.763300000000001</v>
      </c>
    </row>
    <row r="186" spans="1:20" x14ac:dyDescent="0.3">
      <c r="A186" t="s">
        <v>379</v>
      </c>
      <c r="B186" t="s">
        <v>21</v>
      </c>
      <c r="C186" t="s">
        <v>380</v>
      </c>
      <c r="D186" t="s">
        <v>23</v>
      </c>
      <c r="E186" t="s">
        <v>32</v>
      </c>
      <c r="F186" t="s">
        <v>25</v>
      </c>
      <c r="G186" t="s">
        <v>26</v>
      </c>
      <c r="H186">
        <v>12.34</v>
      </c>
      <c r="I186">
        <v>7</v>
      </c>
      <c r="J186">
        <f t="shared" si="5"/>
        <v>4.319</v>
      </c>
      <c r="K186">
        <v>86.38</v>
      </c>
      <c r="L186" s="1">
        <v>43746</v>
      </c>
      <c r="M186" s="2">
        <v>0.47152777777777777</v>
      </c>
      <c r="N186" t="s">
        <v>37</v>
      </c>
      <c r="O186">
        <v>86.38</v>
      </c>
      <c r="P186">
        <v>4.7619047620000003</v>
      </c>
      <c r="Q186">
        <v>0</v>
      </c>
      <c r="R186">
        <v>7.46</v>
      </c>
      <c r="S186">
        <v>96.173500000000004</v>
      </c>
      <c r="T186">
        <v>16.840900000000001</v>
      </c>
    </row>
    <row r="187" spans="1:20" x14ac:dyDescent="0.3">
      <c r="A187" t="s">
        <v>381</v>
      </c>
      <c r="B187" t="s">
        <v>21</v>
      </c>
      <c r="C187" t="s">
        <v>382</v>
      </c>
      <c r="D187" t="s">
        <v>53</v>
      </c>
      <c r="E187" t="s">
        <v>32</v>
      </c>
      <c r="F187" t="s">
        <v>36</v>
      </c>
      <c r="G187" t="s">
        <v>26</v>
      </c>
      <c r="H187">
        <v>18.079999999999998</v>
      </c>
      <c r="I187">
        <v>4</v>
      </c>
      <c r="J187">
        <f t="shared" si="5"/>
        <v>3.6159999999999997</v>
      </c>
      <c r="K187">
        <v>72.319999999999993</v>
      </c>
      <c r="L187" s="1">
        <v>43542</v>
      </c>
      <c r="M187" s="2">
        <v>0.82361111111111107</v>
      </c>
      <c r="N187" t="s">
        <v>27</v>
      </c>
      <c r="O187">
        <v>54.24</v>
      </c>
      <c r="P187">
        <v>4.7619047620000003</v>
      </c>
      <c r="Q187">
        <v>18.079999999999998</v>
      </c>
      <c r="R187">
        <v>7.46</v>
      </c>
      <c r="S187">
        <v>96.089100000000002</v>
      </c>
      <c r="T187">
        <v>21.9588</v>
      </c>
    </row>
    <row r="188" spans="1:20" x14ac:dyDescent="0.3">
      <c r="A188" t="s">
        <v>383</v>
      </c>
      <c r="B188" t="s">
        <v>21</v>
      </c>
      <c r="C188" t="s">
        <v>333</v>
      </c>
      <c r="D188" t="s">
        <v>53</v>
      </c>
      <c r="E188" t="s">
        <v>32</v>
      </c>
      <c r="F188" t="s">
        <v>25</v>
      </c>
      <c r="G188" t="s">
        <v>26</v>
      </c>
      <c r="H188">
        <v>94.49</v>
      </c>
      <c r="I188">
        <v>11</v>
      </c>
      <c r="J188">
        <f t="shared" si="5"/>
        <v>51.969500000000011</v>
      </c>
      <c r="K188">
        <v>1039.3900000000001</v>
      </c>
      <c r="L188" s="1">
        <v>43791</v>
      </c>
      <c r="M188" s="2">
        <v>0.79166666666666663</v>
      </c>
      <c r="N188" t="s">
        <v>27</v>
      </c>
      <c r="O188">
        <v>755.92</v>
      </c>
      <c r="P188">
        <v>4.7619047620000003</v>
      </c>
      <c r="Q188">
        <v>283.47000000000003</v>
      </c>
      <c r="R188">
        <v>7.46</v>
      </c>
      <c r="S188">
        <v>96.089100000000002</v>
      </c>
      <c r="T188">
        <v>21.9588</v>
      </c>
    </row>
    <row r="189" spans="1:20" x14ac:dyDescent="0.3">
      <c r="A189" t="s">
        <v>384</v>
      </c>
      <c r="B189" t="s">
        <v>21</v>
      </c>
      <c r="C189" t="s">
        <v>385</v>
      </c>
      <c r="D189" t="s">
        <v>53</v>
      </c>
      <c r="E189" t="s">
        <v>24</v>
      </c>
      <c r="F189" t="s">
        <v>36</v>
      </c>
      <c r="G189" t="s">
        <v>26</v>
      </c>
      <c r="H189">
        <v>46.47</v>
      </c>
      <c r="I189">
        <v>8</v>
      </c>
      <c r="J189">
        <f t="shared" si="5"/>
        <v>18.588000000000001</v>
      </c>
      <c r="K189">
        <v>371.76</v>
      </c>
      <c r="L189" s="1">
        <v>43770</v>
      </c>
      <c r="M189" s="2">
        <v>0.45347222222222222</v>
      </c>
      <c r="N189" t="s">
        <v>33</v>
      </c>
      <c r="O189">
        <v>185.88</v>
      </c>
      <c r="P189">
        <v>4.7619047620000003</v>
      </c>
      <c r="Q189">
        <v>185.88</v>
      </c>
      <c r="R189">
        <v>7.46</v>
      </c>
      <c r="S189">
        <v>96.089100000000002</v>
      </c>
      <c r="T189">
        <v>21.9588</v>
      </c>
    </row>
    <row r="190" spans="1:20" x14ac:dyDescent="0.3">
      <c r="A190" t="s">
        <v>386</v>
      </c>
      <c r="B190" t="s">
        <v>21</v>
      </c>
      <c r="C190" t="s">
        <v>387</v>
      </c>
      <c r="D190" t="s">
        <v>23</v>
      </c>
      <c r="E190" t="s">
        <v>32</v>
      </c>
      <c r="F190" t="s">
        <v>36</v>
      </c>
      <c r="G190" t="s">
        <v>26</v>
      </c>
      <c r="H190">
        <v>74.069999999999993</v>
      </c>
      <c r="I190">
        <v>1</v>
      </c>
      <c r="J190">
        <f t="shared" si="5"/>
        <v>3.7035</v>
      </c>
      <c r="K190">
        <v>74.069999999999993</v>
      </c>
      <c r="L190" s="1">
        <v>43536</v>
      </c>
      <c r="M190" s="2">
        <v>0.53472222222222221</v>
      </c>
      <c r="N190" t="s">
        <v>27</v>
      </c>
      <c r="O190">
        <v>74.069999999999993</v>
      </c>
      <c r="P190">
        <v>4.7619047620000003</v>
      </c>
      <c r="Q190">
        <v>0</v>
      </c>
      <c r="R190">
        <v>7.46</v>
      </c>
      <c r="S190">
        <v>96.173500000000004</v>
      </c>
      <c r="T190">
        <v>16.840900000000001</v>
      </c>
    </row>
    <row r="191" spans="1:20" x14ac:dyDescent="0.3">
      <c r="A191" t="s">
        <v>388</v>
      </c>
      <c r="B191" t="s">
        <v>29</v>
      </c>
      <c r="C191" t="s">
        <v>389</v>
      </c>
      <c r="D191" t="s">
        <v>31</v>
      </c>
      <c r="E191" t="s">
        <v>32</v>
      </c>
      <c r="F191" t="s">
        <v>25</v>
      </c>
      <c r="G191" t="s">
        <v>26</v>
      </c>
      <c r="H191">
        <v>69.81</v>
      </c>
      <c r="I191">
        <v>5</v>
      </c>
      <c r="J191">
        <f t="shared" si="5"/>
        <v>17.452500000000001</v>
      </c>
      <c r="K191">
        <v>349.05</v>
      </c>
      <c r="L191" s="1">
        <v>43753</v>
      </c>
      <c r="M191" s="2">
        <v>0.86805555555555558</v>
      </c>
      <c r="N191" t="s">
        <v>37</v>
      </c>
      <c r="O191">
        <v>279.24</v>
      </c>
      <c r="P191">
        <v>4.7619047620000003</v>
      </c>
      <c r="Q191">
        <v>69.81</v>
      </c>
      <c r="R191">
        <v>7.46</v>
      </c>
      <c r="S191">
        <v>96.078500000000005</v>
      </c>
      <c r="T191">
        <v>19.763300000000001</v>
      </c>
    </row>
    <row r="192" spans="1:20" x14ac:dyDescent="0.3">
      <c r="A192" t="s">
        <v>390</v>
      </c>
      <c r="B192" t="s">
        <v>51</v>
      </c>
      <c r="C192" t="s">
        <v>95</v>
      </c>
      <c r="D192" t="s">
        <v>53</v>
      </c>
      <c r="E192" t="s">
        <v>32</v>
      </c>
      <c r="F192" t="s">
        <v>25</v>
      </c>
      <c r="G192" t="s">
        <v>26</v>
      </c>
      <c r="H192">
        <v>77.040000000000006</v>
      </c>
      <c r="I192">
        <v>4</v>
      </c>
      <c r="J192">
        <v>15.407999999999999</v>
      </c>
      <c r="K192">
        <v>308.16000000000003</v>
      </c>
      <c r="L192" s="1">
        <v>43817</v>
      </c>
      <c r="M192" s="2">
        <v>0.44374999999999998</v>
      </c>
      <c r="N192" t="s">
        <v>37</v>
      </c>
      <c r="O192">
        <v>231.12</v>
      </c>
      <c r="P192">
        <v>4.7619047620000003</v>
      </c>
      <c r="Q192">
        <v>77.040000000000006</v>
      </c>
      <c r="R192">
        <v>8.64</v>
      </c>
      <c r="S192">
        <v>96.089100000000002</v>
      </c>
      <c r="T192">
        <v>21.9588</v>
      </c>
    </row>
    <row r="193" spans="1:20" x14ac:dyDescent="0.3">
      <c r="A193" t="s">
        <v>391</v>
      </c>
      <c r="B193" t="s">
        <v>51</v>
      </c>
      <c r="C193" t="s">
        <v>392</v>
      </c>
      <c r="D193" t="s">
        <v>53</v>
      </c>
      <c r="E193" t="s">
        <v>32</v>
      </c>
      <c r="F193" t="s">
        <v>25</v>
      </c>
      <c r="G193" t="s">
        <v>26</v>
      </c>
      <c r="H193">
        <v>73.52</v>
      </c>
      <c r="I193">
        <v>3</v>
      </c>
      <c r="J193">
        <v>11.028</v>
      </c>
      <c r="K193">
        <v>220.56</v>
      </c>
      <c r="L193" s="1">
        <v>43685</v>
      </c>
      <c r="M193" s="2">
        <v>0.57013888888888886</v>
      </c>
      <c r="N193" t="s">
        <v>27</v>
      </c>
      <c r="O193">
        <v>147.04</v>
      </c>
      <c r="P193">
        <v>4.7619047620000003</v>
      </c>
      <c r="Q193">
        <v>73.52</v>
      </c>
      <c r="R193">
        <v>5.52</v>
      </c>
      <c r="S193">
        <v>96.089100000000002</v>
      </c>
      <c r="T193">
        <v>21.9588</v>
      </c>
    </row>
    <row r="194" spans="1:20" x14ac:dyDescent="0.3">
      <c r="A194" t="s">
        <v>393</v>
      </c>
      <c r="B194" t="s">
        <v>29</v>
      </c>
      <c r="C194" t="s">
        <v>394</v>
      </c>
      <c r="D194" t="s">
        <v>31</v>
      </c>
      <c r="E194" t="s">
        <v>32</v>
      </c>
      <c r="F194" t="s">
        <v>25</v>
      </c>
      <c r="G194" t="s">
        <v>26</v>
      </c>
      <c r="H194">
        <v>87.8</v>
      </c>
      <c r="I194">
        <v>11</v>
      </c>
      <c r="J194">
        <v>48.29</v>
      </c>
      <c r="K194">
        <v>965.8</v>
      </c>
      <c r="L194" s="1">
        <v>43767</v>
      </c>
      <c r="M194" s="2">
        <v>0.79722222222222228</v>
      </c>
      <c r="N194" t="s">
        <v>33</v>
      </c>
      <c r="O194">
        <v>790.2</v>
      </c>
      <c r="P194">
        <v>4.7619047620000003</v>
      </c>
      <c r="Q194">
        <v>175.6</v>
      </c>
      <c r="R194">
        <v>9.66</v>
      </c>
      <c r="S194">
        <v>96.078500000000005</v>
      </c>
      <c r="T194">
        <v>19.763300000000001</v>
      </c>
    </row>
    <row r="195" spans="1:20" x14ac:dyDescent="0.3">
      <c r="A195" t="s">
        <v>395</v>
      </c>
      <c r="B195" t="s">
        <v>51</v>
      </c>
      <c r="C195" t="s">
        <v>104</v>
      </c>
      <c r="D195" t="s">
        <v>53</v>
      </c>
      <c r="E195" t="s">
        <v>32</v>
      </c>
      <c r="F195" t="s">
        <v>36</v>
      </c>
      <c r="G195" t="s">
        <v>26</v>
      </c>
      <c r="H195">
        <v>25.55</v>
      </c>
      <c r="I195">
        <v>6</v>
      </c>
      <c r="J195">
        <v>7.665</v>
      </c>
      <c r="K195">
        <v>153.30000000000001</v>
      </c>
      <c r="L195" s="1">
        <v>43773</v>
      </c>
      <c r="M195" s="2">
        <v>0.84930555555555554</v>
      </c>
      <c r="N195" t="s">
        <v>27</v>
      </c>
      <c r="O195">
        <v>102.2</v>
      </c>
      <c r="P195">
        <v>4.7619047620000003</v>
      </c>
      <c r="Q195">
        <v>51.1</v>
      </c>
      <c r="R195">
        <v>6.84</v>
      </c>
      <c r="S195">
        <v>96.089100000000002</v>
      </c>
      <c r="T195">
        <v>21.9588</v>
      </c>
    </row>
    <row r="196" spans="1:20" x14ac:dyDescent="0.3">
      <c r="A196" t="s">
        <v>396</v>
      </c>
      <c r="B196" t="s">
        <v>21</v>
      </c>
      <c r="C196" t="s">
        <v>397</v>
      </c>
      <c r="D196" t="s">
        <v>23</v>
      </c>
      <c r="E196" t="s">
        <v>32</v>
      </c>
      <c r="F196" t="s">
        <v>36</v>
      </c>
      <c r="G196" t="s">
        <v>26</v>
      </c>
      <c r="H196">
        <v>32.71</v>
      </c>
      <c r="I196">
        <v>5</v>
      </c>
      <c r="J196">
        <v>8.1775000000000002</v>
      </c>
      <c r="K196">
        <v>163.55000000000001</v>
      </c>
      <c r="L196" s="1">
        <v>43777</v>
      </c>
      <c r="M196" s="2">
        <v>0.47916666666666669</v>
      </c>
      <c r="N196" t="s">
        <v>37</v>
      </c>
      <c r="O196">
        <v>163.55000000000001</v>
      </c>
      <c r="P196">
        <v>4.7619047620000003</v>
      </c>
      <c r="Q196">
        <v>0</v>
      </c>
      <c r="R196">
        <v>9.9</v>
      </c>
      <c r="S196">
        <v>96.173500000000004</v>
      </c>
      <c r="T196">
        <v>16.840900000000001</v>
      </c>
    </row>
    <row r="197" spans="1:20" x14ac:dyDescent="0.3">
      <c r="A197" t="s">
        <v>398</v>
      </c>
      <c r="B197" t="s">
        <v>29</v>
      </c>
      <c r="C197" t="s">
        <v>399</v>
      </c>
      <c r="D197" t="s">
        <v>31</v>
      </c>
      <c r="E197" t="s">
        <v>24</v>
      </c>
      <c r="F197" t="s">
        <v>25</v>
      </c>
      <c r="G197" t="s">
        <v>26</v>
      </c>
      <c r="H197">
        <v>74.290000000000006</v>
      </c>
      <c r="I197">
        <v>1</v>
      </c>
      <c r="J197">
        <v>3.7145000000000001</v>
      </c>
      <c r="K197">
        <v>74.290000000000006</v>
      </c>
      <c r="L197" s="1">
        <v>43578</v>
      </c>
      <c r="M197" s="2">
        <v>0.8125</v>
      </c>
      <c r="N197" t="s">
        <v>33</v>
      </c>
      <c r="O197">
        <v>74.290000000000006</v>
      </c>
      <c r="P197">
        <v>4.7619047620000003</v>
      </c>
      <c r="Q197">
        <v>0</v>
      </c>
      <c r="R197">
        <v>5.25</v>
      </c>
      <c r="S197">
        <v>96.078500000000005</v>
      </c>
      <c r="T197">
        <v>19.763300000000001</v>
      </c>
    </row>
    <row r="198" spans="1:20" x14ac:dyDescent="0.3">
      <c r="A198" t="s">
        <v>400</v>
      </c>
      <c r="B198" t="s">
        <v>29</v>
      </c>
      <c r="C198" t="s">
        <v>401</v>
      </c>
      <c r="D198" t="s">
        <v>31</v>
      </c>
      <c r="E198" t="s">
        <v>24</v>
      </c>
      <c r="F198" t="s">
        <v>36</v>
      </c>
      <c r="G198" t="s">
        <v>26</v>
      </c>
      <c r="H198">
        <v>43.7</v>
      </c>
      <c r="I198">
        <v>3</v>
      </c>
      <c r="J198">
        <v>6.5549999999999997</v>
      </c>
      <c r="K198">
        <v>131.1</v>
      </c>
      <c r="L198" s="1">
        <v>43774</v>
      </c>
      <c r="M198" s="2">
        <v>0.75208333333333333</v>
      </c>
      <c r="N198" t="s">
        <v>33</v>
      </c>
      <c r="O198">
        <v>87.4</v>
      </c>
      <c r="P198">
        <v>4.7619047620000003</v>
      </c>
      <c r="Q198">
        <v>43.7</v>
      </c>
      <c r="R198">
        <v>5.1449999999999996</v>
      </c>
      <c r="S198">
        <v>96.078500000000005</v>
      </c>
      <c r="T198">
        <v>19.763300000000001</v>
      </c>
    </row>
    <row r="199" spans="1:20" x14ac:dyDescent="0.3">
      <c r="A199" t="s">
        <v>402</v>
      </c>
      <c r="B199" t="s">
        <v>21</v>
      </c>
      <c r="C199" t="s">
        <v>403</v>
      </c>
      <c r="D199" t="s">
        <v>23</v>
      </c>
      <c r="E199" t="s">
        <v>32</v>
      </c>
      <c r="F199" t="s">
        <v>25</v>
      </c>
      <c r="G199" t="s">
        <v>26</v>
      </c>
      <c r="H199">
        <v>25.29</v>
      </c>
      <c r="I199">
        <v>1</v>
      </c>
      <c r="J199">
        <v>1.2645</v>
      </c>
      <c r="K199">
        <v>25.29</v>
      </c>
      <c r="L199" s="1">
        <v>43829</v>
      </c>
      <c r="M199" s="2">
        <v>0.42569444444444443</v>
      </c>
      <c r="N199" t="s">
        <v>27</v>
      </c>
      <c r="O199">
        <v>25.29</v>
      </c>
      <c r="P199">
        <v>4.7619047620000003</v>
      </c>
      <c r="Q199">
        <v>0</v>
      </c>
      <c r="R199">
        <v>6.1</v>
      </c>
      <c r="S199">
        <v>96.173500000000004</v>
      </c>
      <c r="T199">
        <v>16.840900000000001</v>
      </c>
    </row>
    <row r="200" spans="1:20" x14ac:dyDescent="0.3">
      <c r="A200" t="s">
        <v>404</v>
      </c>
      <c r="B200" t="s">
        <v>29</v>
      </c>
      <c r="C200" t="s">
        <v>405</v>
      </c>
      <c r="D200" t="s">
        <v>31</v>
      </c>
      <c r="E200" t="s">
        <v>32</v>
      </c>
      <c r="F200" t="s">
        <v>36</v>
      </c>
      <c r="G200" t="s">
        <v>26</v>
      </c>
      <c r="H200">
        <v>41.5</v>
      </c>
      <c r="I200">
        <v>5</v>
      </c>
      <c r="J200">
        <v>10.375</v>
      </c>
      <c r="K200">
        <v>207.5</v>
      </c>
      <c r="L200" s="1">
        <v>43637</v>
      </c>
      <c r="M200" s="2">
        <v>0.83194444444444449</v>
      </c>
      <c r="N200" t="s">
        <v>37</v>
      </c>
      <c r="O200">
        <v>166</v>
      </c>
      <c r="P200">
        <v>4.7619047620000003</v>
      </c>
      <c r="Q200">
        <v>41.5</v>
      </c>
      <c r="R200">
        <v>8.61</v>
      </c>
      <c r="S200">
        <v>96.078500000000005</v>
      </c>
      <c r="T200">
        <v>19.763300000000001</v>
      </c>
    </row>
    <row r="201" spans="1:20" x14ac:dyDescent="0.3">
      <c r="A201" t="s">
        <v>406</v>
      </c>
      <c r="B201" t="s">
        <v>29</v>
      </c>
      <c r="C201" t="s">
        <v>407</v>
      </c>
      <c r="D201" t="s">
        <v>31</v>
      </c>
      <c r="E201" t="s">
        <v>32</v>
      </c>
      <c r="F201" t="s">
        <v>25</v>
      </c>
      <c r="G201" t="s">
        <v>26</v>
      </c>
      <c r="H201">
        <v>71.39</v>
      </c>
      <c r="I201">
        <v>6</v>
      </c>
      <c r="J201">
        <v>21.417000000000002</v>
      </c>
      <c r="K201">
        <v>428.34</v>
      </c>
      <c r="L201" s="1">
        <v>43519</v>
      </c>
      <c r="M201" s="2">
        <v>0.83125000000000004</v>
      </c>
      <c r="N201" t="s">
        <v>37</v>
      </c>
      <c r="O201">
        <v>356.95</v>
      </c>
      <c r="P201">
        <v>4.7619047620000003</v>
      </c>
      <c r="Q201">
        <v>71.39</v>
      </c>
      <c r="R201">
        <v>5.7750000000000004</v>
      </c>
      <c r="S201">
        <v>96.078500000000005</v>
      </c>
      <c r="T201">
        <v>19.763300000000001</v>
      </c>
    </row>
    <row r="202" spans="1:20" x14ac:dyDescent="0.3">
      <c r="A202" t="s">
        <v>408</v>
      </c>
      <c r="B202" t="s">
        <v>29</v>
      </c>
      <c r="C202" t="s">
        <v>341</v>
      </c>
      <c r="D202" t="s">
        <v>31</v>
      </c>
      <c r="E202" t="s">
        <v>32</v>
      </c>
      <c r="F202" t="s">
        <v>25</v>
      </c>
      <c r="G202" t="s">
        <v>26</v>
      </c>
      <c r="H202">
        <v>19.149999999999999</v>
      </c>
      <c r="I202">
        <v>7</v>
      </c>
      <c r="J202">
        <v>6.7024999999999997</v>
      </c>
      <c r="K202">
        <v>134.05000000000001</v>
      </c>
      <c r="L202" s="1">
        <v>43599</v>
      </c>
      <c r="M202" s="2">
        <v>0.41736111111111113</v>
      </c>
      <c r="N202" t="s">
        <v>37</v>
      </c>
      <c r="O202">
        <v>114.9</v>
      </c>
      <c r="P202">
        <v>4.7619047620000003</v>
      </c>
      <c r="Q202">
        <v>19.149999999999999</v>
      </c>
      <c r="R202">
        <v>7.14</v>
      </c>
      <c r="S202">
        <v>96.078500000000005</v>
      </c>
      <c r="T202">
        <v>19.763300000000001</v>
      </c>
    </row>
    <row r="203" spans="1:20" x14ac:dyDescent="0.3">
      <c r="A203" t="s">
        <v>409</v>
      </c>
      <c r="B203" t="s">
        <v>51</v>
      </c>
      <c r="C203" t="s">
        <v>286</v>
      </c>
      <c r="D203" t="s">
        <v>53</v>
      </c>
      <c r="E203" t="s">
        <v>32</v>
      </c>
      <c r="F203" t="s">
        <v>25</v>
      </c>
      <c r="G203" t="s">
        <v>26</v>
      </c>
      <c r="H203">
        <v>57.49</v>
      </c>
      <c r="I203">
        <v>6</v>
      </c>
      <c r="J203">
        <v>17.247</v>
      </c>
      <c r="K203">
        <v>344.94</v>
      </c>
      <c r="L203" s="1">
        <v>43784</v>
      </c>
      <c r="M203" s="2">
        <v>0.49791666666666667</v>
      </c>
      <c r="N203" t="s">
        <v>33</v>
      </c>
      <c r="O203">
        <v>229.96</v>
      </c>
      <c r="P203">
        <v>4.7619047620000003</v>
      </c>
      <c r="Q203">
        <v>114.98</v>
      </c>
      <c r="R203">
        <v>7.92</v>
      </c>
      <c r="S203">
        <v>96.089100000000002</v>
      </c>
      <c r="T203">
        <v>21.9588</v>
      </c>
    </row>
    <row r="204" spans="1:20" x14ac:dyDescent="0.3">
      <c r="A204" t="s">
        <v>410</v>
      </c>
      <c r="B204" t="s">
        <v>29</v>
      </c>
      <c r="C204" t="s">
        <v>411</v>
      </c>
      <c r="D204" t="s">
        <v>31</v>
      </c>
      <c r="E204" t="s">
        <v>32</v>
      </c>
      <c r="F204" t="s">
        <v>36</v>
      </c>
      <c r="G204" t="s">
        <v>26</v>
      </c>
      <c r="H204">
        <v>61.41</v>
      </c>
      <c r="I204">
        <v>8</v>
      </c>
      <c r="J204">
        <v>24.564</v>
      </c>
      <c r="K204">
        <v>491.28</v>
      </c>
      <c r="L204" s="1">
        <v>43511</v>
      </c>
      <c r="M204" s="2">
        <v>0.41805555555555557</v>
      </c>
      <c r="N204" t="s">
        <v>33</v>
      </c>
      <c r="O204">
        <v>429.87</v>
      </c>
      <c r="P204">
        <v>4.7619047620000003</v>
      </c>
      <c r="Q204">
        <v>61.41</v>
      </c>
      <c r="R204">
        <v>10</v>
      </c>
      <c r="S204">
        <v>96.078500000000005</v>
      </c>
      <c r="T204">
        <v>19.763300000000001</v>
      </c>
    </row>
    <row r="205" spans="1:20" x14ac:dyDescent="0.3">
      <c r="A205" t="s">
        <v>412</v>
      </c>
      <c r="B205" t="s">
        <v>51</v>
      </c>
      <c r="C205" t="s">
        <v>333</v>
      </c>
      <c r="D205" t="s">
        <v>53</v>
      </c>
      <c r="E205" t="s">
        <v>24</v>
      </c>
      <c r="F205" t="s">
        <v>36</v>
      </c>
      <c r="G205" t="s">
        <v>26</v>
      </c>
      <c r="H205">
        <v>25.9</v>
      </c>
      <c r="I205">
        <v>20</v>
      </c>
      <c r="J205">
        <v>25.9</v>
      </c>
      <c r="K205">
        <v>518</v>
      </c>
      <c r="L205" s="1">
        <v>43620</v>
      </c>
      <c r="M205" s="2">
        <v>0.61875000000000002</v>
      </c>
      <c r="N205" t="s">
        <v>27</v>
      </c>
      <c r="O205">
        <v>259</v>
      </c>
      <c r="P205">
        <v>4.7619047620000003</v>
      </c>
      <c r="Q205">
        <v>259</v>
      </c>
      <c r="R205">
        <v>10</v>
      </c>
      <c r="S205">
        <v>96.089100000000002</v>
      </c>
      <c r="T205">
        <v>21.9588</v>
      </c>
    </row>
    <row r="206" spans="1:20" x14ac:dyDescent="0.3">
      <c r="A206" t="s">
        <v>413</v>
      </c>
      <c r="B206" t="s">
        <v>51</v>
      </c>
      <c r="C206" t="s">
        <v>104</v>
      </c>
      <c r="D206" t="s">
        <v>53</v>
      </c>
      <c r="E206" t="s">
        <v>24</v>
      </c>
      <c r="F206" t="s">
        <v>36</v>
      </c>
      <c r="G206" t="s">
        <v>26</v>
      </c>
      <c r="H206">
        <v>17.77</v>
      </c>
      <c r="I206">
        <v>10</v>
      </c>
      <c r="J206">
        <v>8.8849999999999998</v>
      </c>
      <c r="K206">
        <v>177.7</v>
      </c>
      <c r="L206" s="1">
        <v>43713</v>
      </c>
      <c r="M206" s="2">
        <v>0.52916666666666667</v>
      </c>
      <c r="N206" t="s">
        <v>37</v>
      </c>
      <c r="O206">
        <v>88.85</v>
      </c>
      <c r="P206">
        <v>4.7619047620000003</v>
      </c>
      <c r="Q206">
        <v>88.85</v>
      </c>
      <c r="R206">
        <v>6.48</v>
      </c>
      <c r="S206">
        <v>96.089100000000002</v>
      </c>
      <c r="T206">
        <v>21.9588</v>
      </c>
    </row>
    <row r="207" spans="1:20" x14ac:dyDescent="0.3">
      <c r="A207" t="s">
        <v>414</v>
      </c>
      <c r="B207" t="s">
        <v>21</v>
      </c>
      <c r="C207" t="s">
        <v>415</v>
      </c>
      <c r="D207" t="s">
        <v>23</v>
      </c>
      <c r="E207" t="s">
        <v>32</v>
      </c>
      <c r="F207" t="s">
        <v>25</v>
      </c>
      <c r="G207" t="s">
        <v>26</v>
      </c>
      <c r="H207">
        <v>23.03</v>
      </c>
      <c r="I207">
        <v>9</v>
      </c>
      <c r="J207">
        <v>10.3635</v>
      </c>
      <c r="K207">
        <v>207.27</v>
      </c>
      <c r="L207" s="1">
        <v>43679</v>
      </c>
      <c r="M207" s="2">
        <v>0.50138888888888888</v>
      </c>
      <c r="N207" t="s">
        <v>27</v>
      </c>
      <c r="O207">
        <v>207.27</v>
      </c>
      <c r="P207">
        <v>4.7619047620000003</v>
      </c>
      <c r="Q207">
        <v>0</v>
      </c>
      <c r="R207">
        <v>7.9</v>
      </c>
      <c r="S207">
        <v>96.173500000000004</v>
      </c>
      <c r="T207">
        <v>16.840900000000001</v>
      </c>
    </row>
    <row r="208" spans="1:20" x14ac:dyDescent="0.3">
      <c r="A208" t="s">
        <v>416</v>
      </c>
      <c r="B208" t="s">
        <v>29</v>
      </c>
      <c r="C208" t="s">
        <v>417</v>
      </c>
      <c r="D208" t="s">
        <v>31</v>
      </c>
      <c r="E208" t="s">
        <v>24</v>
      </c>
      <c r="F208" t="s">
        <v>25</v>
      </c>
      <c r="G208" t="s">
        <v>26</v>
      </c>
      <c r="H208">
        <v>66.650000000000006</v>
      </c>
      <c r="I208">
        <v>15</v>
      </c>
      <c r="J208">
        <f t="shared" ref="J208:J212" si="6">K208*5%</f>
        <v>49.987500000000004</v>
      </c>
      <c r="K208">
        <v>999.75</v>
      </c>
      <c r="L208" s="1">
        <v>43516</v>
      </c>
      <c r="M208" s="2">
        <v>0.7631944444444444</v>
      </c>
      <c r="N208" t="s">
        <v>37</v>
      </c>
      <c r="O208">
        <v>599.85</v>
      </c>
      <c r="P208">
        <v>4.7619047620000003</v>
      </c>
      <c r="Q208">
        <v>399.9</v>
      </c>
      <c r="R208">
        <v>10</v>
      </c>
      <c r="S208">
        <v>96.078500000000005</v>
      </c>
      <c r="T208">
        <v>19.763300000000001</v>
      </c>
    </row>
    <row r="209" spans="1:20" x14ac:dyDescent="0.3">
      <c r="A209" t="s">
        <v>418</v>
      </c>
      <c r="B209" t="s">
        <v>29</v>
      </c>
      <c r="C209" t="s">
        <v>419</v>
      </c>
      <c r="D209" t="s">
        <v>31</v>
      </c>
      <c r="E209" t="s">
        <v>24</v>
      </c>
      <c r="F209" t="s">
        <v>25</v>
      </c>
      <c r="G209" t="s">
        <v>26</v>
      </c>
      <c r="H209">
        <v>28.53</v>
      </c>
      <c r="I209">
        <v>17</v>
      </c>
      <c r="J209">
        <f t="shared" si="6"/>
        <v>24.250500000000002</v>
      </c>
      <c r="K209">
        <v>485.01</v>
      </c>
      <c r="L209" s="1">
        <v>43474</v>
      </c>
      <c r="M209" s="2">
        <v>0.73472222222222228</v>
      </c>
      <c r="N209" t="s">
        <v>27</v>
      </c>
      <c r="O209">
        <v>285.3</v>
      </c>
      <c r="P209">
        <v>4.7619047620000003</v>
      </c>
      <c r="Q209">
        <v>199.71</v>
      </c>
      <c r="R209">
        <v>8.19</v>
      </c>
      <c r="S209">
        <v>96.078500000000005</v>
      </c>
      <c r="T209">
        <v>19.763300000000001</v>
      </c>
    </row>
    <row r="210" spans="1:20" x14ac:dyDescent="0.3">
      <c r="A210" t="s">
        <v>420</v>
      </c>
      <c r="B210" t="s">
        <v>51</v>
      </c>
      <c r="C210" t="s">
        <v>132</v>
      </c>
      <c r="D210" t="s">
        <v>53</v>
      </c>
      <c r="E210" t="s">
        <v>32</v>
      </c>
      <c r="F210" t="s">
        <v>25</v>
      </c>
      <c r="G210" t="s">
        <v>26</v>
      </c>
      <c r="H210">
        <v>30.37</v>
      </c>
      <c r="I210">
        <v>4</v>
      </c>
      <c r="J210">
        <f t="shared" si="6"/>
        <v>6.0740000000000007</v>
      </c>
      <c r="K210">
        <v>121.48</v>
      </c>
      <c r="L210" s="1">
        <v>43531</v>
      </c>
      <c r="M210" s="2">
        <v>0.57013888888888886</v>
      </c>
      <c r="N210" t="s">
        <v>27</v>
      </c>
      <c r="O210">
        <v>91.11</v>
      </c>
      <c r="P210">
        <v>4.7619047620000003</v>
      </c>
      <c r="Q210">
        <v>30.37</v>
      </c>
      <c r="R210">
        <v>6.12</v>
      </c>
      <c r="S210">
        <v>96.089100000000002</v>
      </c>
      <c r="T210">
        <v>21.9588</v>
      </c>
    </row>
    <row r="211" spans="1:20" x14ac:dyDescent="0.3">
      <c r="A211" t="s">
        <v>421</v>
      </c>
      <c r="B211" t="s">
        <v>51</v>
      </c>
      <c r="C211" t="s">
        <v>67</v>
      </c>
      <c r="D211" t="s">
        <v>53</v>
      </c>
      <c r="E211" t="s">
        <v>32</v>
      </c>
      <c r="F211" t="s">
        <v>25</v>
      </c>
      <c r="G211" t="s">
        <v>26</v>
      </c>
      <c r="H211">
        <v>99.73</v>
      </c>
      <c r="I211">
        <v>13</v>
      </c>
      <c r="J211">
        <f t="shared" si="6"/>
        <v>64.8245</v>
      </c>
      <c r="K211">
        <v>1296.49</v>
      </c>
      <c r="L211" s="1">
        <v>43552</v>
      </c>
      <c r="M211" s="2">
        <v>0.8208333333333333</v>
      </c>
      <c r="N211" t="s">
        <v>37</v>
      </c>
      <c r="O211">
        <v>897.57</v>
      </c>
      <c r="P211">
        <v>4.7619047620000003</v>
      </c>
      <c r="Q211">
        <v>398.92</v>
      </c>
      <c r="R211">
        <v>7.8</v>
      </c>
      <c r="S211">
        <v>96.089100000000002</v>
      </c>
      <c r="T211">
        <v>21.9588</v>
      </c>
    </row>
    <row r="212" spans="1:20" x14ac:dyDescent="0.3">
      <c r="A212" t="s">
        <v>422</v>
      </c>
      <c r="B212" t="s">
        <v>21</v>
      </c>
      <c r="C212" t="s">
        <v>326</v>
      </c>
      <c r="D212" t="s">
        <v>23</v>
      </c>
      <c r="E212" t="s">
        <v>32</v>
      </c>
      <c r="F212" t="s">
        <v>36</v>
      </c>
      <c r="G212" t="s">
        <v>26</v>
      </c>
      <c r="H212">
        <v>26.23</v>
      </c>
      <c r="I212">
        <v>9</v>
      </c>
      <c r="J212">
        <f t="shared" si="6"/>
        <v>11.8035</v>
      </c>
      <c r="K212">
        <v>236.07</v>
      </c>
      <c r="L212" s="1">
        <v>43554</v>
      </c>
      <c r="M212" s="2">
        <v>0.85</v>
      </c>
      <c r="N212" t="s">
        <v>27</v>
      </c>
      <c r="O212">
        <v>236.07</v>
      </c>
      <c r="P212">
        <v>4.7619047620000003</v>
      </c>
      <c r="Q212">
        <v>0</v>
      </c>
      <c r="R212">
        <v>5.9</v>
      </c>
      <c r="S212">
        <v>96.173500000000004</v>
      </c>
      <c r="T212">
        <v>16.840900000000001</v>
      </c>
    </row>
    <row r="213" spans="1:20" x14ac:dyDescent="0.3">
      <c r="A213" t="s">
        <v>423</v>
      </c>
      <c r="B213" t="s">
        <v>29</v>
      </c>
      <c r="C213" t="s">
        <v>424</v>
      </c>
      <c r="D213" t="s">
        <v>31</v>
      </c>
      <c r="E213" t="s">
        <v>32</v>
      </c>
      <c r="F213" t="s">
        <v>25</v>
      </c>
      <c r="G213" t="s">
        <v>26</v>
      </c>
      <c r="H213">
        <v>93.26</v>
      </c>
      <c r="I213">
        <v>11</v>
      </c>
      <c r="J213">
        <v>51.292999999999999</v>
      </c>
      <c r="K213">
        <v>1025.8599999999999</v>
      </c>
      <c r="L213" s="1">
        <v>43711</v>
      </c>
      <c r="M213" s="2">
        <v>0.75555555555555554</v>
      </c>
      <c r="N213" t="s">
        <v>33</v>
      </c>
      <c r="O213">
        <v>839.34</v>
      </c>
      <c r="P213">
        <v>4.7619047620000003</v>
      </c>
      <c r="Q213">
        <v>186.52</v>
      </c>
      <c r="R213">
        <v>9.24</v>
      </c>
      <c r="S213">
        <v>96.078500000000005</v>
      </c>
      <c r="T213">
        <v>19.763300000000001</v>
      </c>
    </row>
    <row r="214" spans="1:20" x14ac:dyDescent="0.3">
      <c r="A214" t="s">
        <v>425</v>
      </c>
      <c r="B214" t="s">
        <v>51</v>
      </c>
      <c r="C214" t="s">
        <v>426</v>
      </c>
      <c r="D214" t="s">
        <v>53</v>
      </c>
      <c r="E214" t="s">
        <v>32</v>
      </c>
      <c r="F214" t="s">
        <v>36</v>
      </c>
      <c r="G214" t="s">
        <v>26</v>
      </c>
      <c r="H214">
        <v>92.36</v>
      </c>
      <c r="I214">
        <v>7</v>
      </c>
      <c r="J214">
        <v>32.326000000000001</v>
      </c>
      <c r="K214">
        <v>646.52</v>
      </c>
      <c r="L214" s="1">
        <v>43680</v>
      </c>
      <c r="M214" s="2">
        <v>0.80347222222222225</v>
      </c>
      <c r="N214" t="s">
        <v>27</v>
      </c>
      <c r="O214">
        <v>461.8</v>
      </c>
      <c r="P214">
        <v>4.7619047620000003</v>
      </c>
      <c r="Q214">
        <v>184.72</v>
      </c>
      <c r="R214">
        <v>5.88</v>
      </c>
      <c r="S214">
        <v>96.089100000000002</v>
      </c>
      <c r="T214">
        <v>21.9588</v>
      </c>
    </row>
    <row r="215" spans="1:20" x14ac:dyDescent="0.3">
      <c r="A215" t="s">
        <v>427</v>
      </c>
      <c r="B215" t="s">
        <v>51</v>
      </c>
      <c r="C215" t="s">
        <v>428</v>
      </c>
      <c r="D215" t="s">
        <v>53</v>
      </c>
      <c r="E215" t="s">
        <v>32</v>
      </c>
      <c r="F215" t="s">
        <v>36</v>
      </c>
      <c r="G215" t="s">
        <v>26</v>
      </c>
      <c r="H215">
        <v>46.42</v>
      </c>
      <c r="I215">
        <v>4</v>
      </c>
      <c r="J215">
        <v>9.2840000000000007</v>
      </c>
      <c r="K215">
        <v>185.68</v>
      </c>
      <c r="L215" s="1">
        <v>43713</v>
      </c>
      <c r="M215" s="2">
        <v>0.55833333333333335</v>
      </c>
      <c r="N215" t="s">
        <v>37</v>
      </c>
      <c r="O215">
        <v>139.26</v>
      </c>
      <c r="P215">
        <v>4.7619047620000003</v>
      </c>
      <c r="Q215">
        <v>46.42</v>
      </c>
      <c r="R215">
        <v>5.28</v>
      </c>
      <c r="S215">
        <v>96.089100000000002</v>
      </c>
      <c r="T215">
        <v>21.9588</v>
      </c>
    </row>
    <row r="216" spans="1:20" x14ac:dyDescent="0.3">
      <c r="A216" t="s">
        <v>429</v>
      </c>
      <c r="B216" t="s">
        <v>51</v>
      </c>
      <c r="C216" t="s">
        <v>430</v>
      </c>
      <c r="D216" t="s">
        <v>53</v>
      </c>
      <c r="E216" t="s">
        <v>24</v>
      </c>
      <c r="F216" t="s">
        <v>25</v>
      </c>
      <c r="G216" t="s">
        <v>26</v>
      </c>
      <c r="H216">
        <v>29.61</v>
      </c>
      <c r="I216">
        <v>14</v>
      </c>
      <c r="J216">
        <v>20.727</v>
      </c>
      <c r="K216">
        <v>414.54</v>
      </c>
      <c r="L216" s="1">
        <v>43508</v>
      </c>
      <c r="M216" s="2">
        <v>0.66180555555555554</v>
      </c>
      <c r="N216" t="s">
        <v>33</v>
      </c>
      <c r="O216">
        <v>207.27</v>
      </c>
      <c r="P216">
        <v>4.7619047620000003</v>
      </c>
      <c r="Q216">
        <v>207.27</v>
      </c>
      <c r="R216">
        <v>7.8</v>
      </c>
      <c r="S216">
        <v>96.089100000000002</v>
      </c>
      <c r="T216">
        <v>21.9588</v>
      </c>
    </row>
    <row r="217" spans="1:20" x14ac:dyDescent="0.3">
      <c r="A217" t="s">
        <v>431</v>
      </c>
      <c r="B217" t="s">
        <v>21</v>
      </c>
      <c r="C217" t="s">
        <v>432</v>
      </c>
      <c r="D217" t="s">
        <v>23</v>
      </c>
      <c r="E217" t="s">
        <v>32</v>
      </c>
      <c r="F217" t="s">
        <v>36</v>
      </c>
      <c r="G217" t="s">
        <v>26</v>
      </c>
      <c r="H217">
        <v>18.28</v>
      </c>
      <c r="I217">
        <v>1</v>
      </c>
      <c r="J217">
        <v>0.91400000000000003</v>
      </c>
      <c r="K217">
        <v>18.28</v>
      </c>
      <c r="L217" s="1">
        <v>43771</v>
      </c>
      <c r="M217" s="2">
        <v>0.62847222222222221</v>
      </c>
      <c r="N217" t="s">
        <v>37</v>
      </c>
      <c r="O217">
        <v>18.28</v>
      </c>
      <c r="P217">
        <v>4.7619047620000003</v>
      </c>
      <c r="Q217">
        <v>0</v>
      </c>
      <c r="R217">
        <v>8.3000000000000007</v>
      </c>
      <c r="S217">
        <v>96.173500000000004</v>
      </c>
      <c r="T217">
        <v>16.840900000000001</v>
      </c>
    </row>
    <row r="218" spans="1:20" x14ac:dyDescent="0.3">
      <c r="A218" t="s">
        <v>433</v>
      </c>
      <c r="B218" t="s">
        <v>51</v>
      </c>
      <c r="C218" t="s">
        <v>361</v>
      </c>
      <c r="D218" t="s">
        <v>53</v>
      </c>
      <c r="E218" t="s">
        <v>32</v>
      </c>
      <c r="F218" t="s">
        <v>25</v>
      </c>
      <c r="G218" t="s">
        <v>26</v>
      </c>
      <c r="H218">
        <v>24.77</v>
      </c>
      <c r="I218">
        <v>7</v>
      </c>
      <c r="J218">
        <v>8.6694999999999993</v>
      </c>
      <c r="K218">
        <v>173.39</v>
      </c>
      <c r="L218" s="1">
        <v>43676</v>
      </c>
      <c r="M218" s="2">
        <v>0.76875000000000004</v>
      </c>
      <c r="N218" t="s">
        <v>33</v>
      </c>
      <c r="O218">
        <v>123.85</v>
      </c>
      <c r="P218">
        <v>4.7619047620000003</v>
      </c>
      <c r="Q218">
        <v>49.54</v>
      </c>
      <c r="R218">
        <v>10</v>
      </c>
      <c r="S218">
        <v>96.089100000000002</v>
      </c>
      <c r="T218">
        <v>21.9588</v>
      </c>
    </row>
    <row r="219" spans="1:20" x14ac:dyDescent="0.3">
      <c r="A219" t="s">
        <v>434</v>
      </c>
      <c r="B219" t="s">
        <v>21</v>
      </c>
      <c r="C219" t="s">
        <v>435</v>
      </c>
      <c r="D219" t="s">
        <v>23</v>
      </c>
      <c r="E219" t="s">
        <v>24</v>
      </c>
      <c r="F219" t="s">
        <v>25</v>
      </c>
      <c r="G219" t="s">
        <v>26</v>
      </c>
      <c r="H219">
        <v>94.64</v>
      </c>
      <c r="I219">
        <v>4</v>
      </c>
      <c r="J219">
        <v>18.928000000000001</v>
      </c>
      <c r="K219">
        <v>378.56</v>
      </c>
      <c r="L219" s="1">
        <v>43762</v>
      </c>
      <c r="M219" s="2">
        <v>0.70486111111111116</v>
      </c>
      <c r="N219" t="s">
        <v>33</v>
      </c>
      <c r="O219">
        <v>283.92</v>
      </c>
      <c r="P219">
        <v>4.7619047620000003</v>
      </c>
      <c r="Q219">
        <v>94.64</v>
      </c>
      <c r="R219">
        <v>5.5</v>
      </c>
      <c r="S219">
        <v>96.173500000000004</v>
      </c>
      <c r="T219">
        <v>16.840900000000001</v>
      </c>
    </row>
    <row r="220" spans="1:20" x14ac:dyDescent="0.3">
      <c r="A220" t="s">
        <v>436</v>
      </c>
      <c r="B220" t="s">
        <v>51</v>
      </c>
      <c r="C220" t="s">
        <v>437</v>
      </c>
      <c r="D220" t="s">
        <v>53</v>
      </c>
      <c r="E220" t="s">
        <v>32</v>
      </c>
      <c r="F220" t="s">
        <v>36</v>
      </c>
      <c r="G220" t="s">
        <v>26</v>
      </c>
      <c r="H220">
        <v>94.87</v>
      </c>
      <c r="I220">
        <v>11</v>
      </c>
      <c r="J220">
        <v>52.1785</v>
      </c>
      <c r="K220">
        <v>1043.57</v>
      </c>
      <c r="L220" s="1">
        <v>43523</v>
      </c>
      <c r="M220" s="2">
        <v>0.54027777777777775</v>
      </c>
      <c r="N220" t="s">
        <v>27</v>
      </c>
      <c r="O220">
        <v>758.96</v>
      </c>
      <c r="P220">
        <v>4.7619047620000003</v>
      </c>
      <c r="Q220">
        <v>284.61</v>
      </c>
      <c r="R220">
        <v>10</v>
      </c>
      <c r="S220">
        <v>96.089100000000002</v>
      </c>
      <c r="T220">
        <v>21.9588</v>
      </c>
    </row>
    <row r="221" spans="1:20" x14ac:dyDescent="0.3">
      <c r="A221" t="s">
        <v>438</v>
      </c>
      <c r="B221" t="s">
        <v>51</v>
      </c>
      <c r="C221" t="s">
        <v>258</v>
      </c>
      <c r="D221" t="s">
        <v>53</v>
      </c>
      <c r="E221" t="s">
        <v>32</v>
      </c>
      <c r="F221" t="s">
        <v>25</v>
      </c>
      <c r="G221" t="s">
        <v>26</v>
      </c>
      <c r="H221">
        <v>57.34</v>
      </c>
      <c r="I221">
        <v>4</v>
      </c>
      <c r="J221">
        <v>11.468</v>
      </c>
      <c r="K221">
        <v>229.36</v>
      </c>
      <c r="L221" s="1">
        <v>43474</v>
      </c>
      <c r="M221" s="2">
        <v>0.79097222222222219</v>
      </c>
      <c r="N221" t="s">
        <v>37</v>
      </c>
      <c r="O221">
        <v>172.02</v>
      </c>
      <c r="P221">
        <v>4.7619047620000003</v>
      </c>
      <c r="Q221">
        <v>57.34</v>
      </c>
      <c r="R221">
        <v>9.48</v>
      </c>
      <c r="S221">
        <v>96.089100000000002</v>
      </c>
      <c r="T221">
        <v>21.9588</v>
      </c>
    </row>
    <row r="222" spans="1:20" x14ac:dyDescent="0.3">
      <c r="A222" t="s">
        <v>439</v>
      </c>
      <c r="B222" t="s">
        <v>51</v>
      </c>
      <c r="C222" t="s">
        <v>440</v>
      </c>
      <c r="D222" t="s">
        <v>53</v>
      </c>
      <c r="E222" t="s">
        <v>32</v>
      </c>
      <c r="F222" t="s">
        <v>36</v>
      </c>
      <c r="G222" t="s">
        <v>26</v>
      </c>
      <c r="H222">
        <v>45.35</v>
      </c>
      <c r="I222">
        <v>8</v>
      </c>
      <c r="J222">
        <v>18.14</v>
      </c>
      <c r="K222">
        <v>362.8</v>
      </c>
      <c r="L222" s="1">
        <v>43680</v>
      </c>
      <c r="M222" s="2">
        <v>0.57222222222222219</v>
      </c>
      <c r="N222" t="s">
        <v>27</v>
      </c>
      <c r="O222">
        <v>272.10000000000002</v>
      </c>
      <c r="P222">
        <v>4.7619047620000003</v>
      </c>
      <c r="Q222">
        <v>90.7</v>
      </c>
      <c r="R222">
        <v>7.32</v>
      </c>
      <c r="S222">
        <v>96.089100000000002</v>
      </c>
      <c r="T222">
        <v>21.9588</v>
      </c>
    </row>
    <row r="223" spans="1:20" x14ac:dyDescent="0.3">
      <c r="A223" t="s">
        <v>441</v>
      </c>
      <c r="B223" t="s">
        <v>51</v>
      </c>
      <c r="C223" t="s">
        <v>129</v>
      </c>
      <c r="D223" t="s">
        <v>53</v>
      </c>
      <c r="E223" t="s">
        <v>32</v>
      </c>
      <c r="F223" t="s">
        <v>36</v>
      </c>
      <c r="G223" t="s">
        <v>26</v>
      </c>
      <c r="H223">
        <v>62.08</v>
      </c>
      <c r="I223">
        <v>10</v>
      </c>
      <c r="J223">
        <v>31.04</v>
      </c>
      <c r="K223">
        <v>620.79999999999995</v>
      </c>
      <c r="L223" s="1">
        <v>43722</v>
      </c>
      <c r="M223" s="2">
        <v>0.57361111111111107</v>
      </c>
      <c r="N223" t="s">
        <v>27</v>
      </c>
      <c r="O223">
        <v>434.56</v>
      </c>
      <c r="P223">
        <v>4.7619047620000003</v>
      </c>
      <c r="Q223">
        <v>186.24</v>
      </c>
      <c r="R223">
        <v>6.48</v>
      </c>
      <c r="S223">
        <v>96.089100000000002</v>
      </c>
      <c r="T223">
        <v>21.9588</v>
      </c>
    </row>
    <row r="224" spans="1:20" x14ac:dyDescent="0.3">
      <c r="A224" t="s">
        <v>442</v>
      </c>
      <c r="B224" t="s">
        <v>29</v>
      </c>
      <c r="C224" t="s">
        <v>443</v>
      </c>
      <c r="D224" t="s">
        <v>31</v>
      </c>
      <c r="E224" t="s">
        <v>32</v>
      </c>
      <c r="F224" t="s">
        <v>36</v>
      </c>
      <c r="G224" t="s">
        <v>26</v>
      </c>
      <c r="H224">
        <v>11.81</v>
      </c>
      <c r="I224">
        <v>6</v>
      </c>
      <c r="J224">
        <v>3.5430000000000001</v>
      </c>
      <c r="K224">
        <v>70.86</v>
      </c>
      <c r="L224" s="1">
        <v>43734</v>
      </c>
      <c r="M224" s="2">
        <v>0.75416666666666665</v>
      </c>
      <c r="N224" t="s">
        <v>33</v>
      </c>
      <c r="O224">
        <v>59.05</v>
      </c>
      <c r="P224">
        <v>4.7619047620000003</v>
      </c>
      <c r="Q224">
        <v>11.81</v>
      </c>
      <c r="R224">
        <v>9.8699999999999992</v>
      </c>
      <c r="S224">
        <v>96.078500000000005</v>
      </c>
      <c r="T224">
        <v>19.763300000000001</v>
      </c>
    </row>
    <row r="225" spans="1:20" x14ac:dyDescent="0.3">
      <c r="A225" t="s">
        <v>444</v>
      </c>
      <c r="B225" t="s">
        <v>29</v>
      </c>
      <c r="C225" t="s">
        <v>445</v>
      </c>
      <c r="D225" t="s">
        <v>31</v>
      </c>
      <c r="E225" t="s">
        <v>24</v>
      </c>
      <c r="F225" t="s">
        <v>25</v>
      </c>
      <c r="G225" t="s">
        <v>26</v>
      </c>
      <c r="H225">
        <v>12.54</v>
      </c>
      <c r="I225">
        <v>1</v>
      </c>
      <c r="J225">
        <v>0.627</v>
      </c>
      <c r="K225">
        <v>12.54</v>
      </c>
      <c r="L225" s="1">
        <v>43787</v>
      </c>
      <c r="M225" s="2">
        <v>0.52638888888888891</v>
      </c>
      <c r="N225" t="s">
        <v>33</v>
      </c>
      <c r="O225">
        <v>12.54</v>
      </c>
      <c r="P225">
        <v>4.7619047620000003</v>
      </c>
      <c r="Q225">
        <v>0</v>
      </c>
      <c r="R225">
        <v>8.61</v>
      </c>
      <c r="S225">
        <v>96.078500000000005</v>
      </c>
      <c r="T225">
        <v>19.763300000000001</v>
      </c>
    </row>
    <row r="226" spans="1:20" x14ac:dyDescent="0.3">
      <c r="A226" t="s">
        <v>446</v>
      </c>
      <c r="B226" t="s">
        <v>21</v>
      </c>
      <c r="C226" t="s">
        <v>447</v>
      </c>
      <c r="D226" t="s">
        <v>23</v>
      </c>
      <c r="E226" t="s">
        <v>32</v>
      </c>
      <c r="F226" t="s">
        <v>36</v>
      </c>
      <c r="G226" t="s">
        <v>26</v>
      </c>
      <c r="H226">
        <v>43.25</v>
      </c>
      <c r="I226">
        <v>2</v>
      </c>
      <c r="J226">
        <v>4.3250000000000002</v>
      </c>
      <c r="K226">
        <v>86.5</v>
      </c>
      <c r="L226" s="1">
        <v>43660</v>
      </c>
      <c r="M226" s="2">
        <v>0.66388888888888886</v>
      </c>
      <c r="N226" t="s">
        <v>33</v>
      </c>
      <c r="O226">
        <v>86.5</v>
      </c>
      <c r="P226">
        <v>4.7619047620000003</v>
      </c>
      <c r="Q226">
        <v>0</v>
      </c>
      <c r="R226">
        <v>6.2</v>
      </c>
      <c r="S226">
        <v>96.173500000000004</v>
      </c>
      <c r="T226">
        <v>16.840900000000001</v>
      </c>
    </row>
    <row r="227" spans="1:20" x14ac:dyDescent="0.3">
      <c r="A227" t="s">
        <v>448</v>
      </c>
      <c r="B227" t="s">
        <v>29</v>
      </c>
      <c r="C227" t="s">
        <v>449</v>
      </c>
      <c r="D227" t="s">
        <v>31</v>
      </c>
      <c r="E227" t="s">
        <v>24</v>
      </c>
      <c r="F227" t="s">
        <v>25</v>
      </c>
      <c r="G227" t="s">
        <v>26</v>
      </c>
      <c r="H227">
        <v>87.16</v>
      </c>
      <c r="I227">
        <v>3</v>
      </c>
      <c r="J227">
        <v>13.074</v>
      </c>
      <c r="K227">
        <v>261.48</v>
      </c>
      <c r="L227" s="1">
        <v>43785</v>
      </c>
      <c r="M227" s="2">
        <v>0.60347222222222219</v>
      </c>
      <c r="N227" t="s">
        <v>37</v>
      </c>
      <c r="O227">
        <v>174.32</v>
      </c>
      <c r="P227">
        <v>4.7619047620000003</v>
      </c>
      <c r="Q227">
        <v>87.16</v>
      </c>
      <c r="R227">
        <v>10</v>
      </c>
      <c r="S227">
        <v>96.078500000000005</v>
      </c>
      <c r="T227">
        <v>19.763300000000001</v>
      </c>
    </row>
    <row r="228" spans="1:20" x14ac:dyDescent="0.3">
      <c r="A228" t="s">
        <v>450</v>
      </c>
      <c r="B228" t="s">
        <v>51</v>
      </c>
      <c r="C228" t="s">
        <v>361</v>
      </c>
      <c r="D228" t="s">
        <v>53</v>
      </c>
      <c r="E228" t="s">
        <v>24</v>
      </c>
      <c r="F228" t="s">
        <v>36</v>
      </c>
      <c r="G228" t="s">
        <v>26</v>
      </c>
      <c r="H228">
        <v>69.37</v>
      </c>
      <c r="I228">
        <v>18</v>
      </c>
      <c r="J228">
        <v>62.433</v>
      </c>
      <c r="K228">
        <v>1248.6600000000001</v>
      </c>
      <c r="L228" s="1">
        <v>43689</v>
      </c>
      <c r="M228" s="2">
        <v>0.80138888888888893</v>
      </c>
      <c r="N228" t="s">
        <v>27</v>
      </c>
      <c r="O228">
        <v>624.33000000000004</v>
      </c>
      <c r="P228">
        <v>4.7619047620000003</v>
      </c>
      <c r="Q228">
        <v>624.33000000000004</v>
      </c>
      <c r="R228">
        <v>4.8</v>
      </c>
      <c r="S228">
        <v>96.089100000000002</v>
      </c>
      <c r="T228">
        <v>21.9588</v>
      </c>
    </row>
    <row r="229" spans="1:20" x14ac:dyDescent="0.3">
      <c r="A229" t="s">
        <v>451</v>
      </c>
      <c r="B229" t="s">
        <v>29</v>
      </c>
      <c r="C229" t="s">
        <v>452</v>
      </c>
      <c r="D229" t="s">
        <v>31</v>
      </c>
      <c r="E229" t="s">
        <v>24</v>
      </c>
      <c r="F229" t="s">
        <v>36</v>
      </c>
      <c r="G229" t="s">
        <v>26</v>
      </c>
      <c r="H229">
        <v>37.06</v>
      </c>
      <c r="I229">
        <v>7</v>
      </c>
      <c r="J229">
        <v>12.971</v>
      </c>
      <c r="K229">
        <v>259.42</v>
      </c>
      <c r="L229" s="1">
        <v>43754</v>
      </c>
      <c r="M229" s="2">
        <v>0.68333333333333335</v>
      </c>
      <c r="N229" t="s">
        <v>27</v>
      </c>
      <c r="O229">
        <v>148.24</v>
      </c>
      <c r="P229">
        <v>4.7619047620000003</v>
      </c>
      <c r="Q229">
        <v>111.18</v>
      </c>
      <c r="R229">
        <v>7.46</v>
      </c>
      <c r="S229">
        <v>96.078500000000005</v>
      </c>
      <c r="T229">
        <v>19.763300000000001</v>
      </c>
    </row>
    <row r="230" spans="1:20" x14ac:dyDescent="0.3">
      <c r="A230" t="s">
        <v>453</v>
      </c>
      <c r="B230" t="s">
        <v>51</v>
      </c>
      <c r="C230" t="s">
        <v>454</v>
      </c>
      <c r="D230" t="s">
        <v>53</v>
      </c>
      <c r="E230" t="s">
        <v>24</v>
      </c>
      <c r="F230" t="s">
        <v>25</v>
      </c>
      <c r="G230" t="s">
        <v>26</v>
      </c>
      <c r="H230">
        <v>90.7</v>
      </c>
      <c r="I230">
        <v>11</v>
      </c>
      <c r="J230">
        <v>49.884999999999998</v>
      </c>
      <c r="K230">
        <v>997.7</v>
      </c>
      <c r="L230" s="1">
        <v>43633</v>
      </c>
      <c r="M230" s="2">
        <v>0.45277777777777778</v>
      </c>
      <c r="N230" t="s">
        <v>33</v>
      </c>
      <c r="O230">
        <v>544.20000000000005</v>
      </c>
      <c r="P230">
        <v>4.7619047620000003</v>
      </c>
      <c r="Q230">
        <v>453.5</v>
      </c>
      <c r="R230">
        <v>7.46</v>
      </c>
      <c r="S230">
        <v>96.089100000000002</v>
      </c>
      <c r="T230">
        <v>21.9588</v>
      </c>
    </row>
    <row r="231" spans="1:20" x14ac:dyDescent="0.3">
      <c r="A231" t="s">
        <v>455</v>
      </c>
      <c r="B231" t="s">
        <v>21</v>
      </c>
      <c r="C231" t="s">
        <v>113</v>
      </c>
      <c r="D231" t="s">
        <v>23</v>
      </c>
      <c r="E231" t="s">
        <v>32</v>
      </c>
      <c r="F231" t="s">
        <v>25</v>
      </c>
      <c r="G231" t="s">
        <v>26</v>
      </c>
      <c r="H231">
        <v>63.42</v>
      </c>
      <c r="I231">
        <v>8</v>
      </c>
      <c r="J231">
        <v>25.367999999999999</v>
      </c>
      <c r="K231">
        <v>507.36</v>
      </c>
      <c r="L231" s="1">
        <v>43661</v>
      </c>
      <c r="M231" s="2">
        <v>0.53819444444444442</v>
      </c>
      <c r="N231" t="s">
        <v>27</v>
      </c>
      <c r="O231">
        <v>507.36</v>
      </c>
      <c r="P231">
        <v>4.7619047620000003</v>
      </c>
      <c r="Q231">
        <v>0</v>
      </c>
      <c r="R231">
        <v>7.46</v>
      </c>
      <c r="S231">
        <v>96.173500000000004</v>
      </c>
      <c r="T231">
        <v>16.840900000000001</v>
      </c>
    </row>
    <row r="232" spans="1:20" x14ac:dyDescent="0.3">
      <c r="A232" t="s">
        <v>456</v>
      </c>
      <c r="B232" t="s">
        <v>51</v>
      </c>
      <c r="C232" t="s">
        <v>104</v>
      </c>
      <c r="D232" t="s">
        <v>53</v>
      </c>
      <c r="E232" t="s">
        <v>32</v>
      </c>
      <c r="F232" t="s">
        <v>25</v>
      </c>
      <c r="G232" t="s">
        <v>26</v>
      </c>
      <c r="H232">
        <v>81.37</v>
      </c>
      <c r="I232">
        <v>3</v>
      </c>
      <c r="J232">
        <v>12.205500000000001</v>
      </c>
      <c r="K232">
        <v>244.11</v>
      </c>
      <c r="L232" s="1">
        <v>43514</v>
      </c>
      <c r="M232" s="2">
        <v>0.81111111111111112</v>
      </c>
      <c r="N232" t="s">
        <v>33</v>
      </c>
      <c r="O232">
        <v>162.74</v>
      </c>
      <c r="P232">
        <v>4.7619047620000003</v>
      </c>
      <c r="Q232">
        <v>81.37</v>
      </c>
      <c r="R232">
        <v>7.46</v>
      </c>
      <c r="S232">
        <v>96.089100000000002</v>
      </c>
      <c r="T232">
        <v>21.9588</v>
      </c>
    </row>
    <row r="233" spans="1:20" x14ac:dyDescent="0.3">
      <c r="A233" t="s">
        <v>457</v>
      </c>
      <c r="B233" t="s">
        <v>51</v>
      </c>
      <c r="C233" t="s">
        <v>458</v>
      </c>
      <c r="D233" t="s">
        <v>53</v>
      </c>
      <c r="E233" t="s">
        <v>24</v>
      </c>
      <c r="F233" t="s">
        <v>25</v>
      </c>
      <c r="G233" t="s">
        <v>26</v>
      </c>
      <c r="H233">
        <v>10.59</v>
      </c>
      <c r="I233">
        <v>6</v>
      </c>
      <c r="J233">
        <v>3.177</v>
      </c>
      <c r="K233">
        <v>63.54</v>
      </c>
      <c r="L233" s="1">
        <v>43788</v>
      </c>
      <c r="M233" s="2">
        <v>0.57777777777777772</v>
      </c>
      <c r="N233" t="s">
        <v>37</v>
      </c>
      <c r="O233">
        <v>31.77</v>
      </c>
      <c r="P233">
        <v>4.7619047620000003</v>
      </c>
      <c r="Q233">
        <v>31.77</v>
      </c>
      <c r="R233">
        <v>7.46</v>
      </c>
      <c r="S233">
        <v>96.089100000000002</v>
      </c>
      <c r="T233">
        <v>21.9588</v>
      </c>
    </row>
    <row r="234" spans="1:20" x14ac:dyDescent="0.3">
      <c r="A234" t="s">
        <v>459</v>
      </c>
      <c r="B234" t="s">
        <v>51</v>
      </c>
      <c r="C234" t="s">
        <v>52</v>
      </c>
      <c r="D234" t="s">
        <v>53</v>
      </c>
      <c r="E234" t="s">
        <v>32</v>
      </c>
      <c r="F234" t="s">
        <v>25</v>
      </c>
      <c r="G234" t="s">
        <v>26</v>
      </c>
      <c r="H234">
        <v>84.09</v>
      </c>
      <c r="I234">
        <v>13</v>
      </c>
      <c r="J234">
        <v>54.658499999999997</v>
      </c>
      <c r="K234">
        <v>1093.17</v>
      </c>
      <c r="L234" s="1">
        <v>43792</v>
      </c>
      <c r="M234" s="2">
        <v>0.45416666666666666</v>
      </c>
      <c r="N234" t="s">
        <v>33</v>
      </c>
      <c r="O234">
        <v>756.81</v>
      </c>
      <c r="P234">
        <v>4.7619047620000003</v>
      </c>
      <c r="Q234">
        <v>336.36</v>
      </c>
      <c r="R234">
        <v>7.46</v>
      </c>
      <c r="S234">
        <v>96.089100000000002</v>
      </c>
      <c r="T234">
        <v>21.9588</v>
      </c>
    </row>
    <row r="235" spans="1:20" x14ac:dyDescent="0.3">
      <c r="A235" t="s">
        <v>460</v>
      </c>
      <c r="B235" t="s">
        <v>51</v>
      </c>
      <c r="C235" t="s">
        <v>215</v>
      </c>
      <c r="D235" t="s">
        <v>53</v>
      </c>
      <c r="E235" t="s">
        <v>24</v>
      </c>
      <c r="F235" t="s">
        <v>36</v>
      </c>
      <c r="G235" t="s">
        <v>26</v>
      </c>
      <c r="H235">
        <v>73.819999999999993</v>
      </c>
      <c r="I235">
        <v>8</v>
      </c>
      <c r="J235">
        <v>29.527999999999999</v>
      </c>
      <c r="K235">
        <v>590.55999999999995</v>
      </c>
      <c r="L235" s="1">
        <v>43813</v>
      </c>
      <c r="M235" s="2">
        <v>0.77152777777777781</v>
      </c>
      <c r="N235" t="s">
        <v>33</v>
      </c>
      <c r="O235">
        <v>295.27999999999997</v>
      </c>
      <c r="P235">
        <v>4.7619047620000003</v>
      </c>
      <c r="Q235">
        <v>295.27999999999997</v>
      </c>
      <c r="R235">
        <v>7.46</v>
      </c>
      <c r="S235">
        <v>96.089100000000002</v>
      </c>
      <c r="T235">
        <v>21.9588</v>
      </c>
    </row>
    <row r="236" spans="1:20" x14ac:dyDescent="0.3">
      <c r="A236" t="s">
        <v>461</v>
      </c>
      <c r="B236" t="s">
        <v>21</v>
      </c>
      <c r="C236" t="s">
        <v>462</v>
      </c>
      <c r="D236" t="s">
        <v>23</v>
      </c>
      <c r="E236" t="s">
        <v>32</v>
      </c>
      <c r="F236" t="s">
        <v>36</v>
      </c>
      <c r="G236" t="s">
        <v>26</v>
      </c>
      <c r="H236">
        <v>51.94</v>
      </c>
      <c r="I236">
        <v>10</v>
      </c>
      <c r="J236">
        <f t="shared" ref="J236:J238" si="7">K236*5%</f>
        <v>25.97</v>
      </c>
      <c r="K236">
        <v>519.4</v>
      </c>
      <c r="L236" s="1">
        <v>43484</v>
      </c>
      <c r="M236" s="2">
        <v>0.76666666666666672</v>
      </c>
      <c r="N236" t="s">
        <v>27</v>
      </c>
      <c r="O236">
        <v>519.4</v>
      </c>
      <c r="P236">
        <v>4.7619047620000003</v>
      </c>
      <c r="Q236">
        <v>0</v>
      </c>
      <c r="R236">
        <v>7.46</v>
      </c>
      <c r="S236">
        <v>96.173500000000004</v>
      </c>
      <c r="T236">
        <v>16.840900000000001</v>
      </c>
    </row>
    <row r="237" spans="1:20" x14ac:dyDescent="0.3">
      <c r="A237" t="s">
        <v>463</v>
      </c>
      <c r="B237" t="s">
        <v>21</v>
      </c>
      <c r="C237" t="s">
        <v>464</v>
      </c>
      <c r="D237" t="s">
        <v>23</v>
      </c>
      <c r="E237" t="s">
        <v>32</v>
      </c>
      <c r="F237" t="s">
        <v>25</v>
      </c>
      <c r="G237" t="s">
        <v>26</v>
      </c>
      <c r="H237">
        <v>93.14</v>
      </c>
      <c r="I237">
        <v>2</v>
      </c>
      <c r="J237">
        <f t="shared" si="7"/>
        <v>9.3140000000000001</v>
      </c>
      <c r="K237">
        <v>186.28</v>
      </c>
      <c r="L237" s="1">
        <v>43511</v>
      </c>
      <c r="M237" s="2">
        <v>0.75624999999999998</v>
      </c>
      <c r="N237" t="s">
        <v>27</v>
      </c>
      <c r="O237">
        <v>186.28</v>
      </c>
      <c r="P237">
        <v>4.7619047620000003</v>
      </c>
      <c r="Q237">
        <v>0</v>
      </c>
      <c r="R237">
        <v>7.46</v>
      </c>
      <c r="S237">
        <v>96.173500000000004</v>
      </c>
      <c r="T237">
        <v>16.840900000000001</v>
      </c>
    </row>
    <row r="238" spans="1:20" x14ac:dyDescent="0.3">
      <c r="A238" t="s">
        <v>465</v>
      </c>
      <c r="B238" t="s">
        <v>29</v>
      </c>
      <c r="C238" t="s">
        <v>466</v>
      </c>
      <c r="D238" t="s">
        <v>31</v>
      </c>
      <c r="E238" t="s">
        <v>32</v>
      </c>
      <c r="F238" t="s">
        <v>36</v>
      </c>
      <c r="G238" t="s">
        <v>26</v>
      </c>
      <c r="H238">
        <v>17.41</v>
      </c>
      <c r="I238">
        <v>6</v>
      </c>
      <c r="J238">
        <f t="shared" si="7"/>
        <v>5.2229999999999999</v>
      </c>
      <c r="K238">
        <v>104.46</v>
      </c>
      <c r="L238" s="1">
        <v>43570</v>
      </c>
      <c r="M238" s="2">
        <v>0.63611111111111107</v>
      </c>
      <c r="N238" t="s">
        <v>37</v>
      </c>
      <c r="O238">
        <v>87.05</v>
      </c>
      <c r="P238">
        <v>4.7619047620000003</v>
      </c>
      <c r="Q238">
        <v>17.41</v>
      </c>
      <c r="R238">
        <v>7.46</v>
      </c>
      <c r="S238">
        <v>96.078500000000005</v>
      </c>
      <c r="T238">
        <v>19.763300000000001</v>
      </c>
    </row>
    <row r="239" spans="1:20" x14ac:dyDescent="0.3">
      <c r="A239" t="s">
        <v>467</v>
      </c>
      <c r="B239" t="s">
        <v>29</v>
      </c>
      <c r="C239" t="s">
        <v>199</v>
      </c>
      <c r="D239" t="s">
        <v>31</v>
      </c>
      <c r="E239" t="s">
        <v>32</v>
      </c>
      <c r="F239" t="s">
        <v>25</v>
      </c>
      <c r="G239" t="s">
        <v>26</v>
      </c>
      <c r="H239">
        <v>44.22</v>
      </c>
      <c r="I239">
        <v>6</v>
      </c>
      <c r="J239">
        <v>13.266</v>
      </c>
      <c r="K239">
        <v>265.32</v>
      </c>
      <c r="L239" s="1">
        <v>43569</v>
      </c>
      <c r="M239" s="2">
        <v>0.71319444444444446</v>
      </c>
      <c r="N239" t="s">
        <v>37</v>
      </c>
      <c r="O239">
        <v>221.1</v>
      </c>
      <c r="P239">
        <v>4.7619047620000003</v>
      </c>
      <c r="Q239">
        <v>44.22</v>
      </c>
      <c r="R239">
        <v>7.46</v>
      </c>
      <c r="S239">
        <v>96.078500000000005</v>
      </c>
      <c r="T239">
        <v>19.763300000000001</v>
      </c>
    </row>
    <row r="240" spans="1:20" x14ac:dyDescent="0.3">
      <c r="A240" t="s">
        <v>468</v>
      </c>
      <c r="B240" t="s">
        <v>51</v>
      </c>
      <c r="C240" t="s">
        <v>469</v>
      </c>
      <c r="D240" t="s">
        <v>53</v>
      </c>
      <c r="E240" t="s">
        <v>32</v>
      </c>
      <c r="F240" t="s">
        <v>25</v>
      </c>
      <c r="G240" t="s">
        <v>26</v>
      </c>
      <c r="H240">
        <v>13.22</v>
      </c>
      <c r="I240">
        <v>7</v>
      </c>
      <c r="J240">
        <v>4.6269999999999998</v>
      </c>
      <c r="K240">
        <v>92.54</v>
      </c>
      <c r="L240" s="1">
        <v>43539</v>
      </c>
      <c r="M240" s="2">
        <v>0.80972222222222223</v>
      </c>
      <c r="N240" t="s">
        <v>33</v>
      </c>
      <c r="O240">
        <v>66.099999999999994</v>
      </c>
      <c r="P240">
        <v>4.7619047620000003</v>
      </c>
      <c r="Q240">
        <v>26.44</v>
      </c>
      <c r="R240">
        <v>5.16</v>
      </c>
      <c r="S240">
        <v>96.089100000000002</v>
      </c>
      <c r="T240">
        <v>21.9588</v>
      </c>
    </row>
    <row r="241" spans="1:20" x14ac:dyDescent="0.3">
      <c r="A241" t="s">
        <v>470</v>
      </c>
      <c r="B241" t="s">
        <v>21</v>
      </c>
      <c r="C241" t="s">
        <v>89</v>
      </c>
      <c r="D241" t="s">
        <v>23</v>
      </c>
      <c r="E241" t="s">
        <v>32</v>
      </c>
      <c r="F241" t="s">
        <v>36</v>
      </c>
      <c r="G241" t="s">
        <v>26</v>
      </c>
      <c r="H241">
        <v>89.69</v>
      </c>
      <c r="I241">
        <v>1</v>
      </c>
      <c r="J241">
        <v>4.4844999999999997</v>
      </c>
      <c r="K241">
        <v>89.69</v>
      </c>
      <c r="L241" s="1">
        <v>43550</v>
      </c>
      <c r="M241" s="2">
        <v>0.47222222222222221</v>
      </c>
      <c r="N241" t="s">
        <v>27</v>
      </c>
      <c r="O241">
        <v>89.69</v>
      </c>
      <c r="P241">
        <v>4.7619047620000003</v>
      </c>
      <c r="Q241">
        <v>0</v>
      </c>
      <c r="R241">
        <v>4.9000000000000004</v>
      </c>
      <c r="S241">
        <v>96.173500000000004</v>
      </c>
      <c r="T241">
        <v>16.840900000000001</v>
      </c>
    </row>
    <row r="242" spans="1:20" x14ac:dyDescent="0.3">
      <c r="A242" t="s">
        <v>471</v>
      </c>
      <c r="B242" t="s">
        <v>21</v>
      </c>
      <c r="C242" t="s">
        <v>472</v>
      </c>
      <c r="D242" t="s">
        <v>23</v>
      </c>
      <c r="E242" t="s">
        <v>32</v>
      </c>
      <c r="F242" t="s">
        <v>36</v>
      </c>
      <c r="G242" t="s">
        <v>26</v>
      </c>
      <c r="H242">
        <v>24.94</v>
      </c>
      <c r="I242">
        <v>9</v>
      </c>
      <c r="J242">
        <v>11.223000000000001</v>
      </c>
      <c r="K242">
        <v>224.46</v>
      </c>
      <c r="L242" s="1">
        <v>43630</v>
      </c>
      <c r="M242" s="2">
        <v>0.7006944444444444</v>
      </c>
      <c r="N242" t="s">
        <v>37</v>
      </c>
      <c r="O242">
        <v>224.46</v>
      </c>
      <c r="P242">
        <v>4.7619047620000003</v>
      </c>
      <c r="Q242">
        <v>0</v>
      </c>
      <c r="R242">
        <v>5.6</v>
      </c>
      <c r="S242">
        <v>96.173500000000004</v>
      </c>
      <c r="T242">
        <v>16.840900000000001</v>
      </c>
    </row>
    <row r="243" spans="1:20" x14ac:dyDescent="0.3">
      <c r="A243" t="s">
        <v>473</v>
      </c>
      <c r="B243" t="s">
        <v>21</v>
      </c>
      <c r="C243" t="s">
        <v>59</v>
      </c>
      <c r="D243" t="s">
        <v>23</v>
      </c>
      <c r="E243" t="s">
        <v>32</v>
      </c>
      <c r="F243" t="s">
        <v>36</v>
      </c>
      <c r="G243" t="s">
        <v>26</v>
      </c>
      <c r="H243">
        <v>59.77</v>
      </c>
      <c r="I243">
        <v>2</v>
      </c>
      <c r="J243">
        <v>5.9770000000000003</v>
      </c>
      <c r="K243">
        <v>119.54</v>
      </c>
      <c r="L243" s="1">
        <v>43654</v>
      </c>
      <c r="M243" s="2">
        <v>0.50069444444444444</v>
      </c>
      <c r="N243" t="s">
        <v>37</v>
      </c>
      <c r="O243">
        <v>119.54</v>
      </c>
      <c r="P243">
        <v>4.7619047620000003</v>
      </c>
      <c r="Q243">
        <v>0</v>
      </c>
      <c r="R243">
        <v>5.8</v>
      </c>
      <c r="S243">
        <v>96.173500000000004</v>
      </c>
      <c r="T243">
        <v>16.840900000000001</v>
      </c>
    </row>
    <row r="244" spans="1:20" x14ac:dyDescent="0.3">
      <c r="A244" t="s">
        <v>474</v>
      </c>
      <c r="B244" t="s">
        <v>29</v>
      </c>
      <c r="C244" t="s">
        <v>475</v>
      </c>
      <c r="D244" t="s">
        <v>31</v>
      </c>
      <c r="E244" t="s">
        <v>32</v>
      </c>
      <c r="F244" t="s">
        <v>36</v>
      </c>
      <c r="G244" t="s">
        <v>26</v>
      </c>
      <c r="H244">
        <v>93.2</v>
      </c>
      <c r="I244">
        <v>2</v>
      </c>
      <c r="J244">
        <v>9.32</v>
      </c>
      <c r="K244">
        <v>186.4</v>
      </c>
      <c r="L244" s="1">
        <v>43732</v>
      </c>
      <c r="M244" s="2">
        <v>0.77569444444444446</v>
      </c>
      <c r="N244" t="s">
        <v>37</v>
      </c>
      <c r="O244">
        <v>186.4</v>
      </c>
      <c r="P244">
        <v>4.7619047620000003</v>
      </c>
      <c r="Q244">
        <v>0</v>
      </c>
      <c r="R244">
        <v>6.3</v>
      </c>
      <c r="S244">
        <v>96.078500000000005</v>
      </c>
      <c r="T244">
        <v>19.763300000000001</v>
      </c>
    </row>
    <row r="245" spans="1:20" x14ac:dyDescent="0.3">
      <c r="A245" t="s">
        <v>476</v>
      </c>
      <c r="B245" t="s">
        <v>21</v>
      </c>
      <c r="C245" t="s">
        <v>477</v>
      </c>
      <c r="D245" t="s">
        <v>23</v>
      </c>
      <c r="E245" t="s">
        <v>32</v>
      </c>
      <c r="F245" t="s">
        <v>36</v>
      </c>
      <c r="G245" t="s">
        <v>26</v>
      </c>
      <c r="H245">
        <v>62.65</v>
      </c>
      <c r="I245">
        <v>4</v>
      </c>
      <c r="J245">
        <v>12.53</v>
      </c>
      <c r="K245">
        <v>250.6</v>
      </c>
      <c r="L245" s="1">
        <v>43684</v>
      </c>
      <c r="M245" s="2">
        <v>0.47569444444444442</v>
      </c>
      <c r="N245" t="s">
        <v>33</v>
      </c>
      <c r="O245">
        <v>250.6</v>
      </c>
      <c r="P245">
        <v>4.7619047620000003</v>
      </c>
      <c r="Q245">
        <v>0</v>
      </c>
      <c r="R245">
        <v>4.2</v>
      </c>
      <c r="S245">
        <v>96.173500000000004</v>
      </c>
      <c r="T245">
        <v>16.840900000000001</v>
      </c>
    </row>
    <row r="246" spans="1:20" x14ac:dyDescent="0.3">
      <c r="A246" t="s">
        <v>478</v>
      </c>
      <c r="B246" t="s">
        <v>51</v>
      </c>
      <c r="C246" t="s">
        <v>479</v>
      </c>
      <c r="D246" t="s">
        <v>53</v>
      </c>
      <c r="E246" t="s">
        <v>32</v>
      </c>
      <c r="F246" t="s">
        <v>36</v>
      </c>
      <c r="G246" t="s">
        <v>26</v>
      </c>
      <c r="H246">
        <v>93.87</v>
      </c>
      <c r="I246">
        <v>11</v>
      </c>
      <c r="J246">
        <v>51.628500000000003</v>
      </c>
      <c r="K246">
        <v>1032.57</v>
      </c>
      <c r="L246" s="1">
        <v>43471</v>
      </c>
      <c r="M246" s="2">
        <v>0.77916666666666667</v>
      </c>
      <c r="N246" t="s">
        <v>37</v>
      </c>
      <c r="O246">
        <v>750.96</v>
      </c>
      <c r="P246">
        <v>4.7619047620000003</v>
      </c>
      <c r="Q246">
        <v>281.61</v>
      </c>
      <c r="R246">
        <v>9.9600000000000009</v>
      </c>
      <c r="S246">
        <v>96.089100000000002</v>
      </c>
      <c r="T246">
        <v>21.9588</v>
      </c>
    </row>
    <row r="247" spans="1:20" x14ac:dyDescent="0.3">
      <c r="A247" t="s">
        <v>480</v>
      </c>
      <c r="B247" t="s">
        <v>21</v>
      </c>
      <c r="C247" t="s">
        <v>481</v>
      </c>
      <c r="D247" t="s">
        <v>23</v>
      </c>
      <c r="E247" t="s">
        <v>32</v>
      </c>
      <c r="F247" t="s">
        <v>36</v>
      </c>
      <c r="G247" t="s">
        <v>26</v>
      </c>
      <c r="H247">
        <v>47.59</v>
      </c>
      <c r="I247">
        <v>8</v>
      </c>
      <c r="J247">
        <v>19.036000000000001</v>
      </c>
      <c r="K247">
        <v>380.72</v>
      </c>
      <c r="L247" s="1">
        <v>43693</v>
      </c>
      <c r="M247" s="2">
        <v>0.61597222222222225</v>
      </c>
      <c r="N247" t="s">
        <v>33</v>
      </c>
      <c r="O247">
        <v>380.72</v>
      </c>
      <c r="P247">
        <v>4.7619047620000003</v>
      </c>
      <c r="Q247">
        <v>0</v>
      </c>
      <c r="R247">
        <v>5.7</v>
      </c>
      <c r="S247">
        <v>96.173500000000004</v>
      </c>
      <c r="T247">
        <v>16.840900000000001</v>
      </c>
    </row>
    <row r="248" spans="1:20" x14ac:dyDescent="0.3">
      <c r="A248" t="s">
        <v>482</v>
      </c>
      <c r="B248" t="s">
        <v>51</v>
      </c>
      <c r="C248" t="s">
        <v>331</v>
      </c>
      <c r="D248" t="s">
        <v>53</v>
      </c>
      <c r="E248" t="s">
        <v>32</v>
      </c>
      <c r="F248" t="s">
        <v>25</v>
      </c>
      <c r="G248" t="s">
        <v>26</v>
      </c>
      <c r="H248">
        <v>81.400000000000006</v>
      </c>
      <c r="I248">
        <v>4</v>
      </c>
      <c r="J248">
        <v>16.28</v>
      </c>
      <c r="K248">
        <v>325.60000000000002</v>
      </c>
      <c r="L248" s="1">
        <v>43785</v>
      </c>
      <c r="M248" s="2">
        <v>0.82152777777777775</v>
      </c>
      <c r="N248" t="s">
        <v>33</v>
      </c>
      <c r="O248">
        <v>244.2</v>
      </c>
      <c r="P248">
        <v>4.7619047620000003</v>
      </c>
      <c r="Q248">
        <v>81.400000000000006</v>
      </c>
      <c r="R248">
        <v>5.76</v>
      </c>
      <c r="S248">
        <v>96.089100000000002</v>
      </c>
      <c r="T248">
        <v>21.9588</v>
      </c>
    </row>
    <row r="249" spans="1:20" x14ac:dyDescent="0.3">
      <c r="A249" t="s">
        <v>483</v>
      </c>
      <c r="B249" t="s">
        <v>21</v>
      </c>
      <c r="C249" t="s">
        <v>484</v>
      </c>
      <c r="D249" t="s">
        <v>23</v>
      </c>
      <c r="E249" t="s">
        <v>32</v>
      </c>
      <c r="F249" t="s">
        <v>36</v>
      </c>
      <c r="G249" t="s">
        <v>26</v>
      </c>
      <c r="H249">
        <v>17.940000000000001</v>
      </c>
      <c r="I249">
        <v>5</v>
      </c>
      <c r="J249">
        <v>4.4850000000000003</v>
      </c>
      <c r="K249">
        <v>89.7</v>
      </c>
      <c r="L249" s="1">
        <v>43582</v>
      </c>
      <c r="M249" s="2">
        <v>0.58611111111111114</v>
      </c>
      <c r="N249" t="s">
        <v>27</v>
      </c>
      <c r="O249">
        <v>89.7</v>
      </c>
      <c r="P249">
        <v>4.7619047620000003</v>
      </c>
      <c r="Q249">
        <v>0</v>
      </c>
      <c r="R249">
        <v>6.8</v>
      </c>
      <c r="S249">
        <v>96.173500000000004</v>
      </c>
      <c r="T249">
        <v>16.840900000000001</v>
      </c>
    </row>
    <row r="250" spans="1:20" x14ac:dyDescent="0.3">
      <c r="A250" t="s">
        <v>485</v>
      </c>
      <c r="B250" t="s">
        <v>21</v>
      </c>
      <c r="C250" t="s">
        <v>486</v>
      </c>
      <c r="D250" t="s">
        <v>23</v>
      </c>
      <c r="E250" t="s">
        <v>32</v>
      </c>
      <c r="F250" t="s">
        <v>25</v>
      </c>
      <c r="G250" t="s">
        <v>26</v>
      </c>
      <c r="H250">
        <v>77.72</v>
      </c>
      <c r="I250">
        <v>4</v>
      </c>
      <c r="J250">
        <v>15.544</v>
      </c>
      <c r="K250">
        <v>310.88</v>
      </c>
      <c r="L250" s="1">
        <v>43783</v>
      </c>
      <c r="M250" s="2">
        <v>0.6743055555555556</v>
      </c>
      <c r="N250" t="s">
        <v>37</v>
      </c>
      <c r="O250">
        <v>310.88</v>
      </c>
      <c r="P250">
        <v>4.7619047620000003</v>
      </c>
      <c r="Q250">
        <v>0</v>
      </c>
      <c r="R250">
        <v>8.8000000000000007</v>
      </c>
      <c r="S250">
        <v>96.173500000000004</v>
      </c>
      <c r="T250">
        <v>16.840900000000001</v>
      </c>
    </row>
    <row r="251" spans="1:20" x14ac:dyDescent="0.3">
      <c r="A251" t="s">
        <v>487</v>
      </c>
      <c r="B251" t="s">
        <v>51</v>
      </c>
      <c r="C251" t="s">
        <v>83</v>
      </c>
      <c r="D251" t="s">
        <v>53</v>
      </c>
      <c r="E251" t="s">
        <v>32</v>
      </c>
      <c r="F251" t="s">
        <v>25</v>
      </c>
      <c r="G251" t="s">
        <v>26</v>
      </c>
      <c r="H251">
        <v>73.06</v>
      </c>
      <c r="I251">
        <v>10</v>
      </c>
      <c r="J251">
        <v>36.53</v>
      </c>
      <c r="K251">
        <v>730.6</v>
      </c>
      <c r="L251" s="1">
        <v>43824</v>
      </c>
      <c r="M251" s="2">
        <v>0.79583333333333328</v>
      </c>
      <c r="N251" t="s">
        <v>37</v>
      </c>
      <c r="O251">
        <v>511.42</v>
      </c>
      <c r="P251">
        <v>4.7619047620000003</v>
      </c>
      <c r="Q251">
        <v>219.18</v>
      </c>
      <c r="R251">
        <v>5.04</v>
      </c>
      <c r="S251">
        <v>96.089100000000002</v>
      </c>
      <c r="T251">
        <v>21.9588</v>
      </c>
    </row>
    <row r="252" spans="1:20" x14ac:dyDescent="0.3">
      <c r="A252" t="s">
        <v>488</v>
      </c>
      <c r="B252" t="s">
        <v>21</v>
      </c>
      <c r="C252" t="s">
        <v>489</v>
      </c>
      <c r="D252" t="s">
        <v>53</v>
      </c>
      <c r="E252" t="s">
        <v>32</v>
      </c>
      <c r="F252" t="s">
        <v>25</v>
      </c>
      <c r="G252" t="s">
        <v>26</v>
      </c>
      <c r="H252">
        <v>46.55</v>
      </c>
      <c r="I252">
        <v>13</v>
      </c>
      <c r="J252">
        <v>30.2575</v>
      </c>
      <c r="K252">
        <v>605.15</v>
      </c>
      <c r="L252" s="1">
        <v>43713</v>
      </c>
      <c r="M252" s="2">
        <v>0.64861111111111114</v>
      </c>
      <c r="N252" t="s">
        <v>27</v>
      </c>
      <c r="O252">
        <v>418.95</v>
      </c>
      <c r="P252">
        <v>4.7619047620000003</v>
      </c>
      <c r="Q252">
        <v>186.2</v>
      </c>
      <c r="R252">
        <v>7.68</v>
      </c>
      <c r="S252">
        <v>96.089100000000002</v>
      </c>
      <c r="T252">
        <v>21.9588</v>
      </c>
    </row>
    <row r="253" spans="1:20" x14ac:dyDescent="0.3">
      <c r="A253" t="s">
        <v>490</v>
      </c>
      <c r="B253" t="s">
        <v>21</v>
      </c>
      <c r="C253" t="s">
        <v>491</v>
      </c>
      <c r="D253" t="s">
        <v>31</v>
      </c>
      <c r="E253" t="s">
        <v>32</v>
      </c>
      <c r="F253" t="s">
        <v>36</v>
      </c>
      <c r="G253" t="s">
        <v>26</v>
      </c>
      <c r="H253">
        <v>35.19</v>
      </c>
      <c r="I253">
        <v>12</v>
      </c>
      <c r="J253">
        <v>21.114000000000001</v>
      </c>
      <c r="K253">
        <v>422.28</v>
      </c>
      <c r="L253" s="1">
        <v>43761</v>
      </c>
      <c r="M253" s="2">
        <v>0.79583333333333328</v>
      </c>
      <c r="N253" t="s">
        <v>37</v>
      </c>
      <c r="O253">
        <v>351.9</v>
      </c>
      <c r="P253">
        <v>4.7619047620000003</v>
      </c>
      <c r="Q253">
        <v>70.38</v>
      </c>
      <c r="R253">
        <v>8.82</v>
      </c>
      <c r="S253">
        <v>96.078500000000005</v>
      </c>
      <c r="T253">
        <v>19.763300000000001</v>
      </c>
    </row>
    <row r="254" spans="1:20" x14ac:dyDescent="0.3">
      <c r="A254" t="s">
        <v>492</v>
      </c>
      <c r="B254" t="s">
        <v>21</v>
      </c>
      <c r="C254" t="s">
        <v>493</v>
      </c>
      <c r="D254" t="s">
        <v>31</v>
      </c>
      <c r="E254" t="s">
        <v>32</v>
      </c>
      <c r="F254" t="s">
        <v>25</v>
      </c>
      <c r="G254" t="s">
        <v>26</v>
      </c>
      <c r="H254">
        <v>14.39</v>
      </c>
      <c r="I254">
        <v>2</v>
      </c>
      <c r="J254">
        <v>1.4390000000000001</v>
      </c>
      <c r="K254">
        <v>28.78</v>
      </c>
      <c r="L254" s="1">
        <v>43606</v>
      </c>
      <c r="M254" s="2">
        <v>0.82222222222222219</v>
      </c>
      <c r="N254" t="s">
        <v>37</v>
      </c>
      <c r="O254">
        <v>28.78</v>
      </c>
      <c r="P254">
        <v>4.7619047620000003</v>
      </c>
      <c r="Q254">
        <v>0</v>
      </c>
      <c r="R254">
        <v>7.56</v>
      </c>
      <c r="S254">
        <v>96.078500000000005</v>
      </c>
      <c r="T254">
        <v>19.763300000000001</v>
      </c>
    </row>
    <row r="255" spans="1:20" x14ac:dyDescent="0.3">
      <c r="A255" t="s">
        <v>494</v>
      </c>
      <c r="B255" t="s">
        <v>21</v>
      </c>
      <c r="C255" t="s">
        <v>495</v>
      </c>
      <c r="D255" t="s">
        <v>23</v>
      </c>
      <c r="E255" t="s">
        <v>32</v>
      </c>
      <c r="F255" t="s">
        <v>36</v>
      </c>
      <c r="G255" t="s">
        <v>26</v>
      </c>
      <c r="H255">
        <v>23.75</v>
      </c>
      <c r="I255">
        <v>4</v>
      </c>
      <c r="J255">
        <v>4.75</v>
      </c>
      <c r="K255">
        <v>95</v>
      </c>
      <c r="L255" s="1">
        <v>43515</v>
      </c>
      <c r="M255" s="2">
        <v>0.47361111111111109</v>
      </c>
      <c r="N255" t="s">
        <v>33</v>
      </c>
      <c r="O255">
        <v>95</v>
      </c>
      <c r="P255">
        <v>4.7619047620000003</v>
      </c>
      <c r="Q255">
        <v>0</v>
      </c>
      <c r="R255">
        <v>5.2</v>
      </c>
      <c r="S255">
        <v>96.173500000000004</v>
      </c>
      <c r="T255">
        <v>16.840900000000001</v>
      </c>
    </row>
    <row r="256" spans="1:20" x14ac:dyDescent="0.3">
      <c r="A256" t="s">
        <v>496</v>
      </c>
      <c r="B256" t="s">
        <v>21</v>
      </c>
      <c r="C256" t="s">
        <v>311</v>
      </c>
      <c r="D256" t="s">
        <v>23</v>
      </c>
      <c r="E256" t="s">
        <v>32</v>
      </c>
      <c r="F256" t="s">
        <v>36</v>
      </c>
      <c r="G256" t="s">
        <v>26</v>
      </c>
      <c r="H256">
        <v>58.9</v>
      </c>
      <c r="I256">
        <v>8</v>
      </c>
      <c r="J256">
        <v>23.56</v>
      </c>
      <c r="K256">
        <v>471.2</v>
      </c>
      <c r="L256" s="1">
        <v>43720</v>
      </c>
      <c r="M256" s="2">
        <v>0.47430555555555554</v>
      </c>
      <c r="N256" t="s">
        <v>33</v>
      </c>
      <c r="O256">
        <v>471.2</v>
      </c>
      <c r="P256">
        <v>4.7619047620000003</v>
      </c>
      <c r="Q256">
        <v>0</v>
      </c>
      <c r="R256">
        <v>8.9</v>
      </c>
      <c r="S256">
        <v>96.173500000000004</v>
      </c>
      <c r="T256">
        <v>16.840900000000001</v>
      </c>
    </row>
    <row r="257" spans="1:20" x14ac:dyDescent="0.3">
      <c r="A257" t="s">
        <v>497</v>
      </c>
      <c r="B257" t="s">
        <v>21</v>
      </c>
      <c r="C257" t="s">
        <v>498</v>
      </c>
      <c r="D257" t="s">
        <v>53</v>
      </c>
      <c r="E257" t="s">
        <v>32</v>
      </c>
      <c r="F257" t="s">
        <v>36</v>
      </c>
      <c r="G257" t="s">
        <v>26</v>
      </c>
      <c r="H257">
        <v>32.619999999999997</v>
      </c>
      <c r="I257">
        <v>6</v>
      </c>
      <c r="J257">
        <v>9.7859999999999996</v>
      </c>
      <c r="K257">
        <v>195.72</v>
      </c>
      <c r="L257" s="1">
        <v>43637</v>
      </c>
      <c r="M257" s="2">
        <v>0.59166666666666667</v>
      </c>
      <c r="N257" t="s">
        <v>33</v>
      </c>
      <c r="O257">
        <v>130.47999999999999</v>
      </c>
      <c r="P257">
        <v>4.7619047620000003</v>
      </c>
      <c r="Q257">
        <v>65.239999999999995</v>
      </c>
      <c r="R257">
        <v>10</v>
      </c>
      <c r="S257">
        <v>96.089100000000002</v>
      </c>
      <c r="T257">
        <v>21.9588</v>
      </c>
    </row>
    <row r="258" spans="1:20" x14ac:dyDescent="0.3">
      <c r="A258" t="s">
        <v>499</v>
      </c>
      <c r="B258" t="s">
        <v>21</v>
      </c>
      <c r="C258" t="s">
        <v>500</v>
      </c>
      <c r="D258" t="s">
        <v>23</v>
      </c>
      <c r="E258" t="s">
        <v>32</v>
      </c>
      <c r="F258" t="s">
        <v>36</v>
      </c>
      <c r="G258" t="s">
        <v>26</v>
      </c>
      <c r="H258">
        <v>66.349999999999994</v>
      </c>
      <c r="I258">
        <v>1</v>
      </c>
      <c r="J258">
        <v>3.3174999999999999</v>
      </c>
      <c r="K258">
        <v>66.349999999999994</v>
      </c>
      <c r="L258" s="1">
        <v>43496</v>
      </c>
      <c r="M258" s="2">
        <v>0.44861111111111113</v>
      </c>
      <c r="N258" t="s">
        <v>37</v>
      </c>
      <c r="O258">
        <v>66.349999999999994</v>
      </c>
      <c r="P258">
        <v>4.7619047620000003</v>
      </c>
      <c r="Q258">
        <v>0</v>
      </c>
      <c r="R258">
        <v>9.6999999999999993</v>
      </c>
      <c r="S258">
        <v>96.173500000000004</v>
      </c>
      <c r="T258">
        <v>16.840900000000001</v>
      </c>
    </row>
    <row r="259" spans="1:20" x14ac:dyDescent="0.3">
      <c r="A259" t="s">
        <v>501</v>
      </c>
      <c r="B259" t="s">
        <v>21</v>
      </c>
      <c r="C259" t="s">
        <v>502</v>
      </c>
      <c r="D259" t="s">
        <v>23</v>
      </c>
      <c r="E259" t="s">
        <v>32</v>
      </c>
      <c r="F259" t="s">
        <v>36</v>
      </c>
      <c r="G259" t="s">
        <v>26</v>
      </c>
      <c r="H259">
        <v>25.91</v>
      </c>
      <c r="I259">
        <v>6</v>
      </c>
      <c r="J259">
        <v>7.7729999999999997</v>
      </c>
      <c r="K259">
        <v>155.46</v>
      </c>
      <c r="L259" s="1">
        <v>43548</v>
      </c>
      <c r="M259" s="2">
        <v>0.42777777777777776</v>
      </c>
      <c r="N259" t="s">
        <v>27</v>
      </c>
      <c r="O259">
        <v>155.46</v>
      </c>
      <c r="P259">
        <v>4.7619047620000003</v>
      </c>
      <c r="Q259">
        <v>0</v>
      </c>
      <c r="R259">
        <v>8.6999999999999993</v>
      </c>
      <c r="S259">
        <v>96.173500000000004</v>
      </c>
      <c r="T259">
        <v>16.840900000000001</v>
      </c>
    </row>
    <row r="260" spans="1:20" x14ac:dyDescent="0.3">
      <c r="A260" t="s">
        <v>503</v>
      </c>
      <c r="B260" t="s">
        <v>21</v>
      </c>
      <c r="C260" t="s">
        <v>504</v>
      </c>
      <c r="D260" t="s">
        <v>23</v>
      </c>
      <c r="E260" t="s">
        <v>32</v>
      </c>
      <c r="F260" t="s">
        <v>36</v>
      </c>
      <c r="G260" t="s">
        <v>26</v>
      </c>
      <c r="H260">
        <v>32.25</v>
      </c>
      <c r="I260">
        <v>4</v>
      </c>
      <c r="J260">
        <v>6.45</v>
      </c>
      <c r="K260">
        <v>129</v>
      </c>
      <c r="L260" s="1">
        <v>43744</v>
      </c>
      <c r="M260" s="2">
        <v>0.52638888888888891</v>
      </c>
      <c r="N260" t="s">
        <v>27</v>
      </c>
      <c r="O260">
        <v>129</v>
      </c>
      <c r="P260">
        <v>4.7619047620000003</v>
      </c>
      <c r="Q260">
        <v>0</v>
      </c>
      <c r="R260">
        <v>6.5</v>
      </c>
      <c r="S260">
        <v>96.173500000000004</v>
      </c>
      <c r="T260">
        <v>16.840900000000001</v>
      </c>
    </row>
    <row r="261" spans="1:20" x14ac:dyDescent="0.3">
      <c r="A261" t="s">
        <v>505</v>
      </c>
      <c r="B261" t="s">
        <v>29</v>
      </c>
      <c r="C261" t="s">
        <v>506</v>
      </c>
      <c r="D261" t="s">
        <v>31</v>
      </c>
      <c r="E261" t="s">
        <v>32</v>
      </c>
      <c r="F261" t="s">
        <v>36</v>
      </c>
      <c r="G261" t="s">
        <v>26</v>
      </c>
      <c r="H261">
        <v>65.94</v>
      </c>
      <c r="I261">
        <v>5</v>
      </c>
      <c r="J261">
        <f t="shared" ref="J261:J262" si="8">K261*5%</f>
        <v>16.484999999999999</v>
      </c>
      <c r="K261">
        <v>329.7</v>
      </c>
      <c r="L261" s="1">
        <v>43581</v>
      </c>
      <c r="M261" s="2">
        <v>0.54513888888888884</v>
      </c>
      <c r="N261" t="s">
        <v>37</v>
      </c>
      <c r="O261">
        <v>263.76</v>
      </c>
      <c r="P261">
        <v>4.7619047620000003</v>
      </c>
      <c r="Q261">
        <v>65.94</v>
      </c>
      <c r="R261">
        <v>7.2450000000000001</v>
      </c>
      <c r="S261">
        <v>96.078500000000005</v>
      </c>
      <c r="T261">
        <v>19.763300000000001</v>
      </c>
    </row>
    <row r="262" spans="1:20" x14ac:dyDescent="0.3">
      <c r="A262" t="s">
        <v>507</v>
      </c>
      <c r="B262" t="s">
        <v>21</v>
      </c>
      <c r="C262" t="s">
        <v>161</v>
      </c>
      <c r="D262" t="s">
        <v>23</v>
      </c>
      <c r="E262" t="s">
        <v>32</v>
      </c>
      <c r="F262" t="s">
        <v>25</v>
      </c>
      <c r="G262" t="s">
        <v>26</v>
      </c>
      <c r="H262">
        <v>75.06</v>
      </c>
      <c r="I262">
        <v>9</v>
      </c>
      <c r="J262">
        <f t="shared" si="8"/>
        <v>33.777000000000001</v>
      </c>
      <c r="K262">
        <v>675.54</v>
      </c>
      <c r="L262" s="1">
        <v>43622</v>
      </c>
      <c r="M262" s="2">
        <v>0.55902777777777779</v>
      </c>
      <c r="N262" t="s">
        <v>27</v>
      </c>
      <c r="O262">
        <v>675.54</v>
      </c>
      <c r="P262">
        <v>4.7619047620000003</v>
      </c>
      <c r="Q262">
        <v>0</v>
      </c>
      <c r="R262">
        <v>6.2</v>
      </c>
      <c r="S262">
        <v>96.173500000000004</v>
      </c>
      <c r="T262">
        <v>16.840900000000001</v>
      </c>
    </row>
    <row r="263" spans="1:20" x14ac:dyDescent="0.3">
      <c r="A263" t="s">
        <v>508</v>
      </c>
      <c r="B263" t="s">
        <v>29</v>
      </c>
      <c r="C263" t="s">
        <v>509</v>
      </c>
      <c r="D263" t="s">
        <v>31</v>
      </c>
      <c r="E263" t="s">
        <v>32</v>
      </c>
      <c r="F263" t="s">
        <v>25</v>
      </c>
      <c r="G263" t="s">
        <v>26</v>
      </c>
      <c r="H263">
        <v>16.45</v>
      </c>
      <c r="I263">
        <v>5</v>
      </c>
      <c r="J263">
        <v>4.1124999999999998</v>
      </c>
      <c r="K263">
        <v>82.25</v>
      </c>
      <c r="L263" s="1">
        <v>43496</v>
      </c>
      <c r="M263" s="2">
        <v>0.62013888888888891</v>
      </c>
      <c r="N263" t="s">
        <v>27</v>
      </c>
      <c r="O263">
        <v>65.8</v>
      </c>
      <c r="P263">
        <v>4.7619047620000003</v>
      </c>
      <c r="Q263">
        <v>16.45</v>
      </c>
      <c r="R263">
        <v>5.88</v>
      </c>
      <c r="S263">
        <v>96.078500000000005</v>
      </c>
      <c r="T263">
        <v>19.763300000000001</v>
      </c>
    </row>
    <row r="264" spans="1:20" x14ac:dyDescent="0.3">
      <c r="A264" t="s">
        <v>510</v>
      </c>
      <c r="B264" t="s">
        <v>51</v>
      </c>
      <c r="C264" t="s">
        <v>55</v>
      </c>
      <c r="D264" t="s">
        <v>53</v>
      </c>
      <c r="E264" t="s">
        <v>32</v>
      </c>
      <c r="F264" t="s">
        <v>25</v>
      </c>
      <c r="G264" t="s">
        <v>26</v>
      </c>
      <c r="H264">
        <v>38.299999999999997</v>
      </c>
      <c r="I264">
        <v>6</v>
      </c>
      <c r="J264">
        <v>11.49</v>
      </c>
      <c r="K264">
        <v>229.8</v>
      </c>
      <c r="L264" s="1">
        <v>43499</v>
      </c>
      <c r="M264" s="2">
        <v>0.80694444444444446</v>
      </c>
      <c r="N264" t="s">
        <v>33</v>
      </c>
      <c r="O264">
        <v>153.19999999999999</v>
      </c>
      <c r="P264">
        <v>4.7619047620000003</v>
      </c>
      <c r="Q264">
        <v>76.599999999999994</v>
      </c>
      <c r="R264">
        <v>6.84</v>
      </c>
      <c r="S264">
        <v>96.089100000000002</v>
      </c>
      <c r="T264">
        <v>21.9588</v>
      </c>
    </row>
    <row r="265" spans="1:20" x14ac:dyDescent="0.3">
      <c r="A265" t="s">
        <v>511</v>
      </c>
      <c r="B265" t="s">
        <v>21</v>
      </c>
      <c r="C265" t="s">
        <v>512</v>
      </c>
      <c r="D265" t="s">
        <v>23</v>
      </c>
      <c r="E265" t="s">
        <v>24</v>
      </c>
      <c r="F265" t="s">
        <v>25</v>
      </c>
      <c r="G265" t="s">
        <v>26</v>
      </c>
      <c r="H265">
        <v>22.24</v>
      </c>
      <c r="I265">
        <v>14</v>
      </c>
      <c r="J265">
        <v>15.568</v>
      </c>
      <c r="K265">
        <v>311.36</v>
      </c>
      <c r="L265" s="1">
        <v>43745</v>
      </c>
      <c r="M265" s="2">
        <v>0.45833333333333331</v>
      </c>
      <c r="N265" t="s">
        <v>33</v>
      </c>
      <c r="O265">
        <v>222.4</v>
      </c>
      <c r="P265">
        <v>4.7619047620000003</v>
      </c>
      <c r="Q265">
        <v>88.96</v>
      </c>
      <c r="R265">
        <v>4.2</v>
      </c>
      <c r="S265">
        <v>96.173500000000004</v>
      </c>
      <c r="T265">
        <v>16.840900000000001</v>
      </c>
    </row>
    <row r="266" spans="1:20" x14ac:dyDescent="0.3">
      <c r="A266" t="s">
        <v>513</v>
      </c>
      <c r="B266" t="s">
        <v>51</v>
      </c>
      <c r="C266" t="s">
        <v>514</v>
      </c>
      <c r="D266" t="s">
        <v>53</v>
      </c>
      <c r="E266" t="s">
        <v>32</v>
      </c>
      <c r="F266" t="s">
        <v>36</v>
      </c>
      <c r="G266" t="s">
        <v>26</v>
      </c>
      <c r="H266">
        <v>54.45</v>
      </c>
      <c r="I266">
        <v>1</v>
      </c>
      <c r="J266">
        <v>2.7225000000000001</v>
      </c>
      <c r="K266">
        <v>54.45</v>
      </c>
      <c r="L266" s="1">
        <v>43590</v>
      </c>
      <c r="M266" s="2">
        <v>0.80833333333333335</v>
      </c>
      <c r="N266" t="s">
        <v>27</v>
      </c>
      <c r="O266">
        <v>54.45</v>
      </c>
      <c r="P266">
        <v>4.7619047620000003</v>
      </c>
      <c r="Q266">
        <v>0</v>
      </c>
      <c r="R266">
        <v>9.48</v>
      </c>
      <c r="S266">
        <v>96.089100000000002</v>
      </c>
      <c r="T266">
        <v>21.9588</v>
      </c>
    </row>
    <row r="267" spans="1:20" x14ac:dyDescent="0.3">
      <c r="A267" t="s">
        <v>515</v>
      </c>
      <c r="B267" t="s">
        <v>21</v>
      </c>
      <c r="C267" t="s">
        <v>516</v>
      </c>
      <c r="D267" t="s">
        <v>23</v>
      </c>
      <c r="E267" t="s">
        <v>24</v>
      </c>
      <c r="F267" t="s">
        <v>25</v>
      </c>
      <c r="G267" t="s">
        <v>68</v>
      </c>
      <c r="H267">
        <v>98.4</v>
      </c>
      <c r="I267">
        <v>10</v>
      </c>
      <c r="J267">
        <v>49.2</v>
      </c>
      <c r="K267">
        <v>984</v>
      </c>
      <c r="L267" s="1">
        <v>43810</v>
      </c>
      <c r="M267" s="2">
        <v>0.52986111111111112</v>
      </c>
      <c r="N267" t="s">
        <v>37</v>
      </c>
      <c r="O267">
        <v>688.8</v>
      </c>
      <c r="P267">
        <v>4.7619047620000003</v>
      </c>
      <c r="Q267">
        <v>295.2</v>
      </c>
      <c r="R267">
        <v>8.6999999999999993</v>
      </c>
      <c r="S267">
        <v>96.173500000000004</v>
      </c>
      <c r="T267">
        <v>16.840900000000001</v>
      </c>
    </row>
    <row r="268" spans="1:20" x14ac:dyDescent="0.3">
      <c r="A268" t="s">
        <v>517</v>
      </c>
      <c r="B268" t="s">
        <v>29</v>
      </c>
      <c r="C268" t="s">
        <v>509</v>
      </c>
      <c r="D268" t="s">
        <v>31</v>
      </c>
      <c r="E268" t="s">
        <v>32</v>
      </c>
      <c r="F268" t="s">
        <v>36</v>
      </c>
      <c r="G268" t="s">
        <v>77</v>
      </c>
      <c r="H268">
        <v>35.47</v>
      </c>
      <c r="I268">
        <v>5</v>
      </c>
      <c r="J268">
        <v>8.8674999999999997</v>
      </c>
      <c r="K268">
        <v>177.35</v>
      </c>
      <c r="L268" s="1">
        <v>43529</v>
      </c>
      <c r="M268" s="2">
        <v>0.72361111111111109</v>
      </c>
      <c r="N268" t="s">
        <v>37</v>
      </c>
      <c r="O268">
        <v>141.88</v>
      </c>
      <c r="P268">
        <v>4.7619047620000003</v>
      </c>
      <c r="Q268">
        <v>35.47</v>
      </c>
      <c r="R268">
        <v>7.2450000000000001</v>
      </c>
      <c r="S268">
        <v>96.078500000000005</v>
      </c>
      <c r="T268">
        <v>19.763300000000001</v>
      </c>
    </row>
    <row r="269" spans="1:20" x14ac:dyDescent="0.3">
      <c r="A269" t="s">
        <v>518</v>
      </c>
      <c r="B269" t="s">
        <v>51</v>
      </c>
      <c r="C269" t="s">
        <v>328</v>
      </c>
      <c r="D269" t="s">
        <v>53</v>
      </c>
      <c r="E269" t="s">
        <v>24</v>
      </c>
      <c r="F269" t="s">
        <v>25</v>
      </c>
      <c r="G269" t="s">
        <v>63</v>
      </c>
      <c r="H269">
        <v>74.599999999999994</v>
      </c>
      <c r="I269">
        <v>20</v>
      </c>
      <c r="J269">
        <v>74.599999999999994</v>
      </c>
      <c r="K269">
        <v>1492</v>
      </c>
      <c r="L269" s="1">
        <v>43483</v>
      </c>
      <c r="M269" s="2">
        <v>0.87152777777777779</v>
      </c>
      <c r="N269" t="s">
        <v>33</v>
      </c>
      <c r="O269">
        <v>746</v>
      </c>
      <c r="P269">
        <v>4.7619047620000003</v>
      </c>
      <c r="Q269">
        <v>746</v>
      </c>
      <c r="R269">
        <v>10</v>
      </c>
      <c r="S269">
        <v>96.089100000000002</v>
      </c>
      <c r="T269">
        <v>21.9588</v>
      </c>
    </row>
    <row r="270" spans="1:20" x14ac:dyDescent="0.3">
      <c r="A270" t="s">
        <v>519</v>
      </c>
      <c r="B270" t="s">
        <v>21</v>
      </c>
      <c r="C270" t="s">
        <v>520</v>
      </c>
      <c r="D270" t="s">
        <v>23</v>
      </c>
      <c r="E270" t="s">
        <v>24</v>
      </c>
      <c r="F270" t="s">
        <v>36</v>
      </c>
      <c r="G270" t="s">
        <v>77</v>
      </c>
      <c r="H270">
        <v>70.739999999999995</v>
      </c>
      <c r="I270">
        <v>6</v>
      </c>
      <c r="J270">
        <v>21.222000000000001</v>
      </c>
      <c r="K270">
        <v>424.44</v>
      </c>
      <c r="L270" s="1">
        <v>43509</v>
      </c>
      <c r="M270" s="2">
        <v>0.67013888888888884</v>
      </c>
      <c r="N270" t="s">
        <v>37</v>
      </c>
      <c r="O270">
        <v>282.95999999999998</v>
      </c>
      <c r="P270">
        <v>4.7619047620000003</v>
      </c>
      <c r="Q270">
        <v>141.47999999999999</v>
      </c>
      <c r="R270">
        <v>4.4000000000000004</v>
      </c>
      <c r="S270">
        <v>96.173500000000004</v>
      </c>
      <c r="T270">
        <v>16.840900000000001</v>
      </c>
    </row>
    <row r="271" spans="1:20" x14ac:dyDescent="0.3">
      <c r="A271" t="s">
        <v>521</v>
      </c>
      <c r="B271" t="s">
        <v>21</v>
      </c>
      <c r="C271" t="s">
        <v>252</v>
      </c>
      <c r="D271" t="s">
        <v>23</v>
      </c>
      <c r="E271" t="s">
        <v>24</v>
      </c>
      <c r="F271" t="s">
        <v>25</v>
      </c>
      <c r="G271" t="s">
        <v>77</v>
      </c>
      <c r="H271">
        <v>35.54</v>
      </c>
      <c r="I271">
        <v>14</v>
      </c>
      <c r="J271">
        <v>24.878</v>
      </c>
      <c r="K271">
        <v>497.56</v>
      </c>
      <c r="L271" s="1">
        <v>43587</v>
      </c>
      <c r="M271" s="2">
        <v>0.56527777777777777</v>
      </c>
      <c r="N271" t="s">
        <v>27</v>
      </c>
      <c r="O271">
        <v>355.4</v>
      </c>
      <c r="P271">
        <v>4.7619047620000003</v>
      </c>
      <c r="Q271">
        <v>142.16</v>
      </c>
      <c r="R271">
        <v>7</v>
      </c>
      <c r="S271">
        <v>96.173500000000004</v>
      </c>
      <c r="T271">
        <v>16.840900000000001</v>
      </c>
    </row>
    <row r="272" spans="1:20" x14ac:dyDescent="0.3">
      <c r="A272" t="s">
        <v>522</v>
      </c>
      <c r="B272" t="s">
        <v>51</v>
      </c>
      <c r="C272" t="s">
        <v>134</v>
      </c>
      <c r="D272" t="s">
        <v>53</v>
      </c>
      <c r="E272" t="s">
        <v>32</v>
      </c>
      <c r="F272" t="s">
        <v>25</v>
      </c>
      <c r="G272" t="s">
        <v>68</v>
      </c>
      <c r="H272">
        <v>67.430000000000007</v>
      </c>
      <c r="I272">
        <v>7</v>
      </c>
      <c r="J272">
        <v>23.6005</v>
      </c>
      <c r="K272">
        <v>472.01</v>
      </c>
      <c r="L272" s="1">
        <v>43765</v>
      </c>
      <c r="M272" s="2">
        <v>0.75902777777777775</v>
      </c>
      <c r="N272" t="s">
        <v>27</v>
      </c>
      <c r="O272">
        <v>337.15</v>
      </c>
      <c r="P272">
        <v>4.7619047620000003</v>
      </c>
      <c r="Q272">
        <v>134.86000000000001</v>
      </c>
      <c r="R272">
        <v>7.56</v>
      </c>
      <c r="S272">
        <v>96.089100000000002</v>
      </c>
      <c r="T272">
        <v>21.9588</v>
      </c>
    </row>
    <row r="273" spans="1:20" x14ac:dyDescent="0.3">
      <c r="A273" t="s">
        <v>523</v>
      </c>
      <c r="B273" t="s">
        <v>29</v>
      </c>
      <c r="C273" t="s">
        <v>524</v>
      </c>
      <c r="D273" t="s">
        <v>31</v>
      </c>
      <c r="E273" t="s">
        <v>24</v>
      </c>
      <c r="F273" t="s">
        <v>25</v>
      </c>
      <c r="G273" t="s">
        <v>26</v>
      </c>
      <c r="H273">
        <v>21.12</v>
      </c>
      <c r="I273">
        <v>3</v>
      </c>
      <c r="J273">
        <v>3.1680000000000001</v>
      </c>
      <c r="K273">
        <v>63.36</v>
      </c>
      <c r="L273" s="1">
        <v>43537</v>
      </c>
      <c r="M273" s="2">
        <v>0.80347222222222225</v>
      </c>
      <c r="N273" t="s">
        <v>33</v>
      </c>
      <c r="O273">
        <v>42.24</v>
      </c>
      <c r="P273">
        <v>4.7619047620000003</v>
      </c>
      <c r="Q273">
        <v>21.12</v>
      </c>
      <c r="R273">
        <v>10</v>
      </c>
      <c r="S273">
        <v>96.078500000000005</v>
      </c>
      <c r="T273">
        <v>19.763300000000001</v>
      </c>
    </row>
    <row r="274" spans="1:20" x14ac:dyDescent="0.3">
      <c r="A274" t="s">
        <v>525</v>
      </c>
      <c r="B274" t="s">
        <v>21</v>
      </c>
      <c r="C274" t="s">
        <v>526</v>
      </c>
      <c r="D274" t="s">
        <v>23</v>
      </c>
      <c r="E274" t="s">
        <v>24</v>
      </c>
      <c r="F274" t="s">
        <v>25</v>
      </c>
      <c r="G274" t="s">
        <v>77</v>
      </c>
      <c r="H274">
        <v>21.54</v>
      </c>
      <c r="I274">
        <v>13</v>
      </c>
      <c r="J274">
        <v>14.000999999999999</v>
      </c>
      <c r="K274">
        <v>280.02</v>
      </c>
      <c r="L274" s="1">
        <v>43526</v>
      </c>
      <c r="M274" s="2">
        <v>0.48888888888888887</v>
      </c>
      <c r="N274" t="s">
        <v>37</v>
      </c>
      <c r="O274">
        <v>193.86</v>
      </c>
      <c r="P274">
        <v>4.7619047620000003</v>
      </c>
      <c r="Q274">
        <v>86.16</v>
      </c>
      <c r="R274">
        <v>8.8000000000000007</v>
      </c>
      <c r="S274">
        <v>96.173500000000004</v>
      </c>
      <c r="T274">
        <v>16.840900000000001</v>
      </c>
    </row>
    <row r="275" spans="1:20" x14ac:dyDescent="0.3">
      <c r="A275" t="s">
        <v>527</v>
      </c>
      <c r="B275" t="s">
        <v>21</v>
      </c>
      <c r="C275" t="s">
        <v>435</v>
      </c>
      <c r="D275" t="s">
        <v>23</v>
      </c>
      <c r="E275" t="s">
        <v>32</v>
      </c>
      <c r="F275" t="s">
        <v>25</v>
      </c>
      <c r="G275" t="s">
        <v>77</v>
      </c>
      <c r="H275">
        <v>12.03</v>
      </c>
      <c r="I275">
        <v>2</v>
      </c>
      <c r="J275">
        <v>1.2030000000000001</v>
      </c>
      <c r="K275">
        <v>24.06</v>
      </c>
      <c r="L275" s="1">
        <v>43671</v>
      </c>
      <c r="M275" s="2">
        <v>0.66041666666666665</v>
      </c>
      <c r="N275" t="s">
        <v>33</v>
      </c>
      <c r="O275">
        <v>24.06</v>
      </c>
      <c r="P275">
        <v>4.7619047620000003</v>
      </c>
      <c r="Q275">
        <v>0</v>
      </c>
      <c r="R275">
        <v>5.0999999999999996</v>
      </c>
      <c r="S275">
        <v>96.173500000000004</v>
      </c>
      <c r="T275">
        <v>16.840900000000001</v>
      </c>
    </row>
    <row r="276" spans="1:20" x14ac:dyDescent="0.3">
      <c r="A276" t="s">
        <v>528</v>
      </c>
      <c r="B276" t="s">
        <v>51</v>
      </c>
      <c r="C276" t="s">
        <v>529</v>
      </c>
      <c r="D276" t="s">
        <v>53</v>
      </c>
      <c r="E276" t="s">
        <v>32</v>
      </c>
      <c r="F276" t="s">
        <v>25</v>
      </c>
      <c r="G276" t="s">
        <v>26</v>
      </c>
      <c r="H276">
        <v>99.71</v>
      </c>
      <c r="I276">
        <v>8</v>
      </c>
      <c r="J276">
        <v>39.884</v>
      </c>
      <c r="K276">
        <v>797.68</v>
      </c>
      <c r="L276" s="1">
        <v>43557</v>
      </c>
      <c r="M276" s="2">
        <v>0.70277777777777772</v>
      </c>
      <c r="N276" t="s">
        <v>27</v>
      </c>
      <c r="O276">
        <v>598.26</v>
      </c>
      <c r="P276">
        <v>4.7619047620000003</v>
      </c>
      <c r="Q276">
        <v>199.42</v>
      </c>
      <c r="R276">
        <v>9.48</v>
      </c>
      <c r="S276">
        <v>96.089100000000002</v>
      </c>
      <c r="T276">
        <v>21.9588</v>
      </c>
    </row>
    <row r="277" spans="1:20" x14ac:dyDescent="0.3">
      <c r="A277" t="s">
        <v>530</v>
      </c>
      <c r="B277" t="s">
        <v>51</v>
      </c>
      <c r="C277" t="s">
        <v>531</v>
      </c>
      <c r="D277" t="s">
        <v>53</v>
      </c>
      <c r="E277" t="s">
        <v>32</v>
      </c>
      <c r="F277" t="s">
        <v>36</v>
      </c>
      <c r="G277" t="s">
        <v>100</v>
      </c>
      <c r="H277">
        <v>47.97</v>
      </c>
      <c r="I277">
        <v>10</v>
      </c>
      <c r="J277">
        <v>23.984999999999999</v>
      </c>
      <c r="K277">
        <v>479.7</v>
      </c>
      <c r="L277" s="1">
        <v>43706</v>
      </c>
      <c r="M277" s="2">
        <v>0.86944444444444446</v>
      </c>
      <c r="N277" t="s">
        <v>33</v>
      </c>
      <c r="O277">
        <v>335.79</v>
      </c>
      <c r="P277">
        <v>4.7619047620000003</v>
      </c>
      <c r="Q277">
        <v>143.91</v>
      </c>
      <c r="R277">
        <v>7.44</v>
      </c>
      <c r="S277">
        <v>96.089100000000002</v>
      </c>
      <c r="T277">
        <v>21.9588</v>
      </c>
    </row>
    <row r="278" spans="1:20" x14ac:dyDescent="0.3">
      <c r="A278" t="s">
        <v>532</v>
      </c>
      <c r="B278" t="s">
        <v>29</v>
      </c>
      <c r="C278" t="s">
        <v>190</v>
      </c>
      <c r="D278" t="s">
        <v>31</v>
      </c>
      <c r="E278" t="s">
        <v>24</v>
      </c>
      <c r="F278" t="s">
        <v>25</v>
      </c>
      <c r="G278" t="s">
        <v>77</v>
      </c>
      <c r="H278">
        <v>21.82</v>
      </c>
      <c r="I278">
        <v>17</v>
      </c>
      <c r="J278">
        <v>18.547000000000001</v>
      </c>
      <c r="K278">
        <v>370.94</v>
      </c>
      <c r="L278" s="1">
        <v>43722</v>
      </c>
      <c r="M278" s="2">
        <v>0.73333333333333328</v>
      </c>
      <c r="N278" t="s">
        <v>33</v>
      </c>
      <c r="O278">
        <v>218.2</v>
      </c>
      <c r="P278">
        <v>4.7619047620000003</v>
      </c>
      <c r="Q278">
        <v>152.74</v>
      </c>
      <c r="R278">
        <v>7.4550000000000001</v>
      </c>
      <c r="S278">
        <v>96.078500000000005</v>
      </c>
      <c r="T278">
        <v>19.763300000000001</v>
      </c>
    </row>
    <row r="279" spans="1:20" x14ac:dyDescent="0.3">
      <c r="A279" t="s">
        <v>533</v>
      </c>
      <c r="B279" t="s">
        <v>29</v>
      </c>
      <c r="C279" t="s">
        <v>534</v>
      </c>
      <c r="D279" t="s">
        <v>31</v>
      </c>
      <c r="E279" t="s">
        <v>32</v>
      </c>
      <c r="F279" t="s">
        <v>25</v>
      </c>
      <c r="G279" t="s">
        <v>100</v>
      </c>
      <c r="H279">
        <v>95.42</v>
      </c>
      <c r="I279">
        <v>5</v>
      </c>
      <c r="J279">
        <v>23.855</v>
      </c>
      <c r="K279">
        <v>477.1</v>
      </c>
      <c r="L279" s="1">
        <v>43708</v>
      </c>
      <c r="M279" s="2">
        <v>0.55763888888888891</v>
      </c>
      <c r="N279" t="s">
        <v>27</v>
      </c>
      <c r="O279">
        <v>381.68</v>
      </c>
      <c r="P279">
        <v>4.7619047620000003</v>
      </c>
      <c r="Q279">
        <v>95.42</v>
      </c>
      <c r="R279">
        <v>6.72</v>
      </c>
      <c r="S279">
        <v>96.078500000000005</v>
      </c>
      <c r="T279">
        <v>19.763300000000001</v>
      </c>
    </row>
    <row r="280" spans="1:20" x14ac:dyDescent="0.3">
      <c r="A280" t="s">
        <v>535</v>
      </c>
      <c r="B280" t="s">
        <v>29</v>
      </c>
      <c r="C280" t="s">
        <v>536</v>
      </c>
      <c r="D280" t="s">
        <v>31</v>
      </c>
      <c r="E280" t="s">
        <v>24</v>
      </c>
      <c r="F280" t="s">
        <v>36</v>
      </c>
      <c r="G280" t="s">
        <v>100</v>
      </c>
      <c r="H280">
        <v>70.989999999999995</v>
      </c>
      <c r="I280">
        <v>17</v>
      </c>
      <c r="J280">
        <f>K280*5%</f>
        <v>60.341499999999996</v>
      </c>
      <c r="K280">
        <v>1206.83</v>
      </c>
      <c r="L280" s="1">
        <v>43658</v>
      </c>
      <c r="M280" s="2">
        <v>0.68611111111111112</v>
      </c>
      <c r="N280" t="s">
        <v>33</v>
      </c>
      <c r="O280">
        <v>709.9</v>
      </c>
      <c r="P280">
        <v>4.7619047620000003</v>
      </c>
      <c r="Q280">
        <v>496.93</v>
      </c>
      <c r="R280">
        <v>5.9850000000000003</v>
      </c>
      <c r="S280">
        <v>96.078500000000005</v>
      </c>
      <c r="T280">
        <v>19.763300000000001</v>
      </c>
    </row>
    <row r="281" spans="1:20" x14ac:dyDescent="0.3">
      <c r="A281" t="s">
        <v>537</v>
      </c>
      <c r="B281" t="s">
        <v>21</v>
      </c>
      <c r="C281" t="s">
        <v>538</v>
      </c>
      <c r="D281" t="s">
        <v>23</v>
      </c>
      <c r="E281" t="s">
        <v>24</v>
      </c>
      <c r="F281" t="s">
        <v>36</v>
      </c>
      <c r="G281" t="s">
        <v>68</v>
      </c>
      <c r="H281">
        <v>44.02</v>
      </c>
      <c r="I281">
        <v>14</v>
      </c>
      <c r="J281">
        <v>30.814</v>
      </c>
      <c r="K281">
        <v>616.28</v>
      </c>
      <c r="L281" s="1">
        <v>43572</v>
      </c>
      <c r="M281" s="2">
        <v>0.83125000000000004</v>
      </c>
      <c r="N281" t="s">
        <v>37</v>
      </c>
      <c r="O281">
        <v>440.2</v>
      </c>
      <c r="P281">
        <v>4.7619047620000003</v>
      </c>
      <c r="Q281">
        <v>176.08</v>
      </c>
      <c r="R281">
        <v>9.6</v>
      </c>
      <c r="S281">
        <v>96.173500000000004</v>
      </c>
      <c r="T281">
        <v>16.840900000000001</v>
      </c>
    </row>
    <row r="282" spans="1:20" x14ac:dyDescent="0.3">
      <c r="A282" t="s">
        <v>539</v>
      </c>
      <c r="B282" t="s">
        <v>21</v>
      </c>
      <c r="C282" t="s">
        <v>540</v>
      </c>
      <c r="D282" t="s">
        <v>23</v>
      </c>
      <c r="E282" t="s">
        <v>32</v>
      </c>
      <c r="F282" t="s">
        <v>25</v>
      </c>
      <c r="G282" t="s">
        <v>77</v>
      </c>
      <c r="H282">
        <v>69.959999999999994</v>
      </c>
      <c r="I282">
        <v>8</v>
      </c>
      <c r="J282">
        <v>27.984000000000002</v>
      </c>
      <c r="K282">
        <v>559.67999999999995</v>
      </c>
      <c r="L282" s="1">
        <v>43482</v>
      </c>
      <c r="M282" s="2">
        <v>0.70902777777777781</v>
      </c>
      <c r="N282" t="s">
        <v>37</v>
      </c>
      <c r="O282">
        <v>559.67999999999995</v>
      </c>
      <c r="P282">
        <v>4.7619047620000003</v>
      </c>
      <c r="Q282">
        <v>0</v>
      </c>
      <c r="R282">
        <v>6.4</v>
      </c>
      <c r="S282">
        <v>96.173500000000004</v>
      </c>
      <c r="T282">
        <v>16.840900000000001</v>
      </c>
    </row>
    <row r="283" spans="1:20" x14ac:dyDescent="0.3">
      <c r="A283" t="s">
        <v>541</v>
      </c>
      <c r="B283" t="s">
        <v>29</v>
      </c>
      <c r="C283" t="s">
        <v>278</v>
      </c>
      <c r="D283" t="s">
        <v>31</v>
      </c>
      <c r="E283" t="s">
        <v>32</v>
      </c>
      <c r="F283" t="s">
        <v>36</v>
      </c>
      <c r="G283" t="s">
        <v>77</v>
      </c>
      <c r="H283">
        <v>37</v>
      </c>
      <c r="I283">
        <v>1</v>
      </c>
      <c r="J283">
        <v>1.85</v>
      </c>
      <c r="K283">
        <v>37</v>
      </c>
      <c r="L283" s="1">
        <v>43660</v>
      </c>
      <c r="M283" s="2">
        <v>0.56180555555555556</v>
      </c>
      <c r="N283" t="s">
        <v>37</v>
      </c>
      <c r="O283">
        <v>37</v>
      </c>
      <c r="P283">
        <v>4.7619047620000003</v>
      </c>
      <c r="Q283">
        <v>0</v>
      </c>
      <c r="R283">
        <v>8.2949999999999999</v>
      </c>
      <c r="S283">
        <v>96.078500000000005</v>
      </c>
      <c r="T283">
        <v>19.763300000000001</v>
      </c>
    </row>
    <row r="284" spans="1:20" x14ac:dyDescent="0.3">
      <c r="A284" t="s">
        <v>542</v>
      </c>
      <c r="B284" t="s">
        <v>21</v>
      </c>
      <c r="C284" t="s">
        <v>543</v>
      </c>
      <c r="D284" t="s">
        <v>23</v>
      </c>
      <c r="E284" t="s">
        <v>32</v>
      </c>
      <c r="F284" t="s">
        <v>25</v>
      </c>
      <c r="G284" t="s">
        <v>26</v>
      </c>
      <c r="H284">
        <v>15.34</v>
      </c>
      <c r="I284">
        <v>1</v>
      </c>
      <c r="J284">
        <v>0.76700000000000002</v>
      </c>
      <c r="K284">
        <v>15.34</v>
      </c>
      <c r="L284" s="1">
        <v>43809</v>
      </c>
      <c r="M284" s="2">
        <v>0.46458333333333335</v>
      </c>
      <c r="N284" t="s">
        <v>33</v>
      </c>
      <c r="O284">
        <v>15.34</v>
      </c>
      <c r="P284">
        <v>4.7619047620000003</v>
      </c>
      <c r="Q284">
        <v>0</v>
      </c>
      <c r="R284">
        <v>6.5</v>
      </c>
      <c r="S284">
        <v>96.173500000000004</v>
      </c>
      <c r="T284">
        <v>16.840900000000001</v>
      </c>
    </row>
    <row r="285" spans="1:20" x14ac:dyDescent="0.3">
      <c r="A285" t="s">
        <v>544</v>
      </c>
      <c r="B285" t="s">
        <v>21</v>
      </c>
      <c r="C285" t="s">
        <v>380</v>
      </c>
      <c r="D285" t="s">
        <v>23</v>
      </c>
      <c r="E285" t="s">
        <v>24</v>
      </c>
      <c r="F285" t="s">
        <v>36</v>
      </c>
      <c r="G285" t="s">
        <v>26</v>
      </c>
      <c r="H285">
        <v>99.83</v>
      </c>
      <c r="I285">
        <v>8</v>
      </c>
      <c r="J285">
        <v>39.932000000000002</v>
      </c>
      <c r="K285">
        <v>798.64</v>
      </c>
      <c r="L285" s="1">
        <v>43481</v>
      </c>
      <c r="M285" s="2">
        <v>0.62638888888888888</v>
      </c>
      <c r="N285" t="s">
        <v>27</v>
      </c>
      <c r="O285">
        <v>598.98</v>
      </c>
      <c r="P285">
        <v>4.7619047620000003</v>
      </c>
      <c r="Q285">
        <v>199.66</v>
      </c>
      <c r="R285">
        <v>8.5</v>
      </c>
      <c r="S285">
        <v>96.173500000000004</v>
      </c>
      <c r="T285">
        <v>16.840900000000001</v>
      </c>
    </row>
    <row r="286" spans="1:20" x14ac:dyDescent="0.3">
      <c r="A286" t="s">
        <v>545</v>
      </c>
      <c r="B286" t="s">
        <v>21</v>
      </c>
      <c r="C286" t="s">
        <v>546</v>
      </c>
      <c r="D286" t="s">
        <v>23</v>
      </c>
      <c r="E286" t="s">
        <v>24</v>
      </c>
      <c r="F286" t="s">
        <v>25</v>
      </c>
      <c r="G286" t="s">
        <v>26</v>
      </c>
      <c r="H286">
        <v>47.67</v>
      </c>
      <c r="I286">
        <v>6</v>
      </c>
      <c r="J286">
        <v>14.301</v>
      </c>
      <c r="K286">
        <v>286.02</v>
      </c>
      <c r="L286" s="1">
        <v>43686</v>
      </c>
      <c r="M286" s="2">
        <v>0.59791666666666665</v>
      </c>
      <c r="N286" t="s">
        <v>33</v>
      </c>
      <c r="O286">
        <v>190.68</v>
      </c>
      <c r="P286">
        <v>4.7619047620000003</v>
      </c>
      <c r="Q286">
        <v>95.34</v>
      </c>
      <c r="R286">
        <v>9.1</v>
      </c>
      <c r="S286">
        <v>96.173500000000004</v>
      </c>
      <c r="T286">
        <v>16.840900000000001</v>
      </c>
    </row>
    <row r="287" spans="1:20" x14ac:dyDescent="0.3">
      <c r="A287" t="s">
        <v>547</v>
      </c>
      <c r="B287" t="s">
        <v>51</v>
      </c>
      <c r="C287" t="s">
        <v>145</v>
      </c>
      <c r="D287" t="s">
        <v>53</v>
      </c>
      <c r="E287" t="s">
        <v>32</v>
      </c>
      <c r="F287" t="s">
        <v>36</v>
      </c>
      <c r="G287" t="s">
        <v>26</v>
      </c>
      <c r="H287">
        <v>66.680000000000007</v>
      </c>
      <c r="I287">
        <v>7</v>
      </c>
      <c r="J287">
        <v>23.338000000000001</v>
      </c>
      <c r="K287">
        <v>466.76</v>
      </c>
      <c r="L287" s="1">
        <v>43670</v>
      </c>
      <c r="M287" s="2">
        <v>0.75069444444444444</v>
      </c>
      <c r="N287" t="s">
        <v>33</v>
      </c>
      <c r="O287">
        <v>333.4</v>
      </c>
      <c r="P287">
        <v>4.7619047620000003</v>
      </c>
      <c r="Q287">
        <v>133.36000000000001</v>
      </c>
      <c r="R287">
        <v>9.1199999999999992</v>
      </c>
      <c r="S287">
        <v>96.089100000000002</v>
      </c>
      <c r="T287">
        <v>21.9588</v>
      </c>
    </row>
    <row r="288" spans="1:20" x14ac:dyDescent="0.3">
      <c r="A288" t="s">
        <v>548</v>
      </c>
      <c r="B288" t="s">
        <v>29</v>
      </c>
      <c r="C288" t="s">
        <v>549</v>
      </c>
      <c r="D288" t="s">
        <v>31</v>
      </c>
      <c r="E288" t="s">
        <v>24</v>
      </c>
      <c r="F288" t="s">
        <v>36</v>
      </c>
      <c r="G288" t="s">
        <v>26</v>
      </c>
      <c r="H288">
        <v>74.86</v>
      </c>
      <c r="I288">
        <v>1</v>
      </c>
      <c r="J288">
        <v>3.7429999999999999</v>
      </c>
      <c r="K288">
        <v>74.86</v>
      </c>
      <c r="L288" s="1">
        <v>43770</v>
      </c>
      <c r="M288" s="2">
        <v>0.61736111111111114</v>
      </c>
      <c r="N288" t="s">
        <v>33</v>
      </c>
      <c r="O288">
        <v>74.86</v>
      </c>
      <c r="P288">
        <v>4.7619047620000003</v>
      </c>
      <c r="Q288">
        <v>0</v>
      </c>
      <c r="R288">
        <v>7.2450000000000001</v>
      </c>
      <c r="S288">
        <v>96.078500000000005</v>
      </c>
      <c r="T288">
        <v>19.763300000000001</v>
      </c>
    </row>
    <row r="289" spans="1:20" x14ac:dyDescent="0.3">
      <c r="A289" t="s">
        <v>550</v>
      </c>
      <c r="B289" t="s">
        <v>29</v>
      </c>
      <c r="C289" t="s">
        <v>199</v>
      </c>
      <c r="D289" t="s">
        <v>31</v>
      </c>
      <c r="E289" t="s">
        <v>32</v>
      </c>
      <c r="F289" t="s">
        <v>25</v>
      </c>
      <c r="G289" t="s">
        <v>26</v>
      </c>
      <c r="H289">
        <v>23.75</v>
      </c>
      <c r="I289">
        <v>11</v>
      </c>
      <c r="J289">
        <v>13.0625</v>
      </c>
      <c r="K289">
        <v>261.25</v>
      </c>
      <c r="L289" s="1">
        <v>43652</v>
      </c>
      <c r="M289" s="2">
        <v>0.50138888888888888</v>
      </c>
      <c r="N289" t="s">
        <v>33</v>
      </c>
      <c r="O289">
        <v>213.75</v>
      </c>
      <c r="P289">
        <v>4.7619047620000003</v>
      </c>
      <c r="Q289">
        <v>47.5</v>
      </c>
      <c r="R289">
        <v>9.9749999999999996</v>
      </c>
      <c r="S289">
        <v>96.078500000000005</v>
      </c>
      <c r="T289">
        <v>19.763300000000001</v>
      </c>
    </row>
    <row r="290" spans="1:20" x14ac:dyDescent="0.3">
      <c r="A290" t="s">
        <v>551</v>
      </c>
      <c r="B290" t="s">
        <v>51</v>
      </c>
      <c r="C290" t="s">
        <v>175</v>
      </c>
      <c r="D290" t="s">
        <v>53</v>
      </c>
      <c r="E290" t="s">
        <v>32</v>
      </c>
      <c r="F290" t="s">
        <v>25</v>
      </c>
      <c r="G290" t="s">
        <v>26</v>
      </c>
      <c r="H290">
        <v>48.51</v>
      </c>
      <c r="I290">
        <v>10</v>
      </c>
      <c r="J290">
        <v>24.254999999999999</v>
      </c>
      <c r="K290">
        <v>485.1</v>
      </c>
      <c r="L290" s="1">
        <v>43770</v>
      </c>
      <c r="M290" s="2">
        <v>0.5625</v>
      </c>
      <c r="N290" t="s">
        <v>37</v>
      </c>
      <c r="O290">
        <v>339.57</v>
      </c>
      <c r="P290">
        <v>4.7619047620000003</v>
      </c>
      <c r="Q290">
        <v>145.53</v>
      </c>
      <c r="R290">
        <v>6.24</v>
      </c>
      <c r="S290">
        <v>96.089100000000002</v>
      </c>
      <c r="T290">
        <v>21.9588</v>
      </c>
    </row>
    <row r="291" spans="1:20" x14ac:dyDescent="0.3">
      <c r="A291" t="s">
        <v>552</v>
      </c>
      <c r="B291" t="s">
        <v>21</v>
      </c>
      <c r="C291" t="s">
        <v>35</v>
      </c>
      <c r="D291" t="s">
        <v>23</v>
      </c>
      <c r="E291" t="s">
        <v>24</v>
      </c>
      <c r="F291" t="s">
        <v>25</v>
      </c>
      <c r="G291" t="s">
        <v>26</v>
      </c>
      <c r="H291">
        <v>94.88</v>
      </c>
      <c r="I291">
        <v>10</v>
      </c>
      <c r="J291">
        <v>47.44</v>
      </c>
      <c r="K291">
        <v>948.8</v>
      </c>
      <c r="L291" s="1">
        <v>43794</v>
      </c>
      <c r="M291" s="2">
        <v>0.60972222222222228</v>
      </c>
      <c r="N291" t="s">
        <v>33</v>
      </c>
      <c r="O291">
        <v>664.16</v>
      </c>
      <c r="P291">
        <v>4.7619047620000003</v>
      </c>
      <c r="Q291">
        <v>284.64</v>
      </c>
      <c r="R291">
        <v>4.2</v>
      </c>
      <c r="S291">
        <v>96.173500000000004</v>
      </c>
      <c r="T291">
        <v>16.840900000000001</v>
      </c>
    </row>
    <row r="292" spans="1:20" x14ac:dyDescent="0.3">
      <c r="A292" t="s">
        <v>553</v>
      </c>
      <c r="B292" t="s">
        <v>51</v>
      </c>
      <c r="C292" t="s">
        <v>141</v>
      </c>
      <c r="D292" t="s">
        <v>53</v>
      </c>
      <c r="E292" t="s">
        <v>24</v>
      </c>
      <c r="F292" t="s">
        <v>36</v>
      </c>
      <c r="G292" t="s">
        <v>26</v>
      </c>
      <c r="H292">
        <v>40.299999999999997</v>
      </c>
      <c r="I292">
        <v>20</v>
      </c>
      <c r="J292">
        <v>40.299999999999997</v>
      </c>
      <c r="K292">
        <v>806</v>
      </c>
      <c r="L292" s="1">
        <v>43504</v>
      </c>
      <c r="M292" s="2">
        <v>0.73402777777777772</v>
      </c>
      <c r="N292" t="s">
        <v>37</v>
      </c>
      <c r="O292">
        <v>403</v>
      </c>
      <c r="P292">
        <v>4.7619047620000003</v>
      </c>
      <c r="Q292">
        <v>403</v>
      </c>
      <c r="R292">
        <v>8.4</v>
      </c>
      <c r="S292">
        <v>96.089100000000002</v>
      </c>
      <c r="T292">
        <v>21.9588</v>
      </c>
    </row>
    <row r="293" spans="1:20" x14ac:dyDescent="0.3">
      <c r="A293" t="s">
        <v>554</v>
      </c>
      <c r="B293" t="s">
        <v>29</v>
      </c>
      <c r="C293" t="s">
        <v>555</v>
      </c>
      <c r="D293" t="s">
        <v>31</v>
      </c>
      <c r="E293" t="s">
        <v>32</v>
      </c>
      <c r="F293" t="s">
        <v>36</v>
      </c>
      <c r="G293" t="s">
        <v>26</v>
      </c>
      <c r="H293">
        <v>27.85</v>
      </c>
      <c r="I293">
        <v>8</v>
      </c>
      <c r="J293">
        <v>11.14</v>
      </c>
      <c r="K293">
        <v>222.8</v>
      </c>
      <c r="L293" s="1">
        <v>43542</v>
      </c>
      <c r="M293" s="2">
        <v>0.72222222222222221</v>
      </c>
      <c r="N293" t="s">
        <v>27</v>
      </c>
      <c r="O293">
        <v>194.95</v>
      </c>
      <c r="P293">
        <v>4.7619047620000003</v>
      </c>
      <c r="Q293">
        <v>27.85</v>
      </c>
      <c r="R293">
        <v>6.3</v>
      </c>
      <c r="S293">
        <v>96.078500000000005</v>
      </c>
      <c r="T293">
        <v>19.763300000000001</v>
      </c>
    </row>
    <row r="294" spans="1:20" x14ac:dyDescent="0.3">
      <c r="A294" t="s">
        <v>556</v>
      </c>
      <c r="B294" t="s">
        <v>21</v>
      </c>
      <c r="C294" t="s">
        <v>557</v>
      </c>
      <c r="D294" t="s">
        <v>23</v>
      </c>
      <c r="E294" t="s">
        <v>24</v>
      </c>
      <c r="F294" t="s">
        <v>25</v>
      </c>
      <c r="G294" t="s">
        <v>26</v>
      </c>
      <c r="H294">
        <v>62.48</v>
      </c>
      <c r="I294">
        <v>1</v>
      </c>
      <c r="J294">
        <v>3.1240000000000001</v>
      </c>
      <c r="K294">
        <v>62.48</v>
      </c>
      <c r="L294" s="1">
        <v>43495</v>
      </c>
      <c r="M294" s="2">
        <v>0.85347222222222219</v>
      </c>
      <c r="N294" t="s">
        <v>33</v>
      </c>
      <c r="O294">
        <v>62.48</v>
      </c>
      <c r="P294">
        <v>4.7619047620000003</v>
      </c>
      <c r="Q294">
        <v>0</v>
      </c>
      <c r="R294">
        <v>4.7</v>
      </c>
      <c r="S294">
        <v>96.173500000000004</v>
      </c>
      <c r="T294">
        <v>16.840900000000001</v>
      </c>
    </row>
    <row r="295" spans="1:20" x14ac:dyDescent="0.3">
      <c r="A295" t="s">
        <v>558</v>
      </c>
      <c r="B295" t="s">
        <v>21</v>
      </c>
      <c r="C295" t="s">
        <v>559</v>
      </c>
      <c r="D295" t="s">
        <v>23</v>
      </c>
      <c r="E295" t="s">
        <v>24</v>
      </c>
      <c r="F295" t="s">
        <v>25</v>
      </c>
      <c r="G295" t="s">
        <v>26</v>
      </c>
      <c r="H295">
        <v>36.36</v>
      </c>
      <c r="I295">
        <v>3</v>
      </c>
      <c r="J295">
        <v>5.4539999999999997</v>
      </c>
      <c r="K295">
        <v>109.08</v>
      </c>
      <c r="L295" s="1">
        <v>43648</v>
      </c>
      <c r="M295" s="2">
        <v>0.41666666666666669</v>
      </c>
      <c r="N295" t="s">
        <v>33</v>
      </c>
      <c r="O295">
        <v>72.72</v>
      </c>
      <c r="P295">
        <v>4.7619047620000003</v>
      </c>
      <c r="Q295">
        <v>36.36</v>
      </c>
      <c r="R295">
        <v>7.1</v>
      </c>
      <c r="S295">
        <v>96.173500000000004</v>
      </c>
      <c r="T295">
        <v>16.840900000000001</v>
      </c>
    </row>
    <row r="296" spans="1:20" x14ac:dyDescent="0.3">
      <c r="A296" t="s">
        <v>560</v>
      </c>
      <c r="B296" t="s">
        <v>51</v>
      </c>
      <c r="C296" t="s">
        <v>328</v>
      </c>
      <c r="D296" t="s">
        <v>53</v>
      </c>
      <c r="E296" t="s">
        <v>32</v>
      </c>
      <c r="F296" t="s">
        <v>36</v>
      </c>
      <c r="G296" t="s">
        <v>26</v>
      </c>
      <c r="H296">
        <v>18.11</v>
      </c>
      <c r="I296">
        <v>14</v>
      </c>
      <c r="J296">
        <v>12.677</v>
      </c>
      <c r="K296">
        <v>253.54</v>
      </c>
      <c r="L296" s="1">
        <v>43644</v>
      </c>
      <c r="M296" s="2">
        <v>0.49027777777777776</v>
      </c>
      <c r="N296" t="s">
        <v>27</v>
      </c>
      <c r="O296">
        <v>181.1</v>
      </c>
      <c r="P296">
        <v>4.7619047620000003</v>
      </c>
      <c r="Q296">
        <v>72.44</v>
      </c>
      <c r="R296">
        <v>7.08</v>
      </c>
      <c r="S296">
        <v>96.089100000000002</v>
      </c>
      <c r="T296">
        <v>21.9588</v>
      </c>
    </row>
    <row r="297" spans="1:20" x14ac:dyDescent="0.3">
      <c r="A297" t="s">
        <v>561</v>
      </c>
      <c r="B297" t="s">
        <v>29</v>
      </c>
      <c r="C297" t="s">
        <v>303</v>
      </c>
      <c r="D297" t="s">
        <v>31</v>
      </c>
      <c r="E297" t="s">
        <v>24</v>
      </c>
      <c r="F297" t="s">
        <v>25</v>
      </c>
      <c r="G297" t="s">
        <v>60</v>
      </c>
      <c r="H297">
        <v>51.92</v>
      </c>
      <c r="I297">
        <v>8</v>
      </c>
      <c r="J297">
        <v>20.768000000000001</v>
      </c>
      <c r="K297">
        <v>415.36</v>
      </c>
      <c r="L297" s="1">
        <v>43571</v>
      </c>
      <c r="M297" s="2">
        <v>0.5708333333333333</v>
      </c>
      <c r="N297" t="s">
        <v>33</v>
      </c>
      <c r="O297">
        <v>259.60000000000002</v>
      </c>
      <c r="P297">
        <v>4.7619047620000003</v>
      </c>
      <c r="Q297">
        <v>155.76</v>
      </c>
      <c r="R297">
        <v>7.875</v>
      </c>
      <c r="S297">
        <v>96.078500000000005</v>
      </c>
      <c r="T297">
        <v>19.763300000000001</v>
      </c>
    </row>
    <row r="298" spans="1:20" x14ac:dyDescent="0.3">
      <c r="A298" t="s">
        <v>562</v>
      </c>
      <c r="B298" t="s">
        <v>29</v>
      </c>
      <c r="C298" t="s">
        <v>563</v>
      </c>
      <c r="D298" t="s">
        <v>31</v>
      </c>
      <c r="E298" t="s">
        <v>32</v>
      </c>
      <c r="F298" t="s">
        <v>36</v>
      </c>
      <c r="G298" t="s">
        <v>60</v>
      </c>
      <c r="H298">
        <v>28.84</v>
      </c>
      <c r="I298">
        <v>5</v>
      </c>
      <c r="J298">
        <v>7.21</v>
      </c>
      <c r="K298">
        <v>144.19999999999999</v>
      </c>
      <c r="L298" s="1">
        <v>43495</v>
      </c>
      <c r="M298" s="2">
        <v>0.61388888888888893</v>
      </c>
      <c r="N298" t="s">
        <v>33</v>
      </c>
      <c r="O298">
        <v>115.36</v>
      </c>
      <c r="P298">
        <v>4.7619047620000003</v>
      </c>
      <c r="Q298">
        <v>28.84</v>
      </c>
      <c r="R298">
        <v>6.72</v>
      </c>
      <c r="S298">
        <v>96.078500000000005</v>
      </c>
      <c r="T298">
        <v>19.763300000000001</v>
      </c>
    </row>
    <row r="299" spans="1:20" x14ac:dyDescent="0.3">
      <c r="A299" t="s">
        <v>564</v>
      </c>
      <c r="B299" t="s">
        <v>21</v>
      </c>
      <c r="C299" t="s">
        <v>354</v>
      </c>
      <c r="D299" t="s">
        <v>23</v>
      </c>
      <c r="E299" t="s">
        <v>24</v>
      </c>
      <c r="F299" t="s">
        <v>36</v>
      </c>
      <c r="G299" t="s">
        <v>77</v>
      </c>
      <c r="H299">
        <v>78.38</v>
      </c>
      <c r="I299">
        <v>8</v>
      </c>
      <c r="J299">
        <v>31.352</v>
      </c>
      <c r="K299">
        <v>627.04</v>
      </c>
      <c r="L299" s="1">
        <v>43611</v>
      </c>
      <c r="M299" s="2">
        <v>0.59444444444444444</v>
      </c>
      <c r="N299" t="s">
        <v>27</v>
      </c>
      <c r="O299">
        <v>470.28</v>
      </c>
      <c r="P299">
        <v>4.7619047620000003</v>
      </c>
      <c r="Q299">
        <v>156.76</v>
      </c>
      <c r="R299">
        <v>5.8</v>
      </c>
      <c r="S299">
        <v>96.173500000000004</v>
      </c>
      <c r="T299">
        <v>16.840900000000001</v>
      </c>
    </row>
    <row r="300" spans="1:20" x14ac:dyDescent="0.3">
      <c r="A300" t="s">
        <v>565</v>
      </c>
      <c r="B300" t="s">
        <v>21</v>
      </c>
      <c r="C300" t="s">
        <v>566</v>
      </c>
      <c r="D300" t="s">
        <v>23</v>
      </c>
      <c r="E300" t="s">
        <v>24</v>
      </c>
      <c r="F300" t="s">
        <v>36</v>
      </c>
      <c r="G300" t="s">
        <v>77</v>
      </c>
      <c r="H300">
        <v>60.01</v>
      </c>
      <c r="I300">
        <v>6</v>
      </c>
      <c r="J300">
        <v>18.003</v>
      </c>
      <c r="K300">
        <v>360.06</v>
      </c>
      <c r="L300" s="1">
        <v>43599</v>
      </c>
      <c r="M300" s="2">
        <v>0.66249999999999998</v>
      </c>
      <c r="N300" t="s">
        <v>33</v>
      </c>
      <c r="O300">
        <v>240.04</v>
      </c>
      <c r="P300">
        <v>4.7619047620000003</v>
      </c>
      <c r="Q300">
        <v>120.02</v>
      </c>
      <c r="R300">
        <v>4.5</v>
      </c>
      <c r="S300">
        <v>96.173500000000004</v>
      </c>
      <c r="T300">
        <v>16.840900000000001</v>
      </c>
    </row>
    <row r="301" spans="1:20" x14ac:dyDescent="0.3">
      <c r="A301" t="s">
        <v>567</v>
      </c>
      <c r="B301" t="s">
        <v>21</v>
      </c>
      <c r="C301" t="s">
        <v>154</v>
      </c>
      <c r="D301" t="s">
        <v>31</v>
      </c>
      <c r="E301" t="s">
        <v>24</v>
      </c>
      <c r="F301" t="s">
        <v>25</v>
      </c>
      <c r="G301" t="s">
        <v>77</v>
      </c>
      <c r="H301">
        <v>88.61</v>
      </c>
      <c r="I301">
        <v>1</v>
      </c>
      <c r="J301">
        <v>4.4305000000000003</v>
      </c>
      <c r="K301">
        <v>88.61</v>
      </c>
      <c r="L301" s="1">
        <v>43551</v>
      </c>
      <c r="M301" s="2">
        <v>0.43125000000000002</v>
      </c>
      <c r="N301" t="s">
        <v>33</v>
      </c>
      <c r="O301">
        <v>88.61</v>
      </c>
      <c r="P301">
        <v>4.7619047620000003</v>
      </c>
      <c r="Q301">
        <v>0</v>
      </c>
      <c r="R301">
        <v>8.0850000000000009</v>
      </c>
      <c r="S301">
        <v>96.078500000000005</v>
      </c>
      <c r="T301">
        <v>19.763300000000001</v>
      </c>
    </row>
    <row r="302" spans="1:20" x14ac:dyDescent="0.3">
      <c r="A302" t="s">
        <v>568</v>
      </c>
      <c r="B302" t="s">
        <v>21</v>
      </c>
      <c r="C302" t="s">
        <v>569</v>
      </c>
      <c r="D302" t="s">
        <v>31</v>
      </c>
      <c r="E302" t="s">
        <v>32</v>
      </c>
      <c r="F302" t="s">
        <v>36</v>
      </c>
      <c r="G302" t="s">
        <v>100</v>
      </c>
      <c r="H302">
        <v>99.82</v>
      </c>
      <c r="I302">
        <v>2</v>
      </c>
      <c r="J302">
        <v>9.9819999999999993</v>
      </c>
      <c r="K302">
        <v>199.64</v>
      </c>
      <c r="L302" s="1">
        <v>43640</v>
      </c>
      <c r="M302" s="2">
        <v>0.75624999999999998</v>
      </c>
      <c r="N302" t="s">
        <v>37</v>
      </c>
      <c r="O302">
        <v>199.64</v>
      </c>
      <c r="P302">
        <v>4.7619047620000003</v>
      </c>
      <c r="Q302">
        <v>0</v>
      </c>
      <c r="R302">
        <v>7.0350000000000001</v>
      </c>
      <c r="S302">
        <v>96.078500000000005</v>
      </c>
      <c r="T302">
        <v>19.763300000000001</v>
      </c>
    </row>
    <row r="303" spans="1:20" x14ac:dyDescent="0.3">
      <c r="A303" t="s">
        <v>570</v>
      </c>
      <c r="B303" t="s">
        <v>21</v>
      </c>
      <c r="C303" t="s">
        <v>440</v>
      </c>
      <c r="D303" t="s">
        <v>53</v>
      </c>
      <c r="E303" t="s">
        <v>24</v>
      </c>
      <c r="F303" t="s">
        <v>36</v>
      </c>
      <c r="G303" t="s">
        <v>26</v>
      </c>
      <c r="H303">
        <v>39.01</v>
      </c>
      <c r="I303">
        <v>1</v>
      </c>
      <c r="J303">
        <f t="shared" ref="J303:J310" si="9">K303*5%</f>
        <v>1.9504999999999999</v>
      </c>
      <c r="K303">
        <v>39.01</v>
      </c>
      <c r="L303" s="1">
        <v>43647</v>
      </c>
      <c r="M303" s="2">
        <v>0.69861111111111107</v>
      </c>
      <c r="N303" t="s">
        <v>37</v>
      </c>
      <c r="O303">
        <v>39.01</v>
      </c>
      <c r="P303">
        <v>4.7619047620000003</v>
      </c>
      <c r="Q303">
        <v>0</v>
      </c>
      <c r="R303">
        <v>5.64</v>
      </c>
      <c r="S303">
        <v>96.089100000000002</v>
      </c>
      <c r="T303">
        <v>21.9588</v>
      </c>
    </row>
    <row r="304" spans="1:20" x14ac:dyDescent="0.3">
      <c r="A304" t="s">
        <v>571</v>
      </c>
      <c r="B304" t="s">
        <v>21</v>
      </c>
      <c r="C304" t="s">
        <v>374</v>
      </c>
      <c r="D304" t="s">
        <v>31</v>
      </c>
      <c r="E304" t="s">
        <v>32</v>
      </c>
      <c r="F304" t="s">
        <v>36</v>
      </c>
      <c r="G304" t="s">
        <v>63</v>
      </c>
      <c r="H304">
        <v>48.61</v>
      </c>
      <c r="I304">
        <v>1</v>
      </c>
      <c r="J304">
        <f t="shared" si="9"/>
        <v>2.4305000000000003</v>
      </c>
      <c r="K304">
        <v>48.61</v>
      </c>
      <c r="L304" s="1">
        <v>43583</v>
      </c>
      <c r="M304" s="2">
        <v>0.64652777777777781</v>
      </c>
      <c r="N304" t="s">
        <v>33</v>
      </c>
      <c r="O304">
        <v>48.61</v>
      </c>
      <c r="P304">
        <v>4.7619047620000003</v>
      </c>
      <c r="Q304">
        <v>0</v>
      </c>
      <c r="R304">
        <v>4.62</v>
      </c>
      <c r="S304">
        <v>96.078500000000005</v>
      </c>
      <c r="T304">
        <v>19.763300000000001</v>
      </c>
    </row>
    <row r="305" spans="1:20" x14ac:dyDescent="0.3">
      <c r="A305" t="s">
        <v>572</v>
      </c>
      <c r="B305" t="s">
        <v>21</v>
      </c>
      <c r="C305" t="s">
        <v>573</v>
      </c>
      <c r="D305" t="s">
        <v>23</v>
      </c>
      <c r="E305" t="s">
        <v>32</v>
      </c>
      <c r="F305" t="s">
        <v>25</v>
      </c>
      <c r="G305" t="s">
        <v>60</v>
      </c>
      <c r="H305">
        <v>51.19</v>
      </c>
      <c r="I305">
        <v>4</v>
      </c>
      <c r="J305">
        <f t="shared" si="9"/>
        <v>10.238</v>
      </c>
      <c r="K305">
        <v>204.76</v>
      </c>
      <c r="L305" s="1">
        <v>43632</v>
      </c>
      <c r="M305" s="2">
        <v>0.71875</v>
      </c>
      <c r="N305" t="s">
        <v>37</v>
      </c>
      <c r="O305">
        <v>204.76</v>
      </c>
      <c r="P305">
        <v>4.7619047620000003</v>
      </c>
      <c r="Q305">
        <v>0</v>
      </c>
      <c r="R305">
        <v>7.46</v>
      </c>
      <c r="S305">
        <v>96.173500000000004</v>
      </c>
      <c r="T305">
        <v>16.840900000000001</v>
      </c>
    </row>
    <row r="306" spans="1:20" x14ac:dyDescent="0.3">
      <c r="A306" t="s">
        <v>574</v>
      </c>
      <c r="B306" t="s">
        <v>51</v>
      </c>
      <c r="C306" t="s">
        <v>575</v>
      </c>
      <c r="D306" t="s">
        <v>53</v>
      </c>
      <c r="E306" t="s">
        <v>32</v>
      </c>
      <c r="F306" t="s">
        <v>25</v>
      </c>
      <c r="G306" t="s">
        <v>60</v>
      </c>
      <c r="H306">
        <v>14.96</v>
      </c>
      <c r="I306">
        <v>11</v>
      </c>
      <c r="J306">
        <f t="shared" si="9"/>
        <v>8.2279999999999998</v>
      </c>
      <c r="K306">
        <v>164.56</v>
      </c>
      <c r="L306" s="1">
        <v>43492</v>
      </c>
      <c r="M306" s="2">
        <v>0.52013888888888893</v>
      </c>
      <c r="N306" t="s">
        <v>33</v>
      </c>
      <c r="O306">
        <v>119.68</v>
      </c>
      <c r="P306">
        <v>4.7619047620000003</v>
      </c>
      <c r="Q306">
        <v>44.88</v>
      </c>
      <c r="R306">
        <v>7.46</v>
      </c>
      <c r="S306">
        <v>96.089100000000002</v>
      </c>
      <c r="T306">
        <v>21.9588</v>
      </c>
    </row>
    <row r="307" spans="1:20" x14ac:dyDescent="0.3">
      <c r="A307" t="s">
        <v>576</v>
      </c>
      <c r="B307" t="s">
        <v>21</v>
      </c>
      <c r="C307" t="s">
        <v>577</v>
      </c>
      <c r="D307" t="s">
        <v>23</v>
      </c>
      <c r="E307" t="s">
        <v>32</v>
      </c>
      <c r="F307" t="s">
        <v>36</v>
      </c>
      <c r="G307" t="s">
        <v>60</v>
      </c>
      <c r="H307">
        <v>72.2</v>
      </c>
      <c r="I307">
        <v>7</v>
      </c>
      <c r="J307">
        <f t="shared" si="9"/>
        <v>25.27</v>
      </c>
      <c r="K307">
        <v>505.4</v>
      </c>
      <c r="L307" s="1">
        <v>43557</v>
      </c>
      <c r="M307" s="2">
        <v>0.84305555555555556</v>
      </c>
      <c r="N307" t="s">
        <v>27</v>
      </c>
      <c r="O307">
        <v>505.4</v>
      </c>
      <c r="P307">
        <v>4.7619047620000003</v>
      </c>
      <c r="Q307">
        <v>0</v>
      </c>
      <c r="R307">
        <v>7.46</v>
      </c>
      <c r="S307">
        <v>96.173500000000004</v>
      </c>
      <c r="T307">
        <v>16.840900000000001</v>
      </c>
    </row>
    <row r="308" spans="1:20" x14ac:dyDescent="0.3">
      <c r="A308" t="s">
        <v>578</v>
      </c>
      <c r="B308" t="s">
        <v>21</v>
      </c>
      <c r="C308" t="s">
        <v>213</v>
      </c>
      <c r="D308" t="s">
        <v>23</v>
      </c>
      <c r="E308" t="s">
        <v>32</v>
      </c>
      <c r="F308" t="s">
        <v>25</v>
      </c>
      <c r="G308" t="s">
        <v>68</v>
      </c>
      <c r="H308">
        <v>40.229999999999997</v>
      </c>
      <c r="I308">
        <v>7</v>
      </c>
      <c r="J308">
        <f t="shared" si="9"/>
        <v>14.080500000000001</v>
      </c>
      <c r="K308">
        <v>281.61</v>
      </c>
      <c r="L308" s="1">
        <v>43631</v>
      </c>
      <c r="M308" s="2">
        <v>0.55694444444444446</v>
      </c>
      <c r="N308" t="s">
        <v>33</v>
      </c>
      <c r="O308">
        <v>281.61</v>
      </c>
      <c r="P308">
        <v>4.7619047620000003</v>
      </c>
      <c r="Q308">
        <v>0</v>
      </c>
      <c r="R308">
        <v>7.46</v>
      </c>
      <c r="S308">
        <v>96.173500000000004</v>
      </c>
      <c r="T308">
        <v>16.840900000000001</v>
      </c>
    </row>
    <row r="309" spans="1:20" x14ac:dyDescent="0.3">
      <c r="A309" t="s">
        <v>579</v>
      </c>
      <c r="B309" t="s">
        <v>21</v>
      </c>
      <c r="C309" t="s">
        <v>580</v>
      </c>
      <c r="D309" t="s">
        <v>23</v>
      </c>
      <c r="E309" t="s">
        <v>24</v>
      </c>
      <c r="F309" t="s">
        <v>25</v>
      </c>
      <c r="G309" t="s">
        <v>77</v>
      </c>
      <c r="H309">
        <v>88.79</v>
      </c>
      <c r="I309">
        <v>11</v>
      </c>
      <c r="J309">
        <f t="shared" si="9"/>
        <v>48.834500000000006</v>
      </c>
      <c r="K309">
        <v>976.69</v>
      </c>
      <c r="L309" s="1">
        <v>43688</v>
      </c>
      <c r="M309" s="2">
        <v>0.71458333333333335</v>
      </c>
      <c r="N309" t="s">
        <v>33</v>
      </c>
      <c r="O309">
        <v>710.32</v>
      </c>
      <c r="P309">
        <v>4.7619047620000003</v>
      </c>
      <c r="Q309">
        <v>266.37</v>
      </c>
      <c r="R309">
        <v>7.46</v>
      </c>
      <c r="S309">
        <v>96.173500000000004</v>
      </c>
      <c r="T309">
        <v>16.840900000000001</v>
      </c>
    </row>
    <row r="310" spans="1:20" x14ac:dyDescent="0.3">
      <c r="A310" t="s">
        <v>581</v>
      </c>
      <c r="B310" t="s">
        <v>21</v>
      </c>
      <c r="C310" t="s">
        <v>294</v>
      </c>
      <c r="D310" t="s">
        <v>23</v>
      </c>
      <c r="E310" t="s">
        <v>24</v>
      </c>
      <c r="F310" t="s">
        <v>25</v>
      </c>
      <c r="G310" t="s">
        <v>60</v>
      </c>
      <c r="H310">
        <v>26.48</v>
      </c>
      <c r="I310">
        <v>4</v>
      </c>
      <c r="J310">
        <f t="shared" si="9"/>
        <v>5.2960000000000003</v>
      </c>
      <c r="K310">
        <v>105.92</v>
      </c>
      <c r="L310" s="1">
        <v>43645</v>
      </c>
      <c r="M310" s="2">
        <v>0.44444444444444442</v>
      </c>
      <c r="N310" t="s">
        <v>27</v>
      </c>
      <c r="O310">
        <v>79.44</v>
      </c>
      <c r="P310">
        <v>4.7619047620000003</v>
      </c>
      <c r="Q310">
        <v>26.48</v>
      </c>
      <c r="R310">
        <v>7.46</v>
      </c>
      <c r="S310">
        <v>96.173500000000004</v>
      </c>
      <c r="T310">
        <v>16.840900000000001</v>
      </c>
    </row>
    <row r="311" spans="1:20" x14ac:dyDescent="0.3">
      <c r="A311" t="s">
        <v>582</v>
      </c>
      <c r="B311" t="s">
        <v>21</v>
      </c>
      <c r="C311" t="s">
        <v>583</v>
      </c>
      <c r="D311" t="s">
        <v>23</v>
      </c>
      <c r="E311" t="s">
        <v>32</v>
      </c>
      <c r="F311" t="s">
        <v>25</v>
      </c>
      <c r="G311" t="s">
        <v>100</v>
      </c>
      <c r="H311">
        <v>81.91</v>
      </c>
      <c r="I311">
        <v>2</v>
      </c>
      <c r="J311">
        <v>8.1910000000000007</v>
      </c>
      <c r="K311">
        <v>163.82</v>
      </c>
      <c r="L311" s="1">
        <v>43717</v>
      </c>
      <c r="M311" s="2">
        <v>0.73819444444444449</v>
      </c>
      <c r="N311" t="s">
        <v>33</v>
      </c>
      <c r="O311">
        <v>163.82</v>
      </c>
      <c r="P311">
        <v>4.7619047620000003</v>
      </c>
      <c r="Q311">
        <v>0</v>
      </c>
      <c r="R311">
        <v>7.46</v>
      </c>
      <c r="S311">
        <v>96.173500000000004</v>
      </c>
      <c r="T311">
        <v>16.840900000000001</v>
      </c>
    </row>
    <row r="312" spans="1:20" x14ac:dyDescent="0.3">
      <c r="A312" t="s">
        <v>584</v>
      </c>
      <c r="B312" t="s">
        <v>51</v>
      </c>
      <c r="C312" t="s">
        <v>260</v>
      </c>
      <c r="D312" t="s">
        <v>53</v>
      </c>
      <c r="E312" t="s">
        <v>24</v>
      </c>
      <c r="F312" t="s">
        <v>36</v>
      </c>
      <c r="G312" t="s">
        <v>68</v>
      </c>
      <c r="H312">
        <v>79.930000000000007</v>
      </c>
      <c r="I312">
        <v>11</v>
      </c>
      <c r="J312">
        <v>43.961500000000001</v>
      </c>
      <c r="K312">
        <v>879.23</v>
      </c>
      <c r="L312" s="1">
        <v>43802</v>
      </c>
      <c r="M312" s="2">
        <v>0.58611111111111114</v>
      </c>
      <c r="N312" t="s">
        <v>33</v>
      </c>
      <c r="O312">
        <v>479.58</v>
      </c>
      <c r="P312">
        <v>4.7619047620000003</v>
      </c>
      <c r="Q312">
        <v>399.65</v>
      </c>
      <c r="R312">
        <v>7.46</v>
      </c>
      <c r="S312">
        <v>96.089100000000002</v>
      </c>
      <c r="T312">
        <v>21.9588</v>
      </c>
    </row>
    <row r="313" spans="1:20" x14ac:dyDescent="0.3">
      <c r="A313" t="s">
        <v>585</v>
      </c>
      <c r="B313" t="s">
        <v>29</v>
      </c>
      <c r="C313" t="s">
        <v>127</v>
      </c>
      <c r="D313" t="s">
        <v>31</v>
      </c>
      <c r="E313" t="s">
        <v>24</v>
      </c>
      <c r="F313" t="s">
        <v>36</v>
      </c>
      <c r="G313" t="s">
        <v>100</v>
      </c>
      <c r="H313">
        <v>69.33</v>
      </c>
      <c r="I313">
        <v>3</v>
      </c>
      <c r="J313">
        <v>10.3995</v>
      </c>
      <c r="K313">
        <v>207.99</v>
      </c>
      <c r="L313" s="1">
        <v>43521</v>
      </c>
      <c r="M313" s="2">
        <v>0.79513888888888884</v>
      </c>
      <c r="N313" t="s">
        <v>27</v>
      </c>
      <c r="O313">
        <v>138.66</v>
      </c>
      <c r="P313">
        <v>4.7619047620000003</v>
      </c>
      <c r="Q313">
        <v>69.33</v>
      </c>
      <c r="R313">
        <v>10</v>
      </c>
      <c r="S313">
        <v>96.078500000000005</v>
      </c>
      <c r="T313">
        <v>19.763300000000001</v>
      </c>
    </row>
    <row r="314" spans="1:20" x14ac:dyDescent="0.3">
      <c r="A314" t="s">
        <v>586</v>
      </c>
      <c r="B314" t="s">
        <v>21</v>
      </c>
      <c r="C314" t="s">
        <v>587</v>
      </c>
      <c r="D314" t="s">
        <v>23</v>
      </c>
      <c r="E314" t="s">
        <v>24</v>
      </c>
      <c r="F314" t="s">
        <v>25</v>
      </c>
      <c r="G314" t="s">
        <v>63</v>
      </c>
      <c r="H314">
        <v>14.23</v>
      </c>
      <c r="I314">
        <v>7</v>
      </c>
      <c r="J314">
        <v>4.9805000000000001</v>
      </c>
      <c r="K314">
        <v>99.61</v>
      </c>
      <c r="L314" s="1">
        <v>43756</v>
      </c>
      <c r="M314" s="2">
        <v>0.42222222222222222</v>
      </c>
      <c r="N314" t="s">
        <v>37</v>
      </c>
      <c r="O314">
        <v>71.150000000000006</v>
      </c>
      <c r="P314">
        <v>4.7619047620000003</v>
      </c>
      <c r="Q314">
        <v>28.46</v>
      </c>
      <c r="R314">
        <v>4.4000000000000004</v>
      </c>
      <c r="S314">
        <v>96.173500000000004</v>
      </c>
      <c r="T314">
        <v>16.840900000000001</v>
      </c>
    </row>
    <row r="315" spans="1:20" x14ac:dyDescent="0.3">
      <c r="A315" t="s">
        <v>588</v>
      </c>
      <c r="B315" t="s">
        <v>21</v>
      </c>
      <c r="C315" t="s">
        <v>589</v>
      </c>
      <c r="D315" t="s">
        <v>23</v>
      </c>
      <c r="E315" t="s">
        <v>24</v>
      </c>
      <c r="F315" t="s">
        <v>25</v>
      </c>
      <c r="G315" t="s">
        <v>26</v>
      </c>
      <c r="H315">
        <v>15.55</v>
      </c>
      <c r="I315">
        <v>13</v>
      </c>
      <c r="J315">
        <v>10.1075</v>
      </c>
      <c r="K315">
        <v>202.15</v>
      </c>
      <c r="L315" s="1">
        <v>43718</v>
      </c>
      <c r="M315" s="2">
        <v>0.55000000000000004</v>
      </c>
      <c r="N315" t="s">
        <v>33</v>
      </c>
      <c r="O315">
        <v>139.94999999999999</v>
      </c>
      <c r="P315">
        <v>4.7619047620000003</v>
      </c>
      <c r="Q315">
        <v>62.2</v>
      </c>
      <c r="R315">
        <v>5</v>
      </c>
      <c r="S315">
        <v>96.173500000000004</v>
      </c>
      <c r="T315">
        <v>16.840900000000001</v>
      </c>
    </row>
    <row r="316" spans="1:20" x14ac:dyDescent="0.3">
      <c r="A316" t="s">
        <v>590</v>
      </c>
      <c r="B316" t="s">
        <v>29</v>
      </c>
      <c r="C316" t="s">
        <v>256</v>
      </c>
      <c r="D316" t="s">
        <v>31</v>
      </c>
      <c r="E316" t="s">
        <v>24</v>
      </c>
      <c r="F316" t="s">
        <v>25</v>
      </c>
      <c r="G316" t="s">
        <v>26</v>
      </c>
      <c r="H316">
        <v>78.13</v>
      </c>
      <c r="I316">
        <v>17</v>
      </c>
      <c r="J316">
        <v>66.410499999999999</v>
      </c>
      <c r="K316">
        <v>1328.21</v>
      </c>
      <c r="L316" s="1">
        <v>43518</v>
      </c>
      <c r="M316" s="2">
        <v>0.86875000000000002</v>
      </c>
      <c r="N316" t="s">
        <v>33</v>
      </c>
      <c r="O316">
        <v>781.3</v>
      </c>
      <c r="P316">
        <v>4.7619047620000003</v>
      </c>
      <c r="Q316">
        <v>546.91</v>
      </c>
      <c r="R316">
        <v>4.62</v>
      </c>
      <c r="S316">
        <v>96.078500000000005</v>
      </c>
      <c r="T316">
        <v>19.763300000000001</v>
      </c>
    </row>
    <row r="317" spans="1:20" x14ac:dyDescent="0.3">
      <c r="A317" t="s">
        <v>591</v>
      </c>
      <c r="B317" t="s">
        <v>29</v>
      </c>
      <c r="C317" t="s">
        <v>592</v>
      </c>
      <c r="D317" t="s">
        <v>31</v>
      </c>
      <c r="E317" t="s">
        <v>24</v>
      </c>
      <c r="F317" t="s">
        <v>36</v>
      </c>
      <c r="G317" t="s">
        <v>26</v>
      </c>
      <c r="H317">
        <v>99.37</v>
      </c>
      <c r="I317">
        <v>3</v>
      </c>
      <c r="J317">
        <v>14.9055</v>
      </c>
      <c r="K317">
        <v>298.11</v>
      </c>
      <c r="L317" s="1">
        <v>43649</v>
      </c>
      <c r="M317" s="2">
        <v>0.72847222222222219</v>
      </c>
      <c r="N317" t="s">
        <v>33</v>
      </c>
      <c r="O317">
        <v>198.74</v>
      </c>
      <c r="P317">
        <v>4.7619047620000003</v>
      </c>
      <c r="Q317">
        <v>99.37</v>
      </c>
      <c r="R317">
        <v>5.46</v>
      </c>
      <c r="S317">
        <v>96.078500000000005</v>
      </c>
      <c r="T317">
        <v>19.763300000000001</v>
      </c>
    </row>
    <row r="318" spans="1:20" x14ac:dyDescent="0.3">
      <c r="A318" t="s">
        <v>593</v>
      </c>
      <c r="B318" t="s">
        <v>29</v>
      </c>
      <c r="C318" t="s">
        <v>594</v>
      </c>
      <c r="D318" t="s">
        <v>31</v>
      </c>
      <c r="E318" t="s">
        <v>24</v>
      </c>
      <c r="F318" t="s">
        <v>25</v>
      </c>
      <c r="G318" t="s">
        <v>26</v>
      </c>
      <c r="H318">
        <v>21.08</v>
      </c>
      <c r="I318">
        <v>6</v>
      </c>
      <c r="J318">
        <v>6.3239999999999998</v>
      </c>
      <c r="K318">
        <v>126.48</v>
      </c>
      <c r="L318" s="1">
        <v>43468</v>
      </c>
      <c r="M318" s="2">
        <v>0.43402777777777779</v>
      </c>
      <c r="N318" t="s">
        <v>33</v>
      </c>
      <c r="O318">
        <v>63.24</v>
      </c>
      <c r="P318">
        <v>4.7619047620000003</v>
      </c>
      <c r="Q318">
        <v>63.24</v>
      </c>
      <c r="R318">
        <v>7.665</v>
      </c>
      <c r="S318">
        <v>96.078500000000005</v>
      </c>
      <c r="T318">
        <v>19.763300000000001</v>
      </c>
    </row>
    <row r="319" spans="1:20" x14ac:dyDescent="0.3">
      <c r="A319" t="s">
        <v>595</v>
      </c>
      <c r="B319" t="s">
        <v>29</v>
      </c>
      <c r="C319" t="s">
        <v>596</v>
      </c>
      <c r="D319" t="s">
        <v>31</v>
      </c>
      <c r="E319" t="s">
        <v>24</v>
      </c>
      <c r="F319" t="s">
        <v>36</v>
      </c>
      <c r="G319" t="s">
        <v>26</v>
      </c>
      <c r="H319">
        <v>74.790000000000006</v>
      </c>
      <c r="I319">
        <v>8</v>
      </c>
      <c r="J319">
        <v>29.916</v>
      </c>
      <c r="K319">
        <v>598.32000000000005</v>
      </c>
      <c r="L319" s="1">
        <v>43602</v>
      </c>
      <c r="M319" s="2">
        <v>0.48194444444444445</v>
      </c>
      <c r="N319" t="s">
        <v>33</v>
      </c>
      <c r="O319">
        <v>373.95</v>
      </c>
      <c r="P319">
        <v>4.7619047620000003</v>
      </c>
      <c r="Q319">
        <v>224.37</v>
      </c>
      <c r="R319">
        <v>5.1449999999999996</v>
      </c>
      <c r="S319">
        <v>96.078500000000005</v>
      </c>
      <c r="T319">
        <v>19.763300000000001</v>
      </c>
    </row>
    <row r="320" spans="1:20" x14ac:dyDescent="0.3">
      <c r="A320" t="s">
        <v>597</v>
      </c>
      <c r="B320" t="s">
        <v>29</v>
      </c>
      <c r="C320" t="s">
        <v>598</v>
      </c>
      <c r="D320" t="s">
        <v>31</v>
      </c>
      <c r="E320" t="s">
        <v>32</v>
      </c>
      <c r="F320" t="s">
        <v>25</v>
      </c>
      <c r="G320" t="s">
        <v>26</v>
      </c>
      <c r="H320">
        <v>29.67</v>
      </c>
      <c r="I320">
        <v>8</v>
      </c>
      <c r="J320">
        <v>11.868</v>
      </c>
      <c r="K320">
        <v>237.36</v>
      </c>
      <c r="L320" s="1">
        <v>43808</v>
      </c>
      <c r="M320" s="2">
        <v>0.79027777777777775</v>
      </c>
      <c r="N320" t="s">
        <v>37</v>
      </c>
      <c r="O320">
        <v>207.69</v>
      </c>
      <c r="P320">
        <v>4.7619047620000003</v>
      </c>
      <c r="Q320">
        <v>29.67</v>
      </c>
      <c r="R320">
        <v>8.5050000000000008</v>
      </c>
      <c r="S320">
        <v>96.078500000000005</v>
      </c>
      <c r="T320">
        <v>19.763300000000001</v>
      </c>
    </row>
    <row r="321" spans="1:20" x14ac:dyDescent="0.3">
      <c r="A321" t="s">
        <v>599</v>
      </c>
      <c r="B321" t="s">
        <v>29</v>
      </c>
      <c r="C321" t="s">
        <v>600</v>
      </c>
      <c r="D321" t="s">
        <v>31</v>
      </c>
      <c r="E321" t="s">
        <v>32</v>
      </c>
      <c r="F321" t="s">
        <v>36</v>
      </c>
      <c r="G321" t="s">
        <v>26</v>
      </c>
      <c r="H321">
        <v>44.07</v>
      </c>
      <c r="I321">
        <v>5</v>
      </c>
      <c r="J321">
        <v>11.0175</v>
      </c>
      <c r="K321">
        <v>220.35</v>
      </c>
      <c r="L321" s="1">
        <v>43757</v>
      </c>
      <c r="M321" s="2">
        <v>0.68611111111111112</v>
      </c>
      <c r="N321" t="s">
        <v>27</v>
      </c>
      <c r="O321">
        <v>176.28</v>
      </c>
      <c r="P321">
        <v>4.7619047620000003</v>
      </c>
      <c r="Q321">
        <v>44.07</v>
      </c>
      <c r="R321">
        <v>8.82</v>
      </c>
      <c r="S321">
        <v>96.078500000000005</v>
      </c>
      <c r="T321">
        <v>19.763300000000001</v>
      </c>
    </row>
    <row r="322" spans="1:20" x14ac:dyDescent="0.3">
      <c r="A322" t="s">
        <v>601</v>
      </c>
      <c r="B322" t="s">
        <v>29</v>
      </c>
      <c r="C322" t="s">
        <v>138</v>
      </c>
      <c r="D322" t="s">
        <v>31</v>
      </c>
      <c r="E322" t="s">
        <v>32</v>
      </c>
      <c r="F322" t="s">
        <v>25</v>
      </c>
      <c r="G322" t="s">
        <v>26</v>
      </c>
      <c r="H322">
        <v>22.93</v>
      </c>
      <c r="I322">
        <v>11</v>
      </c>
      <c r="J322">
        <v>12.611499999999999</v>
      </c>
      <c r="K322">
        <v>252.23</v>
      </c>
      <c r="L322" s="1">
        <v>43779</v>
      </c>
      <c r="M322" s="2">
        <v>0.85138888888888886</v>
      </c>
      <c r="N322" t="s">
        <v>33</v>
      </c>
      <c r="O322">
        <v>206.37</v>
      </c>
      <c r="P322">
        <v>4.7619047620000003</v>
      </c>
      <c r="Q322">
        <v>45.86</v>
      </c>
      <c r="R322">
        <v>5.7750000000000004</v>
      </c>
      <c r="S322">
        <v>96.078500000000005</v>
      </c>
      <c r="T322">
        <v>19.763300000000001</v>
      </c>
    </row>
    <row r="323" spans="1:20" x14ac:dyDescent="0.3">
      <c r="A323" t="s">
        <v>602</v>
      </c>
      <c r="B323" t="s">
        <v>29</v>
      </c>
      <c r="C323" t="s">
        <v>197</v>
      </c>
      <c r="D323" t="s">
        <v>31</v>
      </c>
      <c r="E323" t="s">
        <v>32</v>
      </c>
      <c r="F323" t="s">
        <v>25</v>
      </c>
      <c r="G323" t="s">
        <v>26</v>
      </c>
      <c r="H323">
        <v>39.42</v>
      </c>
      <c r="I323">
        <v>1</v>
      </c>
      <c r="J323">
        <v>1.9710000000000001</v>
      </c>
      <c r="K323">
        <v>39.42</v>
      </c>
      <c r="L323" s="1">
        <v>43492</v>
      </c>
      <c r="M323" s="2">
        <v>0.63055555555555554</v>
      </c>
      <c r="N323" t="s">
        <v>33</v>
      </c>
      <c r="O323">
        <v>39.42</v>
      </c>
      <c r="P323">
        <v>4.7619047620000003</v>
      </c>
      <c r="Q323">
        <v>0</v>
      </c>
      <c r="R323">
        <v>8.82</v>
      </c>
      <c r="S323">
        <v>96.078500000000005</v>
      </c>
      <c r="T323">
        <v>19.763300000000001</v>
      </c>
    </row>
    <row r="324" spans="1:20" x14ac:dyDescent="0.3">
      <c r="A324" t="s">
        <v>603</v>
      </c>
      <c r="B324" t="s">
        <v>21</v>
      </c>
      <c r="C324" t="s">
        <v>604</v>
      </c>
      <c r="D324" t="s">
        <v>23</v>
      </c>
      <c r="E324" t="s">
        <v>32</v>
      </c>
      <c r="F324" t="s">
        <v>36</v>
      </c>
      <c r="G324" t="s">
        <v>26</v>
      </c>
      <c r="H324">
        <v>15.26</v>
      </c>
      <c r="I324">
        <v>6</v>
      </c>
      <c r="J324">
        <v>4.5780000000000003</v>
      </c>
      <c r="K324">
        <v>91.56</v>
      </c>
      <c r="L324" s="1">
        <v>43552</v>
      </c>
      <c r="M324" s="2">
        <v>0.75208333333333333</v>
      </c>
      <c r="N324" t="s">
        <v>27</v>
      </c>
      <c r="O324">
        <v>91.56</v>
      </c>
      <c r="P324">
        <v>4.7619047620000003</v>
      </c>
      <c r="Q324">
        <v>0</v>
      </c>
      <c r="R324">
        <v>9.8000000000000007</v>
      </c>
      <c r="S324">
        <v>96.173500000000004</v>
      </c>
      <c r="T324">
        <v>16.840900000000001</v>
      </c>
    </row>
    <row r="325" spans="1:20" x14ac:dyDescent="0.3">
      <c r="A325" t="s">
        <v>605</v>
      </c>
      <c r="B325" t="s">
        <v>21</v>
      </c>
      <c r="C325" t="s">
        <v>606</v>
      </c>
      <c r="D325" t="s">
        <v>23</v>
      </c>
      <c r="E325" t="s">
        <v>32</v>
      </c>
      <c r="F325" t="s">
        <v>25</v>
      </c>
      <c r="G325" t="s">
        <v>100</v>
      </c>
      <c r="H325">
        <v>61.77</v>
      </c>
      <c r="I325">
        <v>5</v>
      </c>
      <c r="J325">
        <v>15.442500000000001</v>
      </c>
      <c r="K325">
        <v>308.85000000000002</v>
      </c>
      <c r="L325" s="1">
        <v>43543</v>
      </c>
      <c r="M325" s="2">
        <v>0.55625000000000002</v>
      </c>
      <c r="N325" t="s">
        <v>33</v>
      </c>
      <c r="O325">
        <v>308.85000000000002</v>
      </c>
      <c r="P325">
        <v>4.7619047620000003</v>
      </c>
      <c r="Q325">
        <v>0</v>
      </c>
      <c r="R325">
        <v>6.7</v>
      </c>
      <c r="S325">
        <v>96.173500000000004</v>
      </c>
      <c r="T325">
        <v>16.840900000000001</v>
      </c>
    </row>
    <row r="326" spans="1:20" x14ac:dyDescent="0.3">
      <c r="A326" t="s">
        <v>607</v>
      </c>
      <c r="B326" t="s">
        <v>21</v>
      </c>
      <c r="C326" t="s">
        <v>608</v>
      </c>
      <c r="D326" t="s">
        <v>23</v>
      </c>
      <c r="E326" t="s">
        <v>32</v>
      </c>
      <c r="F326" t="s">
        <v>36</v>
      </c>
      <c r="G326" t="s">
        <v>77</v>
      </c>
      <c r="H326">
        <v>21.52</v>
      </c>
      <c r="I326">
        <v>6</v>
      </c>
      <c r="J326">
        <v>6.4560000000000004</v>
      </c>
      <c r="K326">
        <v>129.12</v>
      </c>
      <c r="L326" s="1">
        <v>43742</v>
      </c>
      <c r="M326" s="2">
        <v>0.53333333333333333</v>
      </c>
      <c r="N326" t="s">
        <v>37</v>
      </c>
      <c r="O326">
        <v>129.12</v>
      </c>
      <c r="P326">
        <v>4.7619047620000003</v>
      </c>
      <c r="Q326">
        <v>0</v>
      </c>
      <c r="R326">
        <v>9.4</v>
      </c>
      <c r="S326">
        <v>96.173500000000004</v>
      </c>
      <c r="T326">
        <v>16.840900000000001</v>
      </c>
    </row>
    <row r="327" spans="1:20" x14ac:dyDescent="0.3">
      <c r="A327" t="s">
        <v>609</v>
      </c>
      <c r="B327" t="s">
        <v>51</v>
      </c>
      <c r="C327" t="s">
        <v>129</v>
      </c>
      <c r="D327" t="s">
        <v>53</v>
      </c>
      <c r="E327" t="s">
        <v>32</v>
      </c>
      <c r="F327" t="s">
        <v>36</v>
      </c>
      <c r="G327" t="s">
        <v>68</v>
      </c>
      <c r="H327">
        <v>97.74</v>
      </c>
      <c r="I327">
        <v>6</v>
      </c>
      <c r="J327">
        <v>29.321999999999999</v>
      </c>
      <c r="K327">
        <v>586.44000000000005</v>
      </c>
      <c r="L327" s="1">
        <v>43533</v>
      </c>
      <c r="M327" s="2">
        <v>0.82847222222222228</v>
      </c>
      <c r="N327" t="s">
        <v>27</v>
      </c>
      <c r="O327">
        <v>390.96</v>
      </c>
      <c r="P327">
        <v>4.7619047620000003</v>
      </c>
      <c r="Q327">
        <v>195.48</v>
      </c>
      <c r="R327">
        <v>7.68</v>
      </c>
      <c r="S327">
        <v>96.089100000000002</v>
      </c>
      <c r="T327">
        <v>21.9588</v>
      </c>
    </row>
    <row r="328" spans="1:20" x14ac:dyDescent="0.3">
      <c r="A328" t="s">
        <v>610</v>
      </c>
      <c r="B328" t="s">
        <v>21</v>
      </c>
      <c r="C328" t="s">
        <v>611</v>
      </c>
      <c r="D328" t="s">
        <v>23</v>
      </c>
      <c r="E328" t="s">
        <v>32</v>
      </c>
      <c r="F328" t="s">
        <v>36</v>
      </c>
      <c r="G328" t="s">
        <v>63</v>
      </c>
      <c r="H328">
        <v>99.78</v>
      </c>
      <c r="I328">
        <v>5</v>
      </c>
      <c r="J328">
        <v>24.945</v>
      </c>
      <c r="K328">
        <v>498.9</v>
      </c>
      <c r="L328" s="1">
        <v>43512</v>
      </c>
      <c r="M328" s="2">
        <v>0.79791666666666672</v>
      </c>
      <c r="N328" t="s">
        <v>33</v>
      </c>
      <c r="O328">
        <v>498.9</v>
      </c>
      <c r="P328">
        <v>4.7619047620000003</v>
      </c>
      <c r="Q328">
        <v>0</v>
      </c>
      <c r="R328">
        <v>5.4</v>
      </c>
      <c r="S328">
        <v>96.173500000000004</v>
      </c>
      <c r="T328">
        <v>16.840900000000001</v>
      </c>
    </row>
    <row r="329" spans="1:20" x14ac:dyDescent="0.3">
      <c r="A329" t="s">
        <v>612</v>
      </c>
      <c r="B329" t="s">
        <v>29</v>
      </c>
      <c r="C329" t="s">
        <v>613</v>
      </c>
      <c r="D329" t="s">
        <v>31</v>
      </c>
      <c r="E329" t="s">
        <v>32</v>
      </c>
      <c r="F329" t="s">
        <v>36</v>
      </c>
      <c r="G329" t="s">
        <v>63</v>
      </c>
      <c r="H329">
        <v>94.26</v>
      </c>
      <c r="I329">
        <v>5</v>
      </c>
      <c r="J329">
        <v>23.565000000000001</v>
      </c>
      <c r="K329">
        <v>471.3</v>
      </c>
      <c r="L329" s="1">
        <v>43637</v>
      </c>
      <c r="M329" s="2">
        <v>0.6875</v>
      </c>
      <c r="N329" t="s">
        <v>33</v>
      </c>
      <c r="O329">
        <v>377.04</v>
      </c>
      <c r="P329">
        <v>4.7619047620000003</v>
      </c>
      <c r="Q329">
        <v>94.26</v>
      </c>
      <c r="R329">
        <v>9.0299999999999994</v>
      </c>
      <c r="S329">
        <v>96.078500000000005</v>
      </c>
      <c r="T329">
        <v>19.763300000000001</v>
      </c>
    </row>
    <row r="330" spans="1:20" x14ac:dyDescent="0.3">
      <c r="A330" t="s">
        <v>614</v>
      </c>
      <c r="B330" t="s">
        <v>51</v>
      </c>
      <c r="C330" t="s">
        <v>99</v>
      </c>
      <c r="D330" t="s">
        <v>53</v>
      </c>
      <c r="E330" t="s">
        <v>32</v>
      </c>
      <c r="F330" t="s">
        <v>36</v>
      </c>
      <c r="G330" t="s">
        <v>26</v>
      </c>
      <c r="H330">
        <v>51.13</v>
      </c>
      <c r="I330">
        <v>6</v>
      </c>
      <c r="J330">
        <v>15.339</v>
      </c>
      <c r="K330">
        <v>306.77999999999997</v>
      </c>
      <c r="L330" s="1">
        <v>43558</v>
      </c>
      <c r="M330" s="2">
        <v>0.42430555555555555</v>
      </c>
      <c r="N330" t="s">
        <v>37</v>
      </c>
      <c r="O330">
        <v>204.52</v>
      </c>
      <c r="P330">
        <v>4.7619047620000003</v>
      </c>
      <c r="Q330">
        <v>102.26</v>
      </c>
      <c r="R330">
        <v>4.8</v>
      </c>
      <c r="S330">
        <v>96.089100000000002</v>
      </c>
      <c r="T330">
        <v>21.9588</v>
      </c>
    </row>
    <row r="331" spans="1:20" x14ac:dyDescent="0.3">
      <c r="A331" t="s">
        <v>615</v>
      </c>
      <c r="B331" t="s">
        <v>21</v>
      </c>
      <c r="C331" t="s">
        <v>616</v>
      </c>
      <c r="D331" t="s">
        <v>23</v>
      </c>
      <c r="E331" t="s">
        <v>32</v>
      </c>
      <c r="F331" t="s">
        <v>36</v>
      </c>
      <c r="G331" t="s">
        <v>60</v>
      </c>
      <c r="H331">
        <v>36.36</v>
      </c>
      <c r="I331">
        <v>4</v>
      </c>
      <c r="J331">
        <v>7.2720000000000002</v>
      </c>
      <c r="K331">
        <v>145.44</v>
      </c>
      <c r="L331" s="1">
        <v>43577</v>
      </c>
      <c r="M331" s="2">
        <v>0.54652777777777772</v>
      </c>
      <c r="N331" t="s">
        <v>33</v>
      </c>
      <c r="O331">
        <v>145.44</v>
      </c>
      <c r="P331">
        <v>4.7619047620000003</v>
      </c>
      <c r="Q331">
        <v>0</v>
      </c>
      <c r="R331">
        <v>7.6</v>
      </c>
      <c r="S331">
        <v>96.173500000000004</v>
      </c>
      <c r="T331">
        <v>16.840900000000001</v>
      </c>
    </row>
    <row r="332" spans="1:20" x14ac:dyDescent="0.3">
      <c r="A332" t="s">
        <v>617</v>
      </c>
      <c r="B332" t="s">
        <v>51</v>
      </c>
      <c r="C332" t="s">
        <v>318</v>
      </c>
      <c r="D332" t="s">
        <v>53</v>
      </c>
      <c r="E332" t="s">
        <v>32</v>
      </c>
      <c r="F332" t="s">
        <v>36</v>
      </c>
      <c r="G332" t="s">
        <v>77</v>
      </c>
      <c r="H332">
        <v>22.02</v>
      </c>
      <c r="I332">
        <v>13</v>
      </c>
      <c r="J332">
        <v>14.313000000000001</v>
      </c>
      <c r="K332">
        <v>286.26</v>
      </c>
      <c r="L332" s="1">
        <v>43517</v>
      </c>
      <c r="M332" s="2">
        <v>0.78333333333333333</v>
      </c>
      <c r="N332" t="s">
        <v>33</v>
      </c>
      <c r="O332">
        <v>198.18</v>
      </c>
      <c r="P332">
        <v>4.7619047620000003</v>
      </c>
      <c r="Q332">
        <v>88.08</v>
      </c>
      <c r="R332">
        <v>8.16</v>
      </c>
      <c r="S332">
        <v>96.089100000000002</v>
      </c>
      <c r="T332">
        <v>21.9588</v>
      </c>
    </row>
    <row r="333" spans="1:20" x14ac:dyDescent="0.3">
      <c r="A333" t="s">
        <v>618</v>
      </c>
      <c r="B333" t="s">
        <v>21</v>
      </c>
      <c r="C333" t="s">
        <v>376</v>
      </c>
      <c r="D333" t="s">
        <v>23</v>
      </c>
      <c r="E333" t="s">
        <v>32</v>
      </c>
      <c r="F333" t="s">
        <v>36</v>
      </c>
      <c r="G333" t="s">
        <v>26</v>
      </c>
      <c r="H333">
        <v>32.9</v>
      </c>
      <c r="I333">
        <v>3</v>
      </c>
      <c r="J333">
        <v>4.9349999999999996</v>
      </c>
      <c r="K333">
        <v>98.7</v>
      </c>
      <c r="L333" s="1">
        <v>43481</v>
      </c>
      <c r="M333" s="2">
        <v>0.7270833333333333</v>
      </c>
      <c r="N333" t="s">
        <v>37</v>
      </c>
      <c r="O333">
        <v>98.7</v>
      </c>
      <c r="P333">
        <v>4.7619047620000003</v>
      </c>
      <c r="Q333">
        <v>0</v>
      </c>
      <c r="R333">
        <v>9.1</v>
      </c>
      <c r="S333">
        <v>96.173500000000004</v>
      </c>
      <c r="T333">
        <v>16.840900000000001</v>
      </c>
    </row>
    <row r="334" spans="1:20" x14ac:dyDescent="0.3">
      <c r="A334" t="s">
        <v>619</v>
      </c>
      <c r="B334" t="s">
        <v>21</v>
      </c>
      <c r="C334" t="s">
        <v>620</v>
      </c>
      <c r="D334" t="s">
        <v>23</v>
      </c>
      <c r="E334" t="s">
        <v>32</v>
      </c>
      <c r="F334" t="s">
        <v>36</v>
      </c>
      <c r="G334" t="s">
        <v>26</v>
      </c>
      <c r="H334">
        <v>77.02</v>
      </c>
      <c r="I334">
        <v>5</v>
      </c>
      <c r="J334">
        <v>19.254999999999999</v>
      </c>
      <c r="K334">
        <v>385.1</v>
      </c>
      <c r="L334" s="1">
        <v>43713</v>
      </c>
      <c r="M334" s="2">
        <v>0.66597222222222219</v>
      </c>
      <c r="N334" t="s">
        <v>33</v>
      </c>
      <c r="O334">
        <v>385.1</v>
      </c>
      <c r="P334">
        <v>4.7619047620000003</v>
      </c>
      <c r="Q334">
        <v>0</v>
      </c>
      <c r="R334">
        <v>5.5</v>
      </c>
      <c r="S334">
        <v>96.173500000000004</v>
      </c>
      <c r="T334">
        <v>16.840900000000001</v>
      </c>
    </row>
    <row r="335" spans="1:20" x14ac:dyDescent="0.3">
      <c r="A335" t="s">
        <v>621</v>
      </c>
      <c r="B335" t="s">
        <v>21</v>
      </c>
      <c r="C335" t="s">
        <v>622</v>
      </c>
      <c r="D335" t="s">
        <v>23</v>
      </c>
      <c r="E335" t="s">
        <v>32</v>
      </c>
      <c r="F335" t="s">
        <v>36</v>
      </c>
      <c r="G335" t="s">
        <v>26</v>
      </c>
      <c r="H335">
        <v>23.48</v>
      </c>
      <c r="I335">
        <v>2</v>
      </c>
      <c r="J335">
        <f t="shared" ref="J335:J340" si="10">K335*5%</f>
        <v>2.3480000000000003</v>
      </c>
      <c r="K335">
        <v>46.96</v>
      </c>
      <c r="L335" s="1">
        <v>43574</v>
      </c>
      <c r="M335" s="2">
        <v>0.47291666666666665</v>
      </c>
      <c r="N335" t="s">
        <v>37</v>
      </c>
      <c r="O335">
        <v>46.96</v>
      </c>
      <c r="P335">
        <v>4.7619047620000003</v>
      </c>
      <c r="Q335">
        <v>0</v>
      </c>
      <c r="R335">
        <v>7.9</v>
      </c>
      <c r="S335">
        <v>96.173500000000004</v>
      </c>
      <c r="T335">
        <v>16.840900000000001</v>
      </c>
    </row>
    <row r="336" spans="1:20" x14ac:dyDescent="0.3">
      <c r="A336" t="s">
        <v>623</v>
      </c>
      <c r="B336" t="s">
        <v>29</v>
      </c>
      <c r="C336" t="s">
        <v>243</v>
      </c>
      <c r="D336" t="s">
        <v>31</v>
      </c>
      <c r="E336" t="s">
        <v>24</v>
      </c>
      <c r="F336" t="s">
        <v>36</v>
      </c>
      <c r="G336" t="s">
        <v>26</v>
      </c>
      <c r="H336">
        <v>14.7</v>
      </c>
      <c r="I336">
        <v>8</v>
      </c>
      <c r="J336">
        <f t="shared" si="10"/>
        <v>5.88</v>
      </c>
      <c r="K336">
        <v>117.6</v>
      </c>
      <c r="L336" s="1">
        <v>43665</v>
      </c>
      <c r="M336" s="2">
        <v>0.57499999999999996</v>
      </c>
      <c r="N336" t="s">
        <v>27</v>
      </c>
      <c r="O336">
        <v>73.5</v>
      </c>
      <c r="P336">
        <v>4.7619047620000003</v>
      </c>
      <c r="Q336">
        <v>44.1</v>
      </c>
      <c r="R336">
        <v>8.9250000000000007</v>
      </c>
      <c r="S336">
        <v>96.078500000000005</v>
      </c>
      <c r="T336">
        <v>19.763300000000001</v>
      </c>
    </row>
    <row r="337" spans="1:20" x14ac:dyDescent="0.3">
      <c r="A337" t="s">
        <v>624</v>
      </c>
      <c r="B337" t="s">
        <v>21</v>
      </c>
      <c r="C337" t="s">
        <v>625</v>
      </c>
      <c r="D337" t="s">
        <v>23</v>
      </c>
      <c r="E337" t="s">
        <v>24</v>
      </c>
      <c r="F337" t="s">
        <v>25</v>
      </c>
      <c r="G337" t="s">
        <v>26</v>
      </c>
      <c r="H337">
        <v>28.45</v>
      </c>
      <c r="I337">
        <v>7</v>
      </c>
      <c r="J337">
        <f t="shared" si="10"/>
        <v>9.9575000000000014</v>
      </c>
      <c r="K337">
        <v>199.15</v>
      </c>
      <c r="L337" s="1">
        <v>43563</v>
      </c>
      <c r="M337" s="2">
        <v>0.4284722222222222</v>
      </c>
      <c r="N337" t="s">
        <v>37</v>
      </c>
      <c r="O337">
        <v>142.25</v>
      </c>
      <c r="P337">
        <v>4.7619047620000003</v>
      </c>
      <c r="Q337">
        <v>56.9</v>
      </c>
      <c r="R337">
        <v>9.1</v>
      </c>
      <c r="S337">
        <v>96.173500000000004</v>
      </c>
      <c r="T337">
        <v>16.840900000000001</v>
      </c>
    </row>
    <row r="338" spans="1:20" x14ac:dyDescent="0.3">
      <c r="A338" t="s">
        <v>626</v>
      </c>
      <c r="B338" t="s">
        <v>21</v>
      </c>
      <c r="C338" t="s">
        <v>627</v>
      </c>
      <c r="D338" t="s">
        <v>23</v>
      </c>
      <c r="E338" t="s">
        <v>32</v>
      </c>
      <c r="F338" t="s">
        <v>36</v>
      </c>
      <c r="G338" t="s">
        <v>26</v>
      </c>
      <c r="H338">
        <v>76.400000000000006</v>
      </c>
      <c r="I338">
        <v>9</v>
      </c>
      <c r="J338">
        <f t="shared" si="10"/>
        <v>34.380000000000003</v>
      </c>
      <c r="K338">
        <v>687.6</v>
      </c>
      <c r="L338" s="1">
        <v>43759</v>
      </c>
      <c r="M338" s="2">
        <v>0.65902777777777777</v>
      </c>
      <c r="N338" t="s">
        <v>27</v>
      </c>
      <c r="O338">
        <v>687.6</v>
      </c>
      <c r="P338">
        <v>4.7619047620000003</v>
      </c>
      <c r="Q338">
        <v>0</v>
      </c>
      <c r="R338">
        <v>7.5</v>
      </c>
      <c r="S338">
        <v>96.173500000000004</v>
      </c>
      <c r="T338">
        <v>16.840900000000001</v>
      </c>
    </row>
    <row r="339" spans="1:20" x14ac:dyDescent="0.3">
      <c r="A339" t="s">
        <v>628</v>
      </c>
      <c r="B339" t="s">
        <v>51</v>
      </c>
      <c r="C339" t="s">
        <v>629</v>
      </c>
      <c r="D339" t="s">
        <v>53</v>
      </c>
      <c r="E339" t="s">
        <v>32</v>
      </c>
      <c r="F339" t="s">
        <v>25</v>
      </c>
      <c r="G339" t="s">
        <v>26</v>
      </c>
      <c r="H339">
        <v>57.95</v>
      </c>
      <c r="I339">
        <v>8</v>
      </c>
      <c r="J339">
        <f t="shared" si="10"/>
        <v>23.180000000000003</v>
      </c>
      <c r="K339">
        <v>463.6</v>
      </c>
      <c r="L339" s="1">
        <v>43666</v>
      </c>
      <c r="M339" s="2">
        <v>0.54305555555555551</v>
      </c>
      <c r="N339" t="s">
        <v>33</v>
      </c>
      <c r="O339">
        <v>347.7</v>
      </c>
      <c r="P339">
        <v>4.7619047620000003</v>
      </c>
      <c r="Q339">
        <v>115.9</v>
      </c>
      <c r="R339">
        <v>6.24</v>
      </c>
      <c r="S339">
        <v>96.089100000000002</v>
      </c>
      <c r="T339">
        <v>21.9588</v>
      </c>
    </row>
    <row r="340" spans="1:20" x14ac:dyDescent="0.3">
      <c r="A340" t="s">
        <v>630</v>
      </c>
      <c r="B340" t="s">
        <v>29</v>
      </c>
      <c r="C340" t="s">
        <v>631</v>
      </c>
      <c r="D340" t="s">
        <v>31</v>
      </c>
      <c r="E340" t="s">
        <v>32</v>
      </c>
      <c r="F340" t="s">
        <v>25</v>
      </c>
      <c r="G340" t="s">
        <v>26</v>
      </c>
      <c r="H340">
        <v>47.65</v>
      </c>
      <c r="I340">
        <v>4</v>
      </c>
      <c r="J340">
        <f t="shared" si="10"/>
        <v>9.5299999999999994</v>
      </c>
      <c r="K340">
        <v>190.6</v>
      </c>
      <c r="L340" s="1">
        <v>43574</v>
      </c>
      <c r="M340" s="2">
        <v>0.54027777777777775</v>
      </c>
      <c r="N340" t="s">
        <v>37</v>
      </c>
      <c r="O340">
        <v>142.94999999999999</v>
      </c>
      <c r="P340">
        <v>4.7619047620000003</v>
      </c>
      <c r="Q340">
        <v>47.65</v>
      </c>
      <c r="R340">
        <v>9.9749999999999996</v>
      </c>
      <c r="S340">
        <v>96.078500000000005</v>
      </c>
      <c r="T340">
        <v>19.763300000000001</v>
      </c>
    </row>
    <row r="341" spans="1:20" x14ac:dyDescent="0.3">
      <c r="A341" t="s">
        <v>632</v>
      </c>
      <c r="B341" t="s">
        <v>51</v>
      </c>
      <c r="C341" t="s">
        <v>633</v>
      </c>
      <c r="D341" t="s">
        <v>53</v>
      </c>
      <c r="E341" t="s">
        <v>24</v>
      </c>
      <c r="F341" t="s">
        <v>25</v>
      </c>
      <c r="G341" t="s">
        <v>26</v>
      </c>
      <c r="H341">
        <v>42.82</v>
      </c>
      <c r="I341">
        <v>18</v>
      </c>
      <c r="J341">
        <v>38.537999999999997</v>
      </c>
      <c r="K341">
        <v>770.76</v>
      </c>
      <c r="L341" s="1">
        <v>43509</v>
      </c>
      <c r="M341" s="2">
        <v>0.6430555555555556</v>
      </c>
      <c r="N341" t="s">
        <v>37</v>
      </c>
      <c r="O341">
        <v>385.38</v>
      </c>
      <c r="P341">
        <v>4.7619047620000003</v>
      </c>
      <c r="Q341">
        <v>385.38</v>
      </c>
      <c r="R341">
        <v>10</v>
      </c>
      <c r="S341">
        <v>96.089100000000002</v>
      </c>
      <c r="T341">
        <v>21.9588</v>
      </c>
    </row>
    <row r="342" spans="1:20" x14ac:dyDescent="0.3">
      <c r="A342" t="s">
        <v>634</v>
      </c>
      <c r="B342" t="s">
        <v>51</v>
      </c>
      <c r="C342" t="s">
        <v>437</v>
      </c>
      <c r="D342" t="s">
        <v>53</v>
      </c>
      <c r="E342" t="s">
        <v>24</v>
      </c>
      <c r="F342" t="s">
        <v>36</v>
      </c>
      <c r="G342" t="s">
        <v>26</v>
      </c>
      <c r="H342">
        <v>48.09</v>
      </c>
      <c r="I342">
        <v>6</v>
      </c>
      <c r="J342">
        <v>14.427</v>
      </c>
      <c r="K342">
        <v>288.54000000000002</v>
      </c>
      <c r="L342" s="1">
        <v>43748</v>
      </c>
      <c r="M342" s="2">
        <v>0.76597222222222228</v>
      </c>
      <c r="N342" t="s">
        <v>37</v>
      </c>
      <c r="O342">
        <v>144.27000000000001</v>
      </c>
      <c r="P342">
        <v>4.7619047620000003</v>
      </c>
      <c r="Q342">
        <v>144.27000000000001</v>
      </c>
      <c r="R342">
        <v>9.36</v>
      </c>
      <c r="S342">
        <v>96.089100000000002</v>
      </c>
      <c r="T342">
        <v>21.9588</v>
      </c>
    </row>
    <row r="343" spans="1:20" x14ac:dyDescent="0.3">
      <c r="A343" t="s">
        <v>635</v>
      </c>
      <c r="B343" t="s">
        <v>51</v>
      </c>
      <c r="C343" t="s">
        <v>636</v>
      </c>
      <c r="D343" t="s">
        <v>53</v>
      </c>
      <c r="E343" t="s">
        <v>24</v>
      </c>
      <c r="F343" t="s">
        <v>25</v>
      </c>
      <c r="G343" t="s">
        <v>26</v>
      </c>
      <c r="H343">
        <v>55.97</v>
      </c>
      <c r="I343">
        <v>14</v>
      </c>
      <c r="J343">
        <v>39.179000000000002</v>
      </c>
      <c r="K343">
        <v>783.58</v>
      </c>
      <c r="L343" s="1">
        <v>43651</v>
      </c>
      <c r="M343" s="2">
        <v>0.79583333333333328</v>
      </c>
      <c r="N343" t="s">
        <v>27</v>
      </c>
      <c r="O343">
        <v>391.79</v>
      </c>
      <c r="P343">
        <v>4.7619047620000003</v>
      </c>
      <c r="Q343">
        <v>391.79</v>
      </c>
      <c r="R343">
        <v>10</v>
      </c>
      <c r="S343">
        <v>96.089100000000002</v>
      </c>
      <c r="T343">
        <v>21.9588</v>
      </c>
    </row>
    <row r="344" spans="1:20" x14ac:dyDescent="0.3">
      <c r="A344" t="s">
        <v>637</v>
      </c>
      <c r="B344" t="s">
        <v>51</v>
      </c>
      <c r="C344" t="s">
        <v>356</v>
      </c>
      <c r="D344" t="s">
        <v>53</v>
      </c>
      <c r="E344" t="s">
        <v>24</v>
      </c>
      <c r="F344" t="s">
        <v>25</v>
      </c>
      <c r="G344" t="s">
        <v>26</v>
      </c>
      <c r="H344">
        <v>76.900000000000006</v>
      </c>
      <c r="I344">
        <v>14</v>
      </c>
      <c r="J344">
        <v>53.83</v>
      </c>
      <c r="K344">
        <v>1076.5999999999999</v>
      </c>
      <c r="L344" s="1">
        <v>43821</v>
      </c>
      <c r="M344" s="2">
        <v>0.84791666666666665</v>
      </c>
      <c r="N344" t="s">
        <v>33</v>
      </c>
      <c r="O344">
        <v>538.29999999999995</v>
      </c>
      <c r="P344">
        <v>4.7619047620000003</v>
      </c>
      <c r="Q344">
        <v>538.29999999999995</v>
      </c>
      <c r="R344">
        <v>9.24</v>
      </c>
      <c r="S344">
        <v>96.089100000000002</v>
      </c>
      <c r="T344">
        <v>21.9588</v>
      </c>
    </row>
    <row r="345" spans="1:20" x14ac:dyDescent="0.3">
      <c r="A345" t="s">
        <v>638</v>
      </c>
      <c r="B345" t="s">
        <v>29</v>
      </c>
      <c r="C345" t="s">
        <v>639</v>
      </c>
      <c r="D345" t="s">
        <v>31</v>
      </c>
      <c r="E345" t="s">
        <v>32</v>
      </c>
      <c r="F345" t="s">
        <v>25</v>
      </c>
      <c r="G345" t="s">
        <v>63</v>
      </c>
      <c r="H345">
        <v>97.03</v>
      </c>
      <c r="I345">
        <v>6</v>
      </c>
      <c r="J345">
        <v>29.109000000000002</v>
      </c>
      <c r="K345">
        <v>582.17999999999995</v>
      </c>
      <c r="L345" s="1">
        <v>43718</v>
      </c>
      <c r="M345" s="2">
        <v>0.68333333333333335</v>
      </c>
      <c r="N345" t="s">
        <v>27</v>
      </c>
      <c r="O345">
        <v>485.15</v>
      </c>
      <c r="P345">
        <v>4.7619047620000003</v>
      </c>
      <c r="Q345">
        <v>97.03</v>
      </c>
      <c r="R345">
        <v>9.7650000000000006</v>
      </c>
      <c r="S345">
        <v>96.078500000000005</v>
      </c>
      <c r="T345">
        <v>19.763300000000001</v>
      </c>
    </row>
    <row r="346" spans="1:20" x14ac:dyDescent="0.3">
      <c r="A346" t="s">
        <v>640</v>
      </c>
      <c r="B346" t="s">
        <v>21</v>
      </c>
      <c r="C346" t="s">
        <v>641</v>
      </c>
      <c r="D346" t="s">
        <v>23</v>
      </c>
      <c r="E346" t="s">
        <v>32</v>
      </c>
      <c r="F346" t="s">
        <v>36</v>
      </c>
      <c r="G346" t="s">
        <v>68</v>
      </c>
      <c r="H346">
        <v>44.65</v>
      </c>
      <c r="I346">
        <v>3</v>
      </c>
      <c r="J346">
        <v>6.6974999999999998</v>
      </c>
      <c r="K346">
        <v>133.94999999999999</v>
      </c>
      <c r="L346" s="1">
        <v>43663</v>
      </c>
      <c r="M346" s="2">
        <v>0.62777777777777777</v>
      </c>
      <c r="N346" t="s">
        <v>33</v>
      </c>
      <c r="O346">
        <v>133.94999999999999</v>
      </c>
      <c r="P346">
        <v>4.7619047620000003</v>
      </c>
      <c r="Q346">
        <v>0</v>
      </c>
      <c r="R346">
        <v>6.2</v>
      </c>
      <c r="S346">
        <v>96.173500000000004</v>
      </c>
      <c r="T346">
        <v>16.840900000000001</v>
      </c>
    </row>
    <row r="347" spans="1:20" x14ac:dyDescent="0.3">
      <c r="A347" t="s">
        <v>642</v>
      </c>
      <c r="B347" t="s">
        <v>21</v>
      </c>
      <c r="C347" t="s">
        <v>643</v>
      </c>
      <c r="D347" t="s">
        <v>23</v>
      </c>
      <c r="E347" t="s">
        <v>32</v>
      </c>
      <c r="F347" t="s">
        <v>25</v>
      </c>
      <c r="G347" t="s">
        <v>100</v>
      </c>
      <c r="H347">
        <v>77.930000000000007</v>
      </c>
      <c r="I347">
        <v>9</v>
      </c>
      <c r="J347">
        <v>35.0685</v>
      </c>
      <c r="K347">
        <v>701.37</v>
      </c>
      <c r="L347" s="1">
        <v>43647</v>
      </c>
      <c r="M347" s="2">
        <v>0.67361111111111116</v>
      </c>
      <c r="N347" t="s">
        <v>27</v>
      </c>
      <c r="O347">
        <v>701.37</v>
      </c>
      <c r="P347">
        <v>4.7619047620000003</v>
      </c>
      <c r="Q347">
        <v>0</v>
      </c>
      <c r="R347">
        <v>7.6</v>
      </c>
      <c r="S347">
        <v>96.173500000000004</v>
      </c>
      <c r="T347">
        <v>16.840900000000001</v>
      </c>
    </row>
    <row r="348" spans="1:20" x14ac:dyDescent="0.3">
      <c r="A348" t="s">
        <v>644</v>
      </c>
      <c r="B348" t="s">
        <v>21</v>
      </c>
      <c r="C348" t="s">
        <v>645</v>
      </c>
      <c r="D348" t="s">
        <v>23</v>
      </c>
      <c r="E348" t="s">
        <v>24</v>
      </c>
      <c r="F348" t="s">
        <v>36</v>
      </c>
      <c r="G348" t="s">
        <v>60</v>
      </c>
      <c r="H348">
        <v>71.95</v>
      </c>
      <c r="I348">
        <v>1</v>
      </c>
      <c r="J348">
        <v>3.5975000000000001</v>
      </c>
      <c r="K348">
        <v>71.95</v>
      </c>
      <c r="L348" s="1">
        <v>43720</v>
      </c>
      <c r="M348" s="2">
        <v>0.50972222222222219</v>
      </c>
      <c r="N348" t="s">
        <v>33</v>
      </c>
      <c r="O348">
        <v>71.95</v>
      </c>
      <c r="P348">
        <v>4.7619047620000003</v>
      </c>
      <c r="Q348">
        <v>0</v>
      </c>
      <c r="R348">
        <v>7.3</v>
      </c>
      <c r="S348">
        <v>96.173500000000004</v>
      </c>
      <c r="T348">
        <v>16.840900000000001</v>
      </c>
    </row>
    <row r="349" spans="1:20" x14ac:dyDescent="0.3">
      <c r="A349" t="s">
        <v>646</v>
      </c>
      <c r="B349" t="s">
        <v>29</v>
      </c>
      <c r="C349" t="s">
        <v>173</v>
      </c>
      <c r="D349" t="s">
        <v>31</v>
      </c>
      <c r="E349" t="s">
        <v>24</v>
      </c>
      <c r="F349" t="s">
        <v>25</v>
      </c>
      <c r="G349" t="s">
        <v>77</v>
      </c>
      <c r="H349">
        <v>89.25</v>
      </c>
      <c r="I349">
        <v>14</v>
      </c>
      <c r="J349">
        <v>62.475000000000001</v>
      </c>
      <c r="K349">
        <v>1249.5</v>
      </c>
      <c r="L349" s="1">
        <v>43624</v>
      </c>
      <c r="M349" s="2">
        <v>0.42569444444444443</v>
      </c>
      <c r="N349" t="s">
        <v>33</v>
      </c>
      <c r="O349">
        <v>714</v>
      </c>
      <c r="P349">
        <v>4.7619047620000003</v>
      </c>
      <c r="Q349">
        <v>535.5</v>
      </c>
      <c r="R349">
        <v>4.9349999999999996</v>
      </c>
      <c r="S349">
        <v>96.078500000000005</v>
      </c>
      <c r="T349">
        <v>19.763300000000001</v>
      </c>
    </row>
    <row r="350" spans="1:20" x14ac:dyDescent="0.3">
      <c r="A350" t="s">
        <v>647</v>
      </c>
      <c r="B350" t="s">
        <v>21</v>
      </c>
      <c r="C350" t="s">
        <v>74</v>
      </c>
      <c r="D350" t="s">
        <v>23</v>
      </c>
      <c r="E350" t="s">
        <v>32</v>
      </c>
      <c r="F350" t="s">
        <v>36</v>
      </c>
      <c r="G350" t="s">
        <v>60</v>
      </c>
      <c r="H350">
        <v>26.02</v>
      </c>
      <c r="I350">
        <v>7</v>
      </c>
      <c r="J350">
        <v>9.1069999999999993</v>
      </c>
      <c r="K350">
        <v>182.14</v>
      </c>
      <c r="L350" s="1">
        <v>43682</v>
      </c>
      <c r="M350" s="2">
        <v>0.73472222222222228</v>
      </c>
      <c r="N350" t="s">
        <v>33</v>
      </c>
      <c r="O350">
        <v>182.14</v>
      </c>
      <c r="P350">
        <v>4.7619047620000003</v>
      </c>
      <c r="Q350">
        <v>0</v>
      </c>
      <c r="R350">
        <v>5.0999999999999996</v>
      </c>
      <c r="S350">
        <v>96.173500000000004</v>
      </c>
      <c r="T350">
        <v>16.840900000000001</v>
      </c>
    </row>
    <row r="351" spans="1:20" x14ac:dyDescent="0.3">
      <c r="A351" t="s">
        <v>648</v>
      </c>
      <c r="B351" t="s">
        <v>51</v>
      </c>
      <c r="C351" t="s">
        <v>649</v>
      </c>
      <c r="D351" t="s">
        <v>53</v>
      </c>
      <c r="E351" t="s">
        <v>32</v>
      </c>
      <c r="F351" t="s">
        <v>25</v>
      </c>
      <c r="G351" t="s">
        <v>26</v>
      </c>
      <c r="H351">
        <v>13.5</v>
      </c>
      <c r="I351">
        <v>14</v>
      </c>
      <c r="J351">
        <v>9.4499999999999993</v>
      </c>
      <c r="K351">
        <v>189</v>
      </c>
      <c r="L351" s="1">
        <v>43726</v>
      </c>
      <c r="M351" s="2">
        <v>0.46250000000000002</v>
      </c>
      <c r="N351" t="s">
        <v>37</v>
      </c>
      <c r="O351">
        <v>135</v>
      </c>
      <c r="P351">
        <v>4.7619047620000003</v>
      </c>
      <c r="Q351">
        <v>54</v>
      </c>
      <c r="R351">
        <v>5.76</v>
      </c>
      <c r="S351">
        <v>96.089100000000002</v>
      </c>
      <c r="T351">
        <v>21.9588</v>
      </c>
    </row>
    <row r="352" spans="1:20" x14ac:dyDescent="0.3">
      <c r="A352" t="s">
        <v>650</v>
      </c>
      <c r="B352" t="s">
        <v>29</v>
      </c>
      <c r="C352" t="s">
        <v>651</v>
      </c>
      <c r="D352" t="s">
        <v>31</v>
      </c>
      <c r="E352" t="s">
        <v>24</v>
      </c>
      <c r="F352" t="s">
        <v>25</v>
      </c>
      <c r="G352" t="s">
        <v>100</v>
      </c>
      <c r="H352">
        <v>99.3</v>
      </c>
      <c r="I352">
        <v>17</v>
      </c>
      <c r="J352">
        <v>84.405000000000001</v>
      </c>
      <c r="K352">
        <v>1688.1</v>
      </c>
      <c r="L352" s="1">
        <v>43709</v>
      </c>
      <c r="M352" s="2">
        <v>0.62013888888888891</v>
      </c>
      <c r="N352" t="s">
        <v>37</v>
      </c>
      <c r="O352">
        <v>993</v>
      </c>
      <c r="P352">
        <v>4.7619047620000003</v>
      </c>
      <c r="Q352">
        <v>695.1</v>
      </c>
      <c r="R352">
        <v>6.93</v>
      </c>
      <c r="S352">
        <v>96.078500000000005</v>
      </c>
      <c r="T352">
        <v>19.763300000000001</v>
      </c>
    </row>
    <row r="353" spans="1:20" x14ac:dyDescent="0.3">
      <c r="A353" t="s">
        <v>652</v>
      </c>
      <c r="B353" t="s">
        <v>21</v>
      </c>
      <c r="C353" t="s">
        <v>653</v>
      </c>
      <c r="D353" t="s">
        <v>23</v>
      </c>
      <c r="E353" t="s">
        <v>32</v>
      </c>
      <c r="F353" t="s">
        <v>36</v>
      </c>
      <c r="G353" t="s">
        <v>60</v>
      </c>
      <c r="H353">
        <v>51.69</v>
      </c>
      <c r="I353">
        <v>7</v>
      </c>
      <c r="J353">
        <v>18.0915</v>
      </c>
      <c r="K353">
        <v>361.83</v>
      </c>
      <c r="L353" s="1">
        <v>43528</v>
      </c>
      <c r="M353" s="2">
        <v>0.76527777777777772</v>
      </c>
      <c r="N353" t="s">
        <v>33</v>
      </c>
      <c r="O353">
        <v>361.83</v>
      </c>
      <c r="P353">
        <v>4.7619047620000003</v>
      </c>
      <c r="Q353">
        <v>0</v>
      </c>
      <c r="R353">
        <v>5.5</v>
      </c>
      <c r="S353">
        <v>96.173500000000004</v>
      </c>
      <c r="T353">
        <v>16.840900000000001</v>
      </c>
    </row>
    <row r="354" spans="1:20" x14ac:dyDescent="0.3">
      <c r="A354" t="s">
        <v>654</v>
      </c>
      <c r="B354" t="s">
        <v>51</v>
      </c>
      <c r="C354" t="s">
        <v>134</v>
      </c>
      <c r="D354" t="s">
        <v>53</v>
      </c>
      <c r="E354" t="s">
        <v>24</v>
      </c>
      <c r="F354" t="s">
        <v>25</v>
      </c>
      <c r="G354" t="s">
        <v>100</v>
      </c>
      <c r="H354">
        <v>54.73</v>
      </c>
      <c r="I354">
        <v>14</v>
      </c>
      <c r="J354">
        <v>38.311</v>
      </c>
      <c r="K354">
        <v>766.22</v>
      </c>
      <c r="L354" s="1">
        <v>43551</v>
      </c>
      <c r="M354" s="2">
        <v>0.79305555555555551</v>
      </c>
      <c r="N354" t="s">
        <v>37</v>
      </c>
      <c r="O354">
        <v>383.11</v>
      </c>
      <c r="P354">
        <v>4.7619047620000003</v>
      </c>
      <c r="Q354">
        <v>383.11</v>
      </c>
      <c r="R354">
        <v>10</v>
      </c>
      <c r="S354">
        <v>96.089100000000002</v>
      </c>
      <c r="T354">
        <v>21.9588</v>
      </c>
    </row>
    <row r="355" spans="1:20" x14ac:dyDescent="0.3">
      <c r="A355" t="s">
        <v>655</v>
      </c>
      <c r="B355" t="s">
        <v>21</v>
      </c>
      <c r="C355" t="s">
        <v>656</v>
      </c>
      <c r="D355" t="s">
        <v>53</v>
      </c>
      <c r="E355" t="s">
        <v>24</v>
      </c>
      <c r="F355" t="s">
        <v>36</v>
      </c>
      <c r="G355" t="s">
        <v>77</v>
      </c>
      <c r="H355">
        <v>27</v>
      </c>
      <c r="I355">
        <v>18</v>
      </c>
      <c r="J355">
        <v>24.3</v>
      </c>
      <c r="K355">
        <v>486</v>
      </c>
      <c r="L355" s="1">
        <v>43613</v>
      </c>
      <c r="M355" s="2">
        <v>0.59444444444444444</v>
      </c>
      <c r="N355" t="s">
        <v>33</v>
      </c>
      <c r="O355">
        <v>243</v>
      </c>
      <c r="P355">
        <v>4.7619047620000003</v>
      </c>
      <c r="Q355">
        <v>243</v>
      </c>
      <c r="R355">
        <v>5.76</v>
      </c>
      <c r="S355">
        <v>96.089100000000002</v>
      </c>
      <c r="T355">
        <v>21.9588</v>
      </c>
    </row>
    <row r="356" spans="1:20" x14ac:dyDescent="0.3">
      <c r="A356" t="s">
        <v>657</v>
      </c>
      <c r="B356" t="s">
        <v>21</v>
      </c>
      <c r="C356" t="s">
        <v>658</v>
      </c>
      <c r="D356" t="s">
        <v>31</v>
      </c>
      <c r="E356" t="s">
        <v>32</v>
      </c>
      <c r="F356" t="s">
        <v>25</v>
      </c>
      <c r="G356" t="s">
        <v>60</v>
      </c>
      <c r="H356">
        <v>30.24</v>
      </c>
      <c r="I356">
        <v>1</v>
      </c>
      <c r="J356">
        <v>1.512</v>
      </c>
      <c r="K356">
        <v>30.24</v>
      </c>
      <c r="L356" s="1">
        <v>43819</v>
      </c>
      <c r="M356" s="2">
        <v>0.65555555555555556</v>
      </c>
      <c r="N356" t="s">
        <v>33</v>
      </c>
      <c r="O356">
        <v>30.24</v>
      </c>
      <c r="P356">
        <v>4.7619047620000003</v>
      </c>
      <c r="Q356">
        <v>0</v>
      </c>
      <c r="R356">
        <v>8.82</v>
      </c>
      <c r="S356">
        <v>96.078500000000005</v>
      </c>
      <c r="T356">
        <v>19.763300000000001</v>
      </c>
    </row>
    <row r="357" spans="1:20" x14ac:dyDescent="0.3">
      <c r="A357" t="s">
        <v>659</v>
      </c>
      <c r="B357" t="s">
        <v>21</v>
      </c>
      <c r="C357" t="s">
        <v>123</v>
      </c>
      <c r="D357" t="s">
        <v>53</v>
      </c>
      <c r="E357" t="s">
        <v>24</v>
      </c>
      <c r="F357" t="s">
        <v>25</v>
      </c>
      <c r="G357" t="s">
        <v>63</v>
      </c>
      <c r="H357">
        <v>89.14</v>
      </c>
      <c r="I357">
        <v>8</v>
      </c>
      <c r="J357">
        <v>35.655999999999999</v>
      </c>
      <c r="K357">
        <v>713.12</v>
      </c>
      <c r="L357" s="1">
        <v>43590</v>
      </c>
      <c r="M357" s="2">
        <v>0.51388888888888884</v>
      </c>
      <c r="N357" t="s">
        <v>37</v>
      </c>
      <c r="O357">
        <v>356.56</v>
      </c>
      <c r="P357">
        <v>4.7619047620000003</v>
      </c>
      <c r="Q357">
        <v>356.56</v>
      </c>
      <c r="R357">
        <v>9.36</v>
      </c>
      <c r="S357">
        <v>96.089100000000002</v>
      </c>
      <c r="T357">
        <v>21.9588</v>
      </c>
    </row>
    <row r="358" spans="1:20" x14ac:dyDescent="0.3">
      <c r="A358" t="s">
        <v>660</v>
      </c>
      <c r="B358" t="s">
        <v>21</v>
      </c>
      <c r="C358" t="s">
        <v>109</v>
      </c>
      <c r="D358" t="s">
        <v>31</v>
      </c>
      <c r="E358" t="s">
        <v>32</v>
      </c>
      <c r="F358" t="s">
        <v>25</v>
      </c>
      <c r="G358" t="s">
        <v>100</v>
      </c>
      <c r="H358">
        <v>37.549999999999997</v>
      </c>
      <c r="I358">
        <v>12</v>
      </c>
      <c r="J358">
        <v>22.53</v>
      </c>
      <c r="K358">
        <v>450.6</v>
      </c>
      <c r="L358" s="1">
        <v>43640</v>
      </c>
      <c r="M358" s="2">
        <v>0.83402777777777781</v>
      </c>
      <c r="N358" t="s">
        <v>37</v>
      </c>
      <c r="O358">
        <v>375.5</v>
      </c>
      <c r="P358">
        <v>4.7619047620000003</v>
      </c>
      <c r="Q358">
        <v>75.099999999999994</v>
      </c>
      <c r="R358">
        <v>9.7650000000000006</v>
      </c>
      <c r="S358">
        <v>96.078500000000005</v>
      </c>
      <c r="T358">
        <v>19.763300000000001</v>
      </c>
    </row>
    <row r="359" spans="1:20" x14ac:dyDescent="0.3">
      <c r="A359" t="s">
        <v>661</v>
      </c>
      <c r="B359" t="s">
        <v>21</v>
      </c>
      <c r="C359" t="s">
        <v>662</v>
      </c>
      <c r="D359" t="s">
        <v>31</v>
      </c>
      <c r="E359" t="s">
        <v>32</v>
      </c>
      <c r="F359" t="s">
        <v>25</v>
      </c>
      <c r="G359" t="s">
        <v>68</v>
      </c>
      <c r="H359">
        <v>95.44</v>
      </c>
      <c r="I359">
        <v>12</v>
      </c>
      <c r="J359">
        <v>57.264000000000003</v>
      </c>
      <c r="K359">
        <v>1145.28</v>
      </c>
      <c r="L359" s="1">
        <v>43539</v>
      </c>
      <c r="M359" s="2">
        <v>0.57291666666666663</v>
      </c>
      <c r="N359" t="s">
        <v>33</v>
      </c>
      <c r="O359">
        <v>954.4</v>
      </c>
      <c r="P359">
        <v>4.7619047620000003</v>
      </c>
      <c r="Q359">
        <v>190.88</v>
      </c>
      <c r="R359">
        <v>5.46</v>
      </c>
      <c r="S359">
        <v>96.078500000000005</v>
      </c>
      <c r="T359">
        <v>19.763300000000001</v>
      </c>
    </row>
    <row r="360" spans="1:20" x14ac:dyDescent="0.3">
      <c r="A360" t="s">
        <v>663</v>
      </c>
      <c r="B360" t="s">
        <v>21</v>
      </c>
      <c r="C360" t="s">
        <v>268</v>
      </c>
      <c r="D360" t="s">
        <v>53</v>
      </c>
      <c r="E360" t="s">
        <v>32</v>
      </c>
      <c r="F360" t="s">
        <v>36</v>
      </c>
      <c r="G360" t="s">
        <v>60</v>
      </c>
      <c r="H360">
        <v>27.5</v>
      </c>
      <c r="I360">
        <v>4</v>
      </c>
      <c r="J360">
        <v>5.5</v>
      </c>
      <c r="K360">
        <v>110</v>
      </c>
      <c r="L360" s="1">
        <v>43540</v>
      </c>
      <c r="M360" s="2">
        <v>0.65277777777777779</v>
      </c>
      <c r="N360" t="s">
        <v>27</v>
      </c>
      <c r="O360">
        <v>82.5</v>
      </c>
      <c r="P360">
        <v>4.7619047620000003</v>
      </c>
      <c r="Q360">
        <v>27.5</v>
      </c>
      <c r="R360">
        <v>7.8</v>
      </c>
      <c r="S360">
        <v>96.089100000000002</v>
      </c>
      <c r="T360">
        <v>21.9588</v>
      </c>
    </row>
    <row r="361" spans="1:20" x14ac:dyDescent="0.3">
      <c r="A361" t="s">
        <v>664</v>
      </c>
      <c r="B361" t="s">
        <v>21</v>
      </c>
      <c r="C361" t="s">
        <v>665</v>
      </c>
      <c r="D361" t="s">
        <v>53</v>
      </c>
      <c r="E361" t="s">
        <v>32</v>
      </c>
      <c r="F361" t="s">
        <v>36</v>
      </c>
      <c r="G361" t="s">
        <v>68</v>
      </c>
      <c r="H361">
        <v>74.97</v>
      </c>
      <c r="I361">
        <v>1</v>
      </c>
      <c r="J361">
        <v>3.7484999999999999</v>
      </c>
      <c r="K361">
        <v>74.97</v>
      </c>
      <c r="L361" s="1">
        <v>43600</v>
      </c>
      <c r="M361" s="2">
        <v>0.70694444444444449</v>
      </c>
      <c r="N361" t="s">
        <v>33</v>
      </c>
      <c r="O361">
        <v>74.97</v>
      </c>
      <c r="P361">
        <v>4.7619047620000003</v>
      </c>
      <c r="Q361">
        <v>0</v>
      </c>
      <c r="R361">
        <v>6.72</v>
      </c>
      <c r="S361">
        <v>96.089100000000002</v>
      </c>
      <c r="T361">
        <v>21.9588</v>
      </c>
    </row>
    <row r="362" spans="1:20" x14ac:dyDescent="0.3">
      <c r="A362" t="s">
        <v>666</v>
      </c>
      <c r="B362" t="s">
        <v>21</v>
      </c>
      <c r="C362" t="s">
        <v>262</v>
      </c>
      <c r="D362" t="s">
        <v>23</v>
      </c>
      <c r="E362" t="s">
        <v>24</v>
      </c>
      <c r="F362" t="s">
        <v>36</v>
      </c>
      <c r="G362" t="s">
        <v>63</v>
      </c>
      <c r="H362">
        <v>80.959999999999994</v>
      </c>
      <c r="I362">
        <v>11</v>
      </c>
      <c r="J362">
        <v>44.527999999999999</v>
      </c>
      <c r="K362">
        <v>890.56</v>
      </c>
      <c r="L362" s="1">
        <v>43563</v>
      </c>
      <c r="M362" s="2">
        <v>0.46666666666666667</v>
      </c>
      <c r="N362" t="s">
        <v>37</v>
      </c>
      <c r="O362">
        <v>647.67999999999995</v>
      </c>
      <c r="P362">
        <v>4.7619047620000003</v>
      </c>
      <c r="Q362">
        <v>242.88</v>
      </c>
      <c r="R362">
        <v>7.4</v>
      </c>
      <c r="S362">
        <v>96.173500000000004</v>
      </c>
      <c r="T362">
        <v>16.840900000000001</v>
      </c>
    </row>
    <row r="363" spans="1:20" x14ac:dyDescent="0.3">
      <c r="A363" t="s">
        <v>667</v>
      </c>
      <c r="B363" t="s">
        <v>21</v>
      </c>
      <c r="C363" t="s">
        <v>668</v>
      </c>
      <c r="D363" t="s">
        <v>31</v>
      </c>
      <c r="E363" t="s">
        <v>32</v>
      </c>
      <c r="F363" t="s">
        <v>25</v>
      </c>
      <c r="G363" t="s">
        <v>63</v>
      </c>
      <c r="H363">
        <v>94.47</v>
      </c>
      <c r="I363">
        <v>10</v>
      </c>
      <c r="J363">
        <v>47.234999999999999</v>
      </c>
      <c r="K363">
        <v>944.7</v>
      </c>
      <c r="L363" s="1">
        <v>43652</v>
      </c>
      <c r="M363" s="2">
        <v>0.6333333333333333</v>
      </c>
      <c r="N363" t="s">
        <v>33</v>
      </c>
      <c r="O363">
        <v>755.76</v>
      </c>
      <c r="P363">
        <v>4.7619047620000003</v>
      </c>
      <c r="Q363">
        <v>188.94</v>
      </c>
      <c r="R363">
        <v>9.5549999999999997</v>
      </c>
      <c r="S363">
        <v>96.078500000000005</v>
      </c>
      <c r="T363">
        <v>19.763300000000001</v>
      </c>
    </row>
    <row r="364" spans="1:20" x14ac:dyDescent="0.3">
      <c r="A364" t="s">
        <v>669</v>
      </c>
      <c r="B364" t="s">
        <v>21</v>
      </c>
      <c r="C364" t="s">
        <v>670</v>
      </c>
      <c r="D364" t="s">
        <v>31</v>
      </c>
      <c r="E364" t="s">
        <v>32</v>
      </c>
      <c r="F364" t="s">
        <v>36</v>
      </c>
      <c r="G364" t="s">
        <v>63</v>
      </c>
      <c r="H364">
        <v>99.79</v>
      </c>
      <c r="I364">
        <v>2</v>
      </c>
      <c r="J364">
        <v>9.9789999999999992</v>
      </c>
      <c r="K364">
        <v>199.58</v>
      </c>
      <c r="L364" s="1">
        <v>43540</v>
      </c>
      <c r="M364" s="2">
        <v>0.85902777777777772</v>
      </c>
      <c r="N364" t="s">
        <v>27</v>
      </c>
      <c r="O364">
        <v>199.58</v>
      </c>
      <c r="P364">
        <v>4.7619047620000003</v>
      </c>
      <c r="Q364">
        <v>0</v>
      </c>
      <c r="R364">
        <v>8.4</v>
      </c>
      <c r="S364">
        <v>96.078500000000005</v>
      </c>
      <c r="T364">
        <v>19.763300000000001</v>
      </c>
    </row>
    <row r="365" spans="1:20" x14ac:dyDescent="0.3">
      <c r="A365" t="s">
        <v>671</v>
      </c>
      <c r="B365" t="s">
        <v>21</v>
      </c>
      <c r="C365" t="s">
        <v>672</v>
      </c>
      <c r="D365" t="s">
        <v>23</v>
      </c>
      <c r="E365" t="s">
        <v>32</v>
      </c>
      <c r="F365" t="s">
        <v>36</v>
      </c>
      <c r="G365" t="s">
        <v>77</v>
      </c>
      <c r="H365">
        <v>73.22</v>
      </c>
      <c r="I365">
        <v>6</v>
      </c>
      <c r="J365">
        <v>21.966000000000001</v>
      </c>
      <c r="K365">
        <v>439.32</v>
      </c>
      <c r="L365" s="1">
        <v>43527</v>
      </c>
      <c r="M365" s="2">
        <v>0.73888888888888893</v>
      </c>
      <c r="N365" t="s">
        <v>33</v>
      </c>
      <c r="O365">
        <v>439.32</v>
      </c>
      <c r="P365">
        <v>4.7619047620000003</v>
      </c>
      <c r="Q365">
        <v>0</v>
      </c>
      <c r="R365">
        <v>7.2</v>
      </c>
      <c r="S365">
        <v>96.173500000000004</v>
      </c>
      <c r="T365">
        <v>16.840900000000001</v>
      </c>
    </row>
    <row r="366" spans="1:20" x14ac:dyDescent="0.3">
      <c r="A366" t="s">
        <v>673</v>
      </c>
      <c r="B366" t="s">
        <v>21</v>
      </c>
      <c r="C366" t="s">
        <v>466</v>
      </c>
      <c r="D366" t="s">
        <v>31</v>
      </c>
      <c r="E366" t="s">
        <v>32</v>
      </c>
      <c r="F366" t="s">
        <v>25</v>
      </c>
      <c r="G366" t="s">
        <v>63</v>
      </c>
      <c r="H366">
        <v>41.24</v>
      </c>
      <c r="I366">
        <v>5</v>
      </c>
      <c r="J366">
        <v>10.31</v>
      </c>
      <c r="K366">
        <v>206.2</v>
      </c>
      <c r="L366" s="1">
        <v>43736</v>
      </c>
      <c r="M366" s="2">
        <v>0.68263888888888891</v>
      </c>
      <c r="N366" t="s">
        <v>33</v>
      </c>
      <c r="O366">
        <v>164.96</v>
      </c>
      <c r="P366">
        <v>4.7619047620000003</v>
      </c>
      <c r="Q366">
        <v>41.24</v>
      </c>
      <c r="R366">
        <v>7.4550000000000001</v>
      </c>
      <c r="S366">
        <v>96.078500000000005</v>
      </c>
      <c r="T366">
        <v>19.763300000000001</v>
      </c>
    </row>
    <row r="367" spans="1:20" x14ac:dyDescent="0.3">
      <c r="A367" t="s">
        <v>674</v>
      </c>
      <c r="B367" t="s">
        <v>21</v>
      </c>
      <c r="C367" t="s">
        <v>675</v>
      </c>
      <c r="D367" t="s">
        <v>31</v>
      </c>
      <c r="E367" t="s">
        <v>32</v>
      </c>
      <c r="F367" t="s">
        <v>25</v>
      </c>
      <c r="G367" t="s">
        <v>100</v>
      </c>
      <c r="H367">
        <v>81.680000000000007</v>
      </c>
      <c r="I367">
        <v>5</v>
      </c>
      <c r="J367">
        <v>20.420000000000002</v>
      </c>
      <c r="K367">
        <v>408.4</v>
      </c>
      <c r="L367" s="1">
        <v>43494</v>
      </c>
      <c r="M367" s="2">
        <v>0.5083333333333333</v>
      </c>
      <c r="N367" t="s">
        <v>33</v>
      </c>
      <c r="O367">
        <v>326.72000000000003</v>
      </c>
      <c r="P367">
        <v>4.7619047620000003</v>
      </c>
      <c r="Q367">
        <v>81.680000000000007</v>
      </c>
      <c r="R367">
        <v>9.5549999999999997</v>
      </c>
      <c r="S367">
        <v>96.078500000000005</v>
      </c>
      <c r="T367">
        <v>19.763300000000001</v>
      </c>
    </row>
    <row r="368" spans="1:20" x14ac:dyDescent="0.3">
      <c r="A368" t="s">
        <v>676</v>
      </c>
      <c r="B368" t="s">
        <v>21</v>
      </c>
      <c r="C368" t="s">
        <v>367</v>
      </c>
      <c r="D368" t="s">
        <v>31</v>
      </c>
      <c r="E368" t="s">
        <v>32</v>
      </c>
      <c r="F368" t="s">
        <v>25</v>
      </c>
      <c r="G368" t="s">
        <v>60</v>
      </c>
      <c r="H368">
        <v>51.32</v>
      </c>
      <c r="I368">
        <v>11</v>
      </c>
      <c r="J368">
        <v>28.225999999999999</v>
      </c>
      <c r="K368">
        <v>564.52</v>
      </c>
      <c r="L368" s="1">
        <v>43517</v>
      </c>
      <c r="M368" s="2">
        <v>0.81458333333333333</v>
      </c>
      <c r="N368" t="s">
        <v>33</v>
      </c>
      <c r="O368">
        <v>461.88</v>
      </c>
      <c r="P368">
        <v>4.7619047620000003</v>
      </c>
      <c r="Q368">
        <v>102.64</v>
      </c>
      <c r="R368">
        <v>5.88</v>
      </c>
      <c r="S368">
        <v>96.078500000000005</v>
      </c>
      <c r="T368">
        <v>19.763300000000001</v>
      </c>
    </row>
    <row r="369" spans="1:20" x14ac:dyDescent="0.3">
      <c r="A369" t="s">
        <v>677</v>
      </c>
      <c r="B369" t="s">
        <v>21</v>
      </c>
      <c r="C369" t="s">
        <v>583</v>
      </c>
      <c r="D369" t="s">
        <v>23</v>
      </c>
      <c r="E369" t="s">
        <v>24</v>
      </c>
      <c r="F369" t="s">
        <v>36</v>
      </c>
      <c r="G369" t="s">
        <v>77</v>
      </c>
      <c r="H369">
        <v>65.94</v>
      </c>
      <c r="I369">
        <v>6</v>
      </c>
      <c r="J369">
        <v>19.782</v>
      </c>
      <c r="K369">
        <v>395.64</v>
      </c>
      <c r="L369" s="1">
        <v>43556</v>
      </c>
      <c r="M369" s="2">
        <v>0.43680555555555556</v>
      </c>
      <c r="N369" t="s">
        <v>33</v>
      </c>
      <c r="O369">
        <v>263.76</v>
      </c>
      <c r="P369">
        <v>4.7619047620000003</v>
      </c>
      <c r="Q369">
        <v>131.88</v>
      </c>
      <c r="R369">
        <v>6</v>
      </c>
      <c r="S369">
        <v>96.173500000000004</v>
      </c>
      <c r="T369">
        <v>16.840900000000001</v>
      </c>
    </row>
    <row r="370" spans="1:20" x14ac:dyDescent="0.3">
      <c r="A370" t="s">
        <v>678</v>
      </c>
      <c r="B370" t="s">
        <v>21</v>
      </c>
      <c r="C370" t="s">
        <v>223</v>
      </c>
      <c r="D370" t="s">
        <v>31</v>
      </c>
      <c r="E370" t="s">
        <v>32</v>
      </c>
      <c r="F370" t="s">
        <v>25</v>
      </c>
      <c r="G370" t="s">
        <v>68</v>
      </c>
      <c r="H370">
        <v>14.36</v>
      </c>
      <c r="I370">
        <v>12</v>
      </c>
      <c r="J370">
        <v>8.6159999999999997</v>
      </c>
      <c r="K370">
        <v>172.32</v>
      </c>
      <c r="L370" s="1">
        <v>43660</v>
      </c>
      <c r="M370" s="2">
        <v>0.60277777777777775</v>
      </c>
      <c r="N370" t="s">
        <v>33</v>
      </c>
      <c r="O370">
        <v>143.6</v>
      </c>
      <c r="P370">
        <v>4.7619047620000003</v>
      </c>
      <c r="Q370">
        <v>28.72</v>
      </c>
      <c r="R370">
        <v>5.67</v>
      </c>
      <c r="S370">
        <v>96.078500000000005</v>
      </c>
      <c r="T370">
        <v>19.763300000000001</v>
      </c>
    </row>
    <row r="371" spans="1:20" x14ac:dyDescent="0.3">
      <c r="A371" t="s">
        <v>679</v>
      </c>
      <c r="B371" t="s">
        <v>21</v>
      </c>
      <c r="C371" t="s">
        <v>680</v>
      </c>
      <c r="D371" t="s">
        <v>23</v>
      </c>
      <c r="E371" t="s">
        <v>24</v>
      </c>
      <c r="F371" t="s">
        <v>36</v>
      </c>
      <c r="G371" t="s">
        <v>60</v>
      </c>
      <c r="H371">
        <v>21.5</v>
      </c>
      <c r="I371">
        <v>13</v>
      </c>
      <c r="J371">
        <v>13.975</v>
      </c>
      <c r="K371">
        <v>279.5</v>
      </c>
      <c r="L371" s="1">
        <v>43497</v>
      </c>
      <c r="M371" s="2">
        <v>0.53194444444444444</v>
      </c>
      <c r="N371" t="s">
        <v>37</v>
      </c>
      <c r="O371">
        <v>193.5</v>
      </c>
      <c r="P371">
        <v>4.7619047620000003</v>
      </c>
      <c r="Q371">
        <v>86</v>
      </c>
      <c r="R371">
        <v>7.8</v>
      </c>
      <c r="S371">
        <v>96.173500000000004</v>
      </c>
      <c r="T371">
        <v>16.840900000000001</v>
      </c>
    </row>
    <row r="372" spans="1:20" x14ac:dyDescent="0.3">
      <c r="A372" t="s">
        <v>681</v>
      </c>
      <c r="B372" t="s">
        <v>21</v>
      </c>
      <c r="C372" t="s">
        <v>102</v>
      </c>
      <c r="D372" t="s">
        <v>53</v>
      </c>
      <c r="E372" t="s">
        <v>24</v>
      </c>
      <c r="F372" t="s">
        <v>25</v>
      </c>
      <c r="G372" t="s">
        <v>60</v>
      </c>
      <c r="H372">
        <v>26.26</v>
      </c>
      <c r="I372">
        <v>14</v>
      </c>
      <c r="J372">
        <v>18.382000000000001</v>
      </c>
      <c r="K372">
        <v>367.64</v>
      </c>
      <c r="L372" s="1">
        <v>43586</v>
      </c>
      <c r="M372" s="2">
        <v>0.81944444444444442</v>
      </c>
      <c r="N372" t="s">
        <v>33</v>
      </c>
      <c r="O372">
        <v>183.82</v>
      </c>
      <c r="P372">
        <v>4.7619047620000003</v>
      </c>
      <c r="Q372">
        <v>183.82</v>
      </c>
      <c r="R372">
        <v>10</v>
      </c>
      <c r="S372">
        <v>96.089100000000002</v>
      </c>
      <c r="T372">
        <v>21.9588</v>
      </c>
    </row>
    <row r="373" spans="1:20" x14ac:dyDescent="0.3">
      <c r="A373" t="s">
        <v>682</v>
      </c>
      <c r="B373" t="s">
        <v>21</v>
      </c>
      <c r="C373" t="s">
        <v>83</v>
      </c>
      <c r="D373" t="s">
        <v>53</v>
      </c>
      <c r="E373" t="s">
        <v>32</v>
      </c>
      <c r="F373" t="s">
        <v>25</v>
      </c>
      <c r="G373" t="s">
        <v>100</v>
      </c>
      <c r="H373">
        <v>60.96</v>
      </c>
      <c r="I373">
        <v>3</v>
      </c>
      <c r="J373">
        <v>9.1440000000000001</v>
      </c>
      <c r="K373">
        <v>182.88</v>
      </c>
      <c r="L373" s="1">
        <v>43690</v>
      </c>
      <c r="M373" s="2">
        <v>0.81874999999999998</v>
      </c>
      <c r="N373" t="s">
        <v>37</v>
      </c>
      <c r="O373">
        <v>121.92</v>
      </c>
      <c r="P373">
        <v>4.7619047620000003</v>
      </c>
      <c r="Q373">
        <v>60.96</v>
      </c>
      <c r="R373">
        <v>5.88</v>
      </c>
      <c r="S373">
        <v>96.089100000000002</v>
      </c>
      <c r="T373">
        <v>21.9588</v>
      </c>
    </row>
    <row r="374" spans="1:20" x14ac:dyDescent="0.3">
      <c r="A374" t="s">
        <v>683</v>
      </c>
      <c r="B374" t="s">
        <v>21</v>
      </c>
      <c r="C374" t="s">
        <v>47</v>
      </c>
      <c r="D374" t="s">
        <v>31</v>
      </c>
      <c r="E374" t="s">
        <v>32</v>
      </c>
      <c r="F374" t="s">
        <v>25</v>
      </c>
      <c r="G374" t="s">
        <v>77</v>
      </c>
      <c r="H374">
        <v>70.11</v>
      </c>
      <c r="I374">
        <v>7</v>
      </c>
      <c r="J374">
        <v>24.538499999999999</v>
      </c>
      <c r="K374">
        <v>490.77</v>
      </c>
      <c r="L374" s="1">
        <v>43722</v>
      </c>
      <c r="M374" s="2">
        <v>0.74583333333333335</v>
      </c>
      <c r="N374" t="s">
        <v>27</v>
      </c>
      <c r="O374">
        <v>420.66</v>
      </c>
      <c r="P374">
        <v>4.7619047620000003</v>
      </c>
      <c r="Q374">
        <v>70.11</v>
      </c>
      <c r="R374">
        <v>5.46</v>
      </c>
      <c r="S374">
        <v>96.078500000000005</v>
      </c>
      <c r="T374">
        <v>19.763300000000001</v>
      </c>
    </row>
    <row r="375" spans="1:20" x14ac:dyDescent="0.3">
      <c r="A375" t="s">
        <v>684</v>
      </c>
      <c r="B375" t="s">
        <v>21</v>
      </c>
      <c r="C375" t="s">
        <v>685</v>
      </c>
      <c r="D375" t="s">
        <v>31</v>
      </c>
      <c r="E375" t="s">
        <v>32</v>
      </c>
      <c r="F375" t="s">
        <v>36</v>
      </c>
      <c r="G375" t="s">
        <v>100</v>
      </c>
      <c r="H375">
        <v>42.08</v>
      </c>
      <c r="I375">
        <v>7</v>
      </c>
      <c r="J375">
        <v>14.728</v>
      </c>
      <c r="K375">
        <v>294.56</v>
      </c>
      <c r="L375" s="1">
        <v>43747</v>
      </c>
      <c r="M375" s="2">
        <v>0.51736111111111116</v>
      </c>
      <c r="N375" t="s">
        <v>33</v>
      </c>
      <c r="O375">
        <v>252.48</v>
      </c>
      <c r="P375">
        <v>4.7619047620000003</v>
      </c>
      <c r="Q375">
        <v>42.08</v>
      </c>
      <c r="R375">
        <v>9.3450000000000006</v>
      </c>
      <c r="S375">
        <v>96.078500000000005</v>
      </c>
      <c r="T375">
        <v>19.763300000000001</v>
      </c>
    </row>
    <row r="376" spans="1:20" x14ac:dyDescent="0.3">
      <c r="A376" t="s">
        <v>686</v>
      </c>
      <c r="B376" t="s">
        <v>21</v>
      </c>
      <c r="C376" t="s">
        <v>687</v>
      </c>
      <c r="D376" t="s">
        <v>23</v>
      </c>
      <c r="E376" t="s">
        <v>32</v>
      </c>
      <c r="F376" t="s">
        <v>25</v>
      </c>
      <c r="G376" t="s">
        <v>77</v>
      </c>
      <c r="H376">
        <v>67.09</v>
      </c>
      <c r="I376">
        <v>5</v>
      </c>
      <c r="J376">
        <v>16.772500000000001</v>
      </c>
      <c r="K376">
        <v>335.45</v>
      </c>
      <c r="L376" s="1">
        <v>43755</v>
      </c>
      <c r="M376" s="2">
        <v>0.69930555555555551</v>
      </c>
      <c r="N376" t="s">
        <v>37</v>
      </c>
      <c r="O376">
        <v>335.45</v>
      </c>
      <c r="P376">
        <v>4.7619047620000003</v>
      </c>
      <c r="Q376">
        <v>0</v>
      </c>
      <c r="R376">
        <v>9.1</v>
      </c>
      <c r="S376">
        <v>96.173500000000004</v>
      </c>
      <c r="T376">
        <v>16.840900000000001</v>
      </c>
    </row>
    <row r="377" spans="1:20" x14ac:dyDescent="0.3">
      <c r="A377" t="s">
        <v>688</v>
      </c>
      <c r="B377" t="s">
        <v>21</v>
      </c>
      <c r="C377" t="s">
        <v>689</v>
      </c>
      <c r="D377" t="s">
        <v>23</v>
      </c>
      <c r="E377" t="s">
        <v>24</v>
      </c>
      <c r="F377" t="s">
        <v>25</v>
      </c>
      <c r="G377" t="s">
        <v>100</v>
      </c>
      <c r="H377">
        <v>96.7</v>
      </c>
      <c r="I377">
        <v>7</v>
      </c>
      <c r="J377">
        <v>33.844999999999999</v>
      </c>
      <c r="K377">
        <v>676.9</v>
      </c>
      <c r="L377" s="1">
        <v>43681</v>
      </c>
      <c r="M377" s="2">
        <v>0.53611111111111109</v>
      </c>
      <c r="N377" t="s">
        <v>27</v>
      </c>
      <c r="O377">
        <v>483.5</v>
      </c>
      <c r="P377">
        <v>4.7619047620000003</v>
      </c>
      <c r="Q377">
        <v>193.4</v>
      </c>
      <c r="R377">
        <v>7.46</v>
      </c>
      <c r="S377">
        <v>96.173500000000004</v>
      </c>
      <c r="T377">
        <v>16.840900000000001</v>
      </c>
    </row>
    <row r="378" spans="1:20" x14ac:dyDescent="0.3">
      <c r="A378" t="s">
        <v>690</v>
      </c>
      <c r="B378" t="s">
        <v>21</v>
      </c>
      <c r="C378" t="s">
        <v>286</v>
      </c>
      <c r="D378" t="s">
        <v>53</v>
      </c>
      <c r="E378" t="s">
        <v>24</v>
      </c>
      <c r="F378" t="s">
        <v>25</v>
      </c>
      <c r="G378" t="s">
        <v>26</v>
      </c>
      <c r="H378">
        <v>35.380000000000003</v>
      </c>
      <c r="I378">
        <v>18</v>
      </c>
      <c r="J378">
        <v>31.841999999999999</v>
      </c>
      <c r="K378">
        <v>636.84</v>
      </c>
      <c r="L378" s="1">
        <v>43819</v>
      </c>
      <c r="M378" s="2">
        <v>0.82638888888888884</v>
      </c>
      <c r="N378" t="s">
        <v>37</v>
      </c>
      <c r="O378">
        <v>318.42</v>
      </c>
      <c r="P378">
        <v>4.7619047620000003</v>
      </c>
      <c r="Q378">
        <v>318.42</v>
      </c>
      <c r="R378">
        <v>7.46</v>
      </c>
      <c r="S378">
        <v>96.089100000000002</v>
      </c>
      <c r="T378">
        <v>21.9588</v>
      </c>
    </row>
    <row r="379" spans="1:20" x14ac:dyDescent="0.3">
      <c r="A379" t="s">
        <v>691</v>
      </c>
      <c r="B379" t="s">
        <v>21</v>
      </c>
      <c r="C379" t="s">
        <v>195</v>
      </c>
      <c r="D379" t="s">
        <v>31</v>
      </c>
      <c r="E379" t="s">
        <v>32</v>
      </c>
      <c r="F379" t="s">
        <v>36</v>
      </c>
      <c r="G379" t="s">
        <v>26</v>
      </c>
      <c r="H379">
        <v>95.49</v>
      </c>
      <c r="I379">
        <v>8</v>
      </c>
      <c r="J379">
        <v>38.195999999999998</v>
      </c>
      <c r="K379">
        <v>763.92</v>
      </c>
      <c r="L379" s="1">
        <v>43689</v>
      </c>
      <c r="M379" s="2">
        <v>0.76180555555555551</v>
      </c>
      <c r="N379" t="s">
        <v>27</v>
      </c>
      <c r="O379">
        <v>668.43</v>
      </c>
      <c r="P379">
        <v>4.7619047620000003</v>
      </c>
      <c r="Q379">
        <v>95.49</v>
      </c>
      <c r="R379">
        <v>7.46</v>
      </c>
      <c r="S379">
        <v>96.078500000000005</v>
      </c>
      <c r="T379">
        <v>19.763300000000001</v>
      </c>
    </row>
    <row r="380" spans="1:20" x14ac:dyDescent="0.3">
      <c r="A380" t="s">
        <v>692</v>
      </c>
      <c r="B380" t="s">
        <v>21</v>
      </c>
      <c r="C380" t="s">
        <v>323</v>
      </c>
      <c r="D380" t="s">
        <v>31</v>
      </c>
      <c r="E380" t="s">
        <v>24</v>
      </c>
      <c r="F380" t="s">
        <v>36</v>
      </c>
      <c r="G380" t="s">
        <v>26</v>
      </c>
      <c r="H380">
        <v>96.98</v>
      </c>
      <c r="I380">
        <v>7</v>
      </c>
      <c r="J380">
        <v>33.942999999999998</v>
      </c>
      <c r="K380">
        <v>678.86</v>
      </c>
      <c r="L380" s="1">
        <v>43614</v>
      </c>
      <c r="M380" s="2">
        <v>0.72222222222222221</v>
      </c>
      <c r="N380" t="s">
        <v>27</v>
      </c>
      <c r="O380">
        <v>387.92</v>
      </c>
      <c r="P380">
        <v>4.7619047620000003</v>
      </c>
      <c r="Q380">
        <v>290.94</v>
      </c>
      <c r="R380">
        <v>7.46</v>
      </c>
      <c r="S380">
        <v>96.078500000000005</v>
      </c>
      <c r="T380">
        <v>19.763300000000001</v>
      </c>
    </row>
    <row r="381" spans="1:20" x14ac:dyDescent="0.3">
      <c r="A381" t="s">
        <v>693</v>
      </c>
      <c r="B381" t="s">
        <v>21</v>
      </c>
      <c r="C381" t="s">
        <v>57</v>
      </c>
      <c r="D381" t="s">
        <v>53</v>
      </c>
      <c r="E381" t="s">
        <v>32</v>
      </c>
      <c r="F381" t="s">
        <v>25</v>
      </c>
      <c r="G381" t="s">
        <v>26</v>
      </c>
      <c r="H381">
        <v>23.65</v>
      </c>
      <c r="I381">
        <v>6</v>
      </c>
      <c r="J381">
        <v>7.0949999999999998</v>
      </c>
      <c r="K381">
        <v>141.9</v>
      </c>
      <c r="L381" s="1">
        <v>43680</v>
      </c>
      <c r="M381" s="2">
        <v>0.56388888888888888</v>
      </c>
      <c r="N381" t="s">
        <v>37</v>
      </c>
      <c r="O381">
        <v>94.6</v>
      </c>
      <c r="P381">
        <v>4.7619047620000003</v>
      </c>
      <c r="Q381">
        <v>47.3</v>
      </c>
      <c r="R381">
        <v>7.46</v>
      </c>
      <c r="S381">
        <v>96.089100000000002</v>
      </c>
      <c r="T381">
        <v>21.9588</v>
      </c>
    </row>
    <row r="382" spans="1:20" x14ac:dyDescent="0.3">
      <c r="A382" t="s">
        <v>694</v>
      </c>
      <c r="B382" t="s">
        <v>21</v>
      </c>
      <c r="C382" t="s">
        <v>432</v>
      </c>
      <c r="D382" t="s">
        <v>23</v>
      </c>
      <c r="E382" t="s">
        <v>24</v>
      </c>
      <c r="F382" t="s">
        <v>36</v>
      </c>
      <c r="G382" t="s">
        <v>26</v>
      </c>
      <c r="H382">
        <v>82.33</v>
      </c>
      <c r="I382">
        <v>6</v>
      </c>
      <c r="J382">
        <v>24.699000000000002</v>
      </c>
      <c r="K382">
        <v>493.98</v>
      </c>
      <c r="L382" s="1">
        <v>43673</v>
      </c>
      <c r="M382" s="2">
        <v>0.44236111111111109</v>
      </c>
      <c r="N382" t="s">
        <v>37</v>
      </c>
      <c r="O382">
        <v>329.32</v>
      </c>
      <c r="P382">
        <v>4.7619047620000003</v>
      </c>
      <c r="Q382">
        <v>164.66</v>
      </c>
      <c r="R382">
        <v>7.46</v>
      </c>
      <c r="S382">
        <v>96.173500000000004</v>
      </c>
      <c r="T382">
        <v>16.840900000000001</v>
      </c>
    </row>
    <row r="383" spans="1:20" x14ac:dyDescent="0.3">
      <c r="A383" t="s">
        <v>695</v>
      </c>
      <c r="B383" t="s">
        <v>21</v>
      </c>
      <c r="C383" t="s">
        <v>696</v>
      </c>
      <c r="D383" t="s">
        <v>31</v>
      </c>
      <c r="E383" t="s">
        <v>32</v>
      </c>
      <c r="F383" t="s">
        <v>25</v>
      </c>
      <c r="G383" t="s">
        <v>26</v>
      </c>
      <c r="H383">
        <v>26.61</v>
      </c>
      <c r="I383">
        <v>2</v>
      </c>
      <c r="J383">
        <v>2.661</v>
      </c>
      <c r="K383">
        <v>53.22</v>
      </c>
      <c r="L383" s="1">
        <v>43758</v>
      </c>
      <c r="M383" s="2">
        <v>0.60763888888888884</v>
      </c>
      <c r="N383" t="s">
        <v>33</v>
      </c>
      <c r="O383">
        <v>53.22</v>
      </c>
      <c r="P383">
        <v>4.7619047620000003</v>
      </c>
      <c r="Q383">
        <v>0</v>
      </c>
      <c r="R383">
        <v>7.46</v>
      </c>
      <c r="S383">
        <v>96.078500000000005</v>
      </c>
      <c r="T383">
        <v>19.763300000000001</v>
      </c>
    </row>
    <row r="384" spans="1:20" x14ac:dyDescent="0.3">
      <c r="A384" t="s">
        <v>697</v>
      </c>
      <c r="B384" t="s">
        <v>21</v>
      </c>
      <c r="C384" t="s">
        <v>83</v>
      </c>
      <c r="D384" t="s">
        <v>53</v>
      </c>
      <c r="E384" t="s">
        <v>32</v>
      </c>
      <c r="F384" t="s">
        <v>25</v>
      </c>
      <c r="G384" t="s">
        <v>26</v>
      </c>
      <c r="H384">
        <v>99.69</v>
      </c>
      <c r="I384">
        <v>7</v>
      </c>
      <c r="J384">
        <v>34.891500000000001</v>
      </c>
      <c r="K384">
        <v>697.83</v>
      </c>
      <c r="L384" s="1">
        <v>43830</v>
      </c>
      <c r="M384" s="2">
        <v>0.50624999999999998</v>
      </c>
      <c r="N384" t="s">
        <v>33</v>
      </c>
      <c r="O384">
        <v>498.45</v>
      </c>
      <c r="P384">
        <v>4.7619047620000003</v>
      </c>
      <c r="Q384">
        <v>199.38</v>
      </c>
      <c r="R384">
        <v>7.46</v>
      </c>
      <c r="S384">
        <v>96.089100000000002</v>
      </c>
      <c r="T384">
        <v>21.9588</v>
      </c>
    </row>
    <row r="385" spans="1:20" x14ac:dyDescent="0.3">
      <c r="A385" t="s">
        <v>698</v>
      </c>
      <c r="B385" t="s">
        <v>21</v>
      </c>
      <c r="C385" t="s">
        <v>696</v>
      </c>
      <c r="D385" t="s">
        <v>31</v>
      </c>
      <c r="E385" t="s">
        <v>24</v>
      </c>
      <c r="F385" t="s">
        <v>25</v>
      </c>
      <c r="G385" t="s">
        <v>26</v>
      </c>
      <c r="H385">
        <v>74.89</v>
      </c>
      <c r="I385">
        <v>7</v>
      </c>
      <c r="J385">
        <v>26.211500000000001</v>
      </c>
      <c r="K385">
        <v>524.23</v>
      </c>
      <c r="L385" s="1">
        <v>43750</v>
      </c>
      <c r="M385" s="2">
        <v>0.64722222222222225</v>
      </c>
      <c r="N385" t="s">
        <v>27</v>
      </c>
      <c r="O385">
        <v>299.56</v>
      </c>
      <c r="P385">
        <v>4.7619047620000003</v>
      </c>
      <c r="Q385">
        <v>224.67</v>
      </c>
      <c r="R385">
        <v>4.41</v>
      </c>
      <c r="S385">
        <v>96.078500000000005</v>
      </c>
      <c r="T385">
        <v>19.763300000000001</v>
      </c>
    </row>
    <row r="386" spans="1:20" x14ac:dyDescent="0.3">
      <c r="A386" t="s">
        <v>699</v>
      </c>
      <c r="B386" t="s">
        <v>21</v>
      </c>
      <c r="C386" t="s">
        <v>700</v>
      </c>
      <c r="D386" t="s">
        <v>23</v>
      </c>
      <c r="E386" t="s">
        <v>32</v>
      </c>
      <c r="F386" t="s">
        <v>25</v>
      </c>
      <c r="G386" t="s">
        <v>26</v>
      </c>
      <c r="H386">
        <v>40.94</v>
      </c>
      <c r="I386">
        <v>5</v>
      </c>
      <c r="J386">
        <v>10.234999999999999</v>
      </c>
      <c r="K386">
        <v>204.7</v>
      </c>
      <c r="L386" s="1">
        <v>43470</v>
      </c>
      <c r="M386" s="2">
        <v>0.58194444444444449</v>
      </c>
      <c r="N386" t="s">
        <v>27</v>
      </c>
      <c r="O386">
        <v>204.7</v>
      </c>
      <c r="P386">
        <v>4.7619047620000003</v>
      </c>
      <c r="Q386">
        <v>0</v>
      </c>
      <c r="R386">
        <v>9.9</v>
      </c>
      <c r="S386">
        <v>96.173500000000004</v>
      </c>
      <c r="T386">
        <v>16.840900000000001</v>
      </c>
    </row>
    <row r="387" spans="1:20" x14ac:dyDescent="0.3">
      <c r="A387" t="s">
        <v>701</v>
      </c>
      <c r="B387" t="s">
        <v>21</v>
      </c>
      <c r="C387" t="s">
        <v>99</v>
      </c>
      <c r="D387" t="s">
        <v>53</v>
      </c>
      <c r="E387" t="s">
        <v>24</v>
      </c>
      <c r="F387" t="s">
        <v>36</v>
      </c>
      <c r="G387" t="s">
        <v>26</v>
      </c>
      <c r="H387">
        <v>75.819999999999993</v>
      </c>
      <c r="I387">
        <v>1</v>
      </c>
      <c r="J387">
        <v>3.7909999999999999</v>
      </c>
      <c r="K387">
        <v>75.819999999999993</v>
      </c>
      <c r="L387" s="1">
        <v>43648</v>
      </c>
      <c r="M387" s="2">
        <v>0.55486111111111114</v>
      </c>
      <c r="N387" t="s">
        <v>33</v>
      </c>
      <c r="O387">
        <v>75.819999999999993</v>
      </c>
      <c r="P387">
        <v>4.7619047620000003</v>
      </c>
      <c r="Q387">
        <v>0</v>
      </c>
      <c r="R387">
        <v>6.96</v>
      </c>
      <c r="S387">
        <v>96.089100000000002</v>
      </c>
      <c r="T387">
        <v>21.9588</v>
      </c>
    </row>
    <row r="388" spans="1:20" x14ac:dyDescent="0.3">
      <c r="A388" t="s">
        <v>702</v>
      </c>
      <c r="B388" t="s">
        <v>21</v>
      </c>
      <c r="C388" t="s">
        <v>158</v>
      </c>
      <c r="D388" t="s">
        <v>31</v>
      </c>
      <c r="E388" t="s">
        <v>32</v>
      </c>
      <c r="F388" t="s">
        <v>36</v>
      </c>
      <c r="G388" t="s">
        <v>26</v>
      </c>
      <c r="H388">
        <v>46.77</v>
      </c>
      <c r="I388">
        <v>7</v>
      </c>
      <c r="J388">
        <v>16.369499999999999</v>
      </c>
      <c r="K388">
        <v>327.39</v>
      </c>
      <c r="L388" s="1">
        <v>43599</v>
      </c>
      <c r="M388" s="2">
        <v>0.56736111111111109</v>
      </c>
      <c r="N388" t="s">
        <v>33</v>
      </c>
      <c r="O388">
        <v>280.62</v>
      </c>
      <c r="P388">
        <v>4.7619047620000003</v>
      </c>
      <c r="Q388">
        <v>46.77</v>
      </c>
      <c r="R388">
        <v>6.3</v>
      </c>
      <c r="S388">
        <v>96.078500000000005</v>
      </c>
      <c r="T388">
        <v>19.763300000000001</v>
      </c>
    </row>
    <row r="389" spans="1:20" x14ac:dyDescent="0.3">
      <c r="A389" t="s">
        <v>703</v>
      </c>
      <c r="B389" t="s">
        <v>21</v>
      </c>
      <c r="C389" t="s">
        <v>462</v>
      </c>
      <c r="D389" t="s">
        <v>23</v>
      </c>
      <c r="E389" t="s">
        <v>32</v>
      </c>
      <c r="F389" t="s">
        <v>25</v>
      </c>
      <c r="G389" t="s">
        <v>26</v>
      </c>
      <c r="H389">
        <v>32.32</v>
      </c>
      <c r="I389">
        <v>10</v>
      </c>
      <c r="J389">
        <v>16.16</v>
      </c>
      <c r="K389">
        <v>323.2</v>
      </c>
      <c r="L389" s="1">
        <v>43614</v>
      </c>
      <c r="M389" s="2">
        <v>0.7006944444444444</v>
      </c>
      <c r="N389" t="s">
        <v>37</v>
      </c>
      <c r="O389">
        <v>323.2</v>
      </c>
      <c r="P389">
        <v>4.7619047620000003</v>
      </c>
      <c r="Q389">
        <v>0</v>
      </c>
      <c r="R389">
        <v>10</v>
      </c>
      <c r="S389">
        <v>96.173500000000004</v>
      </c>
      <c r="T389">
        <v>16.840900000000001</v>
      </c>
    </row>
    <row r="390" spans="1:20" x14ac:dyDescent="0.3">
      <c r="A390" t="s">
        <v>704</v>
      </c>
      <c r="B390" t="s">
        <v>21</v>
      </c>
      <c r="C390" t="s">
        <v>419</v>
      </c>
      <c r="D390" t="s">
        <v>31</v>
      </c>
      <c r="E390" t="s">
        <v>24</v>
      </c>
      <c r="F390" t="s">
        <v>25</v>
      </c>
      <c r="G390" t="s">
        <v>26</v>
      </c>
      <c r="H390">
        <v>54.07</v>
      </c>
      <c r="I390">
        <v>15</v>
      </c>
      <c r="J390">
        <v>40.552500000000002</v>
      </c>
      <c r="K390">
        <v>811.05</v>
      </c>
      <c r="L390" s="1">
        <v>43739</v>
      </c>
      <c r="M390" s="2">
        <v>0.62152777777777779</v>
      </c>
      <c r="N390" t="s">
        <v>27</v>
      </c>
      <c r="O390">
        <v>486.63</v>
      </c>
      <c r="P390">
        <v>4.7619047620000003</v>
      </c>
      <c r="Q390">
        <v>324.42</v>
      </c>
      <c r="R390">
        <v>9.9749999999999996</v>
      </c>
      <c r="S390">
        <v>96.078500000000005</v>
      </c>
      <c r="T390">
        <v>19.763300000000001</v>
      </c>
    </row>
    <row r="391" spans="1:20" x14ac:dyDescent="0.3">
      <c r="A391" t="s">
        <v>705</v>
      </c>
      <c r="B391" t="s">
        <v>21</v>
      </c>
      <c r="C391" t="s">
        <v>706</v>
      </c>
      <c r="D391" t="s">
        <v>53</v>
      </c>
      <c r="E391" t="s">
        <v>32</v>
      </c>
      <c r="F391" t="s">
        <v>36</v>
      </c>
      <c r="G391" t="s">
        <v>26</v>
      </c>
      <c r="H391">
        <v>18.22</v>
      </c>
      <c r="I391">
        <v>10</v>
      </c>
      <c r="J391">
        <v>9.11</v>
      </c>
      <c r="K391">
        <v>182.2</v>
      </c>
      <c r="L391" s="1">
        <v>43740</v>
      </c>
      <c r="M391" s="2">
        <v>0.58611111111111114</v>
      </c>
      <c r="N391" t="s">
        <v>37</v>
      </c>
      <c r="O391">
        <v>127.54</v>
      </c>
      <c r="P391">
        <v>4.7619047620000003</v>
      </c>
      <c r="Q391">
        <v>54.66</v>
      </c>
      <c r="R391">
        <v>7.92</v>
      </c>
      <c r="S391">
        <v>96.089100000000002</v>
      </c>
      <c r="T391">
        <v>21.9588</v>
      </c>
    </row>
    <row r="392" spans="1:20" x14ac:dyDescent="0.3">
      <c r="A392" t="s">
        <v>707</v>
      </c>
      <c r="B392" t="s">
        <v>21</v>
      </c>
      <c r="C392" t="s">
        <v>449</v>
      </c>
      <c r="D392" t="s">
        <v>31</v>
      </c>
      <c r="E392" t="s">
        <v>24</v>
      </c>
      <c r="F392" t="s">
        <v>25</v>
      </c>
      <c r="G392" t="s">
        <v>26</v>
      </c>
      <c r="H392">
        <v>80.48</v>
      </c>
      <c r="I392">
        <v>6</v>
      </c>
      <c r="J392">
        <v>24.143999999999998</v>
      </c>
      <c r="K392">
        <v>482.88</v>
      </c>
      <c r="L392" s="1">
        <v>43542</v>
      </c>
      <c r="M392" s="2">
        <v>0.52152777777777781</v>
      </c>
      <c r="N392" t="s">
        <v>33</v>
      </c>
      <c r="O392">
        <v>241.44</v>
      </c>
      <c r="P392">
        <v>4.7619047620000003</v>
      </c>
      <c r="Q392">
        <v>241.44</v>
      </c>
      <c r="R392">
        <v>8.5050000000000008</v>
      </c>
      <c r="S392">
        <v>96.078500000000005</v>
      </c>
      <c r="T392">
        <v>19.763300000000001</v>
      </c>
    </row>
    <row r="393" spans="1:20" x14ac:dyDescent="0.3">
      <c r="A393" t="s">
        <v>708</v>
      </c>
      <c r="B393" t="s">
        <v>21</v>
      </c>
      <c r="C393" t="s">
        <v>81</v>
      </c>
      <c r="D393" t="s">
        <v>53</v>
      </c>
      <c r="E393" t="s">
        <v>32</v>
      </c>
      <c r="F393" t="s">
        <v>25</v>
      </c>
      <c r="G393" t="s">
        <v>26</v>
      </c>
      <c r="H393">
        <v>37.950000000000003</v>
      </c>
      <c r="I393">
        <v>14</v>
      </c>
      <c r="J393">
        <v>26.565000000000001</v>
      </c>
      <c r="K393">
        <v>531.29999999999995</v>
      </c>
      <c r="L393" s="1">
        <v>43617</v>
      </c>
      <c r="M393" s="2">
        <v>0.61875000000000002</v>
      </c>
      <c r="N393" t="s">
        <v>33</v>
      </c>
      <c r="O393">
        <v>379.5</v>
      </c>
      <c r="P393">
        <v>4.7619047620000003</v>
      </c>
      <c r="Q393">
        <v>151.80000000000001</v>
      </c>
      <c r="R393">
        <v>10</v>
      </c>
      <c r="S393">
        <v>96.089100000000002</v>
      </c>
      <c r="T393">
        <v>21.9588</v>
      </c>
    </row>
    <row r="394" spans="1:20" x14ac:dyDescent="0.3">
      <c r="A394" t="s">
        <v>709</v>
      </c>
      <c r="B394" t="s">
        <v>21</v>
      </c>
      <c r="C394" t="s">
        <v>710</v>
      </c>
      <c r="D394" t="s">
        <v>23</v>
      </c>
      <c r="E394" t="s">
        <v>24</v>
      </c>
      <c r="F394" t="s">
        <v>36</v>
      </c>
      <c r="G394" t="s">
        <v>26</v>
      </c>
      <c r="H394">
        <v>76.819999999999993</v>
      </c>
      <c r="I394">
        <v>1</v>
      </c>
      <c r="J394">
        <v>3.8410000000000002</v>
      </c>
      <c r="K394">
        <v>76.819999999999993</v>
      </c>
      <c r="L394" s="1">
        <v>43750</v>
      </c>
      <c r="M394" s="2">
        <v>0.76875000000000004</v>
      </c>
      <c r="N394" t="s">
        <v>27</v>
      </c>
      <c r="O394">
        <v>76.819999999999993</v>
      </c>
      <c r="P394">
        <v>4.7619047620000003</v>
      </c>
      <c r="Q394">
        <v>0</v>
      </c>
      <c r="R394">
        <v>7.2</v>
      </c>
      <c r="S394">
        <v>96.173500000000004</v>
      </c>
      <c r="T394">
        <v>16.840900000000001</v>
      </c>
    </row>
    <row r="395" spans="1:20" x14ac:dyDescent="0.3">
      <c r="A395" t="s">
        <v>711</v>
      </c>
      <c r="B395" t="s">
        <v>21</v>
      </c>
      <c r="C395" t="s">
        <v>712</v>
      </c>
      <c r="D395" t="s">
        <v>23</v>
      </c>
      <c r="E395" t="s">
        <v>24</v>
      </c>
      <c r="F395" t="s">
        <v>25</v>
      </c>
      <c r="G395" t="s">
        <v>26</v>
      </c>
      <c r="H395">
        <v>52.26</v>
      </c>
      <c r="I395">
        <v>14</v>
      </c>
      <c r="J395">
        <v>36.582000000000001</v>
      </c>
      <c r="K395">
        <v>731.64</v>
      </c>
      <c r="L395" s="1">
        <v>43539</v>
      </c>
      <c r="M395" s="2">
        <v>0.53125</v>
      </c>
      <c r="N395" t="s">
        <v>37</v>
      </c>
      <c r="O395">
        <v>522.6</v>
      </c>
      <c r="P395">
        <v>4.7619047620000003</v>
      </c>
      <c r="Q395">
        <v>209.04</v>
      </c>
      <c r="R395">
        <v>6.2</v>
      </c>
      <c r="S395">
        <v>96.173500000000004</v>
      </c>
      <c r="T395">
        <v>16.840900000000001</v>
      </c>
    </row>
    <row r="396" spans="1:20" x14ac:dyDescent="0.3">
      <c r="A396" t="s">
        <v>713</v>
      </c>
      <c r="B396" t="s">
        <v>21</v>
      </c>
      <c r="C396" t="s">
        <v>714</v>
      </c>
      <c r="D396" t="s">
        <v>23</v>
      </c>
      <c r="E396" t="s">
        <v>32</v>
      </c>
      <c r="F396" t="s">
        <v>25</v>
      </c>
      <c r="G396" t="s">
        <v>26</v>
      </c>
      <c r="H396">
        <v>79.739999999999995</v>
      </c>
      <c r="I396">
        <v>1</v>
      </c>
      <c r="J396">
        <v>3.9870000000000001</v>
      </c>
      <c r="K396">
        <v>79.739999999999995</v>
      </c>
      <c r="L396" s="1">
        <v>43755</v>
      </c>
      <c r="M396" s="2">
        <v>0.44166666666666665</v>
      </c>
      <c r="N396" t="s">
        <v>27</v>
      </c>
      <c r="O396">
        <v>79.739999999999995</v>
      </c>
      <c r="P396">
        <v>4.7619047620000003</v>
      </c>
      <c r="Q396">
        <v>0</v>
      </c>
      <c r="R396">
        <v>7.3</v>
      </c>
      <c r="S396">
        <v>96.173500000000004</v>
      </c>
      <c r="T396">
        <v>16.840900000000001</v>
      </c>
    </row>
    <row r="397" spans="1:20" x14ac:dyDescent="0.3">
      <c r="A397" t="s">
        <v>715</v>
      </c>
      <c r="B397" t="s">
        <v>21</v>
      </c>
      <c r="C397" t="s">
        <v>716</v>
      </c>
      <c r="D397" t="s">
        <v>23</v>
      </c>
      <c r="E397" t="s">
        <v>32</v>
      </c>
      <c r="F397" t="s">
        <v>25</v>
      </c>
      <c r="G397" t="s">
        <v>26</v>
      </c>
      <c r="H397">
        <v>77.5</v>
      </c>
      <c r="I397">
        <v>5</v>
      </c>
      <c r="J397">
        <v>19.375</v>
      </c>
      <c r="K397">
        <v>387.5</v>
      </c>
      <c r="L397" s="1">
        <v>43554</v>
      </c>
      <c r="M397" s="2">
        <v>0.85833333333333328</v>
      </c>
      <c r="N397" t="s">
        <v>27</v>
      </c>
      <c r="O397">
        <v>387.5</v>
      </c>
      <c r="P397">
        <v>4.7619047620000003</v>
      </c>
      <c r="Q397">
        <v>0</v>
      </c>
      <c r="R397">
        <v>4.3</v>
      </c>
      <c r="S397">
        <v>96.173500000000004</v>
      </c>
      <c r="T397">
        <v>16.840900000000001</v>
      </c>
    </row>
    <row r="398" spans="1:20" x14ac:dyDescent="0.3">
      <c r="A398" t="s">
        <v>717</v>
      </c>
      <c r="B398" t="s">
        <v>21</v>
      </c>
      <c r="C398" t="s">
        <v>311</v>
      </c>
      <c r="D398" t="s">
        <v>23</v>
      </c>
      <c r="E398" t="s">
        <v>32</v>
      </c>
      <c r="F398" t="s">
        <v>25</v>
      </c>
      <c r="G398" t="s">
        <v>26</v>
      </c>
      <c r="H398">
        <v>54.27</v>
      </c>
      <c r="I398">
        <v>5</v>
      </c>
      <c r="J398">
        <v>13.567500000000001</v>
      </c>
      <c r="K398">
        <v>271.35000000000002</v>
      </c>
      <c r="L398" s="1">
        <v>43678</v>
      </c>
      <c r="M398" s="2">
        <v>0.59444444444444444</v>
      </c>
      <c r="N398" t="s">
        <v>27</v>
      </c>
      <c r="O398">
        <v>271.35000000000002</v>
      </c>
      <c r="P398">
        <v>4.7619047620000003</v>
      </c>
      <c r="Q398">
        <v>0</v>
      </c>
      <c r="R398">
        <v>4.5999999999999996</v>
      </c>
      <c r="S398">
        <v>96.173500000000004</v>
      </c>
      <c r="T398">
        <v>16.840900000000001</v>
      </c>
    </row>
    <row r="399" spans="1:20" x14ac:dyDescent="0.3">
      <c r="A399" t="s">
        <v>718</v>
      </c>
      <c r="B399" t="s">
        <v>21</v>
      </c>
      <c r="C399" t="s">
        <v>333</v>
      </c>
      <c r="D399" t="s">
        <v>53</v>
      </c>
      <c r="E399" t="s">
        <v>32</v>
      </c>
      <c r="F399" t="s">
        <v>36</v>
      </c>
      <c r="G399" t="s">
        <v>26</v>
      </c>
      <c r="H399">
        <v>13.59</v>
      </c>
      <c r="I399">
        <v>13</v>
      </c>
      <c r="J399">
        <v>8.8335000000000008</v>
      </c>
      <c r="K399">
        <v>176.67</v>
      </c>
      <c r="L399" s="1">
        <v>43522</v>
      </c>
      <c r="M399" s="2">
        <v>0.43472222222222223</v>
      </c>
      <c r="N399" t="s">
        <v>33</v>
      </c>
      <c r="O399">
        <v>122.31</v>
      </c>
      <c r="P399">
        <v>4.7619047620000003</v>
      </c>
      <c r="Q399">
        <v>54.36</v>
      </c>
      <c r="R399">
        <v>6.96</v>
      </c>
      <c r="S399">
        <v>96.089100000000002</v>
      </c>
      <c r="T399">
        <v>21.9588</v>
      </c>
    </row>
    <row r="400" spans="1:20" x14ac:dyDescent="0.3">
      <c r="A400" t="s">
        <v>719</v>
      </c>
      <c r="B400" t="s">
        <v>21</v>
      </c>
      <c r="C400" t="s">
        <v>720</v>
      </c>
      <c r="D400" t="s">
        <v>53</v>
      </c>
      <c r="E400" t="s">
        <v>24</v>
      </c>
      <c r="F400" t="s">
        <v>25</v>
      </c>
      <c r="G400" t="s">
        <v>26</v>
      </c>
      <c r="H400">
        <v>41.06</v>
      </c>
      <c r="I400">
        <v>11</v>
      </c>
      <c r="J400">
        <v>22.582999999999998</v>
      </c>
      <c r="K400">
        <v>451.66</v>
      </c>
      <c r="L400" s="1">
        <v>43561</v>
      </c>
      <c r="M400" s="2">
        <v>0.5625</v>
      </c>
      <c r="N400" t="s">
        <v>37</v>
      </c>
      <c r="O400">
        <v>246.36</v>
      </c>
      <c r="P400">
        <v>4.7619047620000003</v>
      </c>
      <c r="Q400">
        <v>205.3</v>
      </c>
      <c r="R400">
        <v>9.9600000000000009</v>
      </c>
      <c r="S400">
        <v>96.089100000000002</v>
      </c>
      <c r="T400">
        <v>21.9588</v>
      </c>
    </row>
    <row r="401" spans="1:20" x14ac:dyDescent="0.3">
      <c r="A401" t="s">
        <v>721</v>
      </c>
      <c r="B401" t="s">
        <v>21</v>
      </c>
      <c r="C401" t="s">
        <v>280</v>
      </c>
      <c r="D401" t="s">
        <v>53</v>
      </c>
      <c r="E401" t="s">
        <v>24</v>
      </c>
      <c r="F401" t="s">
        <v>36</v>
      </c>
      <c r="G401" t="s">
        <v>26</v>
      </c>
      <c r="H401">
        <v>19.239999999999998</v>
      </c>
      <c r="I401">
        <v>18</v>
      </c>
      <c r="J401">
        <v>17.315999999999999</v>
      </c>
      <c r="K401">
        <v>346.32</v>
      </c>
      <c r="L401" s="1">
        <v>43623</v>
      </c>
      <c r="M401" s="2">
        <v>0.68611111111111112</v>
      </c>
      <c r="N401" t="s">
        <v>33</v>
      </c>
      <c r="O401">
        <v>173.16</v>
      </c>
      <c r="P401">
        <v>4.7619047620000003</v>
      </c>
      <c r="Q401">
        <v>173.16</v>
      </c>
      <c r="R401">
        <v>9.6</v>
      </c>
      <c r="S401">
        <v>96.089100000000002</v>
      </c>
      <c r="T401">
        <v>21.9588</v>
      </c>
    </row>
    <row r="402" spans="1:20" x14ac:dyDescent="0.3">
      <c r="A402" t="s">
        <v>722</v>
      </c>
      <c r="B402" t="s">
        <v>21</v>
      </c>
      <c r="C402" t="s">
        <v>445</v>
      </c>
      <c r="D402" t="s">
        <v>31</v>
      </c>
      <c r="E402" t="s">
        <v>32</v>
      </c>
      <c r="F402" t="s">
        <v>25</v>
      </c>
      <c r="G402" t="s">
        <v>26</v>
      </c>
      <c r="H402">
        <v>39.43</v>
      </c>
      <c r="I402">
        <v>7</v>
      </c>
      <c r="J402">
        <v>13.8005</v>
      </c>
      <c r="K402">
        <v>276.01</v>
      </c>
      <c r="L402" s="1">
        <v>43731</v>
      </c>
      <c r="M402" s="2">
        <v>0.84583333333333333</v>
      </c>
      <c r="N402" t="s">
        <v>37</v>
      </c>
      <c r="O402">
        <v>236.58</v>
      </c>
      <c r="P402">
        <v>4.7619047620000003</v>
      </c>
      <c r="Q402">
        <v>39.43</v>
      </c>
      <c r="R402">
        <v>9.8699999999999992</v>
      </c>
      <c r="S402">
        <v>96.078500000000005</v>
      </c>
      <c r="T402">
        <v>19.763300000000001</v>
      </c>
    </row>
    <row r="403" spans="1:20" x14ac:dyDescent="0.3">
      <c r="A403" t="s">
        <v>723</v>
      </c>
      <c r="B403" t="s">
        <v>21</v>
      </c>
      <c r="C403" t="s">
        <v>724</v>
      </c>
      <c r="D403" t="s">
        <v>31</v>
      </c>
      <c r="E403" t="s">
        <v>32</v>
      </c>
      <c r="F403" t="s">
        <v>36</v>
      </c>
      <c r="G403" t="s">
        <v>26</v>
      </c>
      <c r="H403">
        <v>46.22</v>
      </c>
      <c r="I403">
        <v>5</v>
      </c>
      <c r="J403">
        <v>11.555</v>
      </c>
      <c r="K403">
        <v>231.1</v>
      </c>
      <c r="L403" s="1">
        <v>43543</v>
      </c>
      <c r="M403" s="2">
        <v>0.83611111111111114</v>
      </c>
      <c r="N403" t="s">
        <v>37</v>
      </c>
      <c r="O403">
        <v>184.88</v>
      </c>
      <c r="P403">
        <v>4.7619047620000003</v>
      </c>
      <c r="Q403">
        <v>46.22</v>
      </c>
      <c r="R403">
        <v>6.51</v>
      </c>
      <c r="S403">
        <v>96.078500000000005</v>
      </c>
      <c r="T403">
        <v>19.763300000000001</v>
      </c>
    </row>
    <row r="404" spans="1:20" x14ac:dyDescent="0.3">
      <c r="A404" t="s">
        <v>725</v>
      </c>
      <c r="B404" t="s">
        <v>21</v>
      </c>
      <c r="C404" t="s">
        <v>726</v>
      </c>
      <c r="D404" t="s">
        <v>31</v>
      </c>
      <c r="E404" t="s">
        <v>24</v>
      </c>
      <c r="F404" t="s">
        <v>36</v>
      </c>
      <c r="G404" t="s">
        <v>26</v>
      </c>
      <c r="H404">
        <v>13.98</v>
      </c>
      <c r="I404">
        <v>1</v>
      </c>
      <c r="J404">
        <v>0.69899999999999995</v>
      </c>
      <c r="K404">
        <v>13.98</v>
      </c>
      <c r="L404" s="1">
        <v>43626</v>
      </c>
      <c r="M404" s="2">
        <v>0.56805555555555554</v>
      </c>
      <c r="N404" t="s">
        <v>27</v>
      </c>
      <c r="O404">
        <v>13.98</v>
      </c>
      <c r="P404">
        <v>4.7619047620000003</v>
      </c>
      <c r="Q404">
        <v>0</v>
      </c>
      <c r="R404">
        <v>10</v>
      </c>
      <c r="S404">
        <v>96.078500000000005</v>
      </c>
      <c r="T404">
        <v>19.763300000000001</v>
      </c>
    </row>
    <row r="405" spans="1:20" x14ac:dyDescent="0.3">
      <c r="A405" t="s">
        <v>727</v>
      </c>
      <c r="B405" t="s">
        <v>21</v>
      </c>
      <c r="C405" t="s">
        <v>296</v>
      </c>
      <c r="D405" t="s">
        <v>53</v>
      </c>
      <c r="E405" t="s">
        <v>32</v>
      </c>
      <c r="F405" t="s">
        <v>25</v>
      </c>
      <c r="G405" t="s">
        <v>100</v>
      </c>
      <c r="H405">
        <v>39.75</v>
      </c>
      <c r="I405">
        <v>7</v>
      </c>
      <c r="J405">
        <v>13.9125</v>
      </c>
      <c r="K405">
        <v>278.25</v>
      </c>
      <c r="L405" s="1">
        <v>43682</v>
      </c>
      <c r="M405" s="2">
        <v>0.4465277777777778</v>
      </c>
      <c r="N405" t="s">
        <v>27</v>
      </c>
      <c r="O405">
        <v>198.75</v>
      </c>
      <c r="P405">
        <v>4.7619047620000003</v>
      </c>
      <c r="Q405">
        <v>79.5</v>
      </c>
      <c r="R405">
        <v>10</v>
      </c>
      <c r="S405">
        <v>96.089100000000002</v>
      </c>
      <c r="T405">
        <v>21.9588</v>
      </c>
    </row>
    <row r="406" spans="1:20" x14ac:dyDescent="0.3">
      <c r="A406" t="s">
        <v>728</v>
      </c>
      <c r="B406" t="s">
        <v>21</v>
      </c>
      <c r="C406" t="s">
        <v>276</v>
      </c>
      <c r="D406" t="s">
        <v>31</v>
      </c>
      <c r="E406" t="s">
        <v>24</v>
      </c>
      <c r="F406" t="s">
        <v>25</v>
      </c>
      <c r="G406" t="s">
        <v>100</v>
      </c>
      <c r="H406">
        <v>97.79</v>
      </c>
      <c r="I406">
        <v>11</v>
      </c>
      <c r="J406">
        <v>53.784500000000001</v>
      </c>
      <c r="K406">
        <v>1075.69</v>
      </c>
      <c r="L406" s="1">
        <v>43481</v>
      </c>
      <c r="M406" s="2">
        <v>0.72916666666666663</v>
      </c>
      <c r="N406" t="s">
        <v>27</v>
      </c>
      <c r="O406">
        <v>684.53</v>
      </c>
      <c r="P406">
        <v>4.7619047620000003</v>
      </c>
      <c r="Q406">
        <v>391.16</v>
      </c>
      <c r="R406">
        <v>5.1449999999999996</v>
      </c>
      <c r="S406">
        <v>96.078500000000005</v>
      </c>
      <c r="T406">
        <v>19.763300000000001</v>
      </c>
    </row>
    <row r="407" spans="1:20" x14ac:dyDescent="0.3">
      <c r="A407" t="s">
        <v>729</v>
      </c>
      <c r="B407" t="s">
        <v>21</v>
      </c>
      <c r="C407" t="s">
        <v>730</v>
      </c>
      <c r="D407" t="s">
        <v>23</v>
      </c>
      <c r="E407" t="s">
        <v>24</v>
      </c>
      <c r="F407" t="s">
        <v>36</v>
      </c>
      <c r="G407" t="s">
        <v>68</v>
      </c>
      <c r="H407">
        <v>67.260000000000005</v>
      </c>
      <c r="I407">
        <v>6</v>
      </c>
      <c r="J407">
        <v>20.178000000000001</v>
      </c>
      <c r="K407">
        <v>403.56</v>
      </c>
      <c r="L407" s="1">
        <v>43788</v>
      </c>
      <c r="M407" s="2">
        <v>0.64444444444444449</v>
      </c>
      <c r="N407" t="s">
        <v>37</v>
      </c>
      <c r="O407">
        <v>269.04000000000002</v>
      </c>
      <c r="P407">
        <v>4.7619047620000003</v>
      </c>
      <c r="Q407">
        <v>134.52000000000001</v>
      </c>
      <c r="R407">
        <v>8</v>
      </c>
      <c r="S407">
        <v>96.173500000000004</v>
      </c>
      <c r="T407">
        <v>16.840900000000001</v>
      </c>
    </row>
    <row r="408" spans="1:20" x14ac:dyDescent="0.3">
      <c r="A408" t="s">
        <v>731</v>
      </c>
      <c r="B408" t="s">
        <v>21</v>
      </c>
      <c r="C408" t="s">
        <v>732</v>
      </c>
      <c r="D408" t="s">
        <v>23</v>
      </c>
      <c r="E408" t="s">
        <v>32</v>
      </c>
      <c r="F408" t="s">
        <v>36</v>
      </c>
      <c r="G408" t="s">
        <v>63</v>
      </c>
      <c r="H408">
        <v>13.79</v>
      </c>
      <c r="I408">
        <v>5</v>
      </c>
      <c r="J408">
        <v>3.4474999999999998</v>
      </c>
      <c r="K408">
        <v>68.95</v>
      </c>
      <c r="L408" s="1">
        <v>43660</v>
      </c>
      <c r="M408" s="2">
        <v>0.79652777777777772</v>
      </c>
      <c r="N408" t="s">
        <v>37</v>
      </c>
      <c r="O408">
        <v>68.95</v>
      </c>
      <c r="P408">
        <v>4.7619047620000003</v>
      </c>
      <c r="Q408">
        <v>0</v>
      </c>
      <c r="R408">
        <v>7.8</v>
      </c>
      <c r="S408">
        <v>96.173500000000004</v>
      </c>
      <c r="T408">
        <v>16.840900000000001</v>
      </c>
    </row>
    <row r="409" spans="1:20" x14ac:dyDescent="0.3">
      <c r="A409" t="s">
        <v>733</v>
      </c>
      <c r="B409" t="s">
        <v>21</v>
      </c>
      <c r="C409" t="s">
        <v>734</v>
      </c>
      <c r="D409" t="s">
        <v>53</v>
      </c>
      <c r="E409" t="s">
        <v>24</v>
      </c>
      <c r="F409" t="s">
        <v>25</v>
      </c>
      <c r="G409" t="s">
        <v>100</v>
      </c>
      <c r="H409">
        <v>68.709999999999994</v>
      </c>
      <c r="I409">
        <v>8</v>
      </c>
      <c r="J409">
        <v>27.484000000000002</v>
      </c>
      <c r="K409">
        <v>549.67999999999995</v>
      </c>
      <c r="L409" s="1">
        <v>43516</v>
      </c>
      <c r="M409" s="2">
        <v>0.79236111111111107</v>
      </c>
      <c r="N409" t="s">
        <v>33</v>
      </c>
      <c r="O409">
        <v>274.83999999999997</v>
      </c>
      <c r="P409">
        <v>4.7619047620000003</v>
      </c>
      <c r="Q409">
        <v>274.83999999999997</v>
      </c>
      <c r="R409">
        <v>4.92</v>
      </c>
      <c r="S409">
        <v>96.089100000000002</v>
      </c>
      <c r="T409">
        <v>21.9588</v>
      </c>
    </row>
    <row r="410" spans="1:20" x14ac:dyDescent="0.3">
      <c r="A410" t="s">
        <v>735</v>
      </c>
      <c r="B410" t="s">
        <v>21</v>
      </c>
      <c r="C410" t="s">
        <v>736</v>
      </c>
      <c r="D410" t="s">
        <v>23</v>
      </c>
      <c r="E410" t="s">
        <v>32</v>
      </c>
      <c r="F410" t="s">
        <v>25</v>
      </c>
      <c r="G410" t="s">
        <v>77</v>
      </c>
      <c r="H410">
        <v>56.53</v>
      </c>
      <c r="I410">
        <v>4</v>
      </c>
      <c r="J410">
        <v>11.305999999999999</v>
      </c>
      <c r="K410">
        <v>226.12</v>
      </c>
      <c r="L410" s="1">
        <v>43521</v>
      </c>
      <c r="M410" s="2">
        <v>0.82499999999999996</v>
      </c>
      <c r="N410" t="s">
        <v>27</v>
      </c>
      <c r="O410">
        <v>226.12</v>
      </c>
      <c r="P410">
        <v>4.7619047620000003</v>
      </c>
      <c r="Q410">
        <v>0</v>
      </c>
      <c r="R410">
        <v>5.5</v>
      </c>
      <c r="S410">
        <v>96.173500000000004</v>
      </c>
      <c r="T410">
        <v>16.840900000000001</v>
      </c>
    </row>
    <row r="411" spans="1:20" x14ac:dyDescent="0.3">
      <c r="A411" t="s">
        <v>737</v>
      </c>
      <c r="B411" t="s">
        <v>21</v>
      </c>
      <c r="C411" t="s">
        <v>305</v>
      </c>
      <c r="D411" t="s">
        <v>31</v>
      </c>
      <c r="E411" t="s">
        <v>32</v>
      </c>
      <c r="F411" t="s">
        <v>25</v>
      </c>
      <c r="G411" t="s">
        <v>100</v>
      </c>
      <c r="H411">
        <v>23.82</v>
      </c>
      <c r="I411">
        <v>6</v>
      </c>
      <c r="J411">
        <v>7.1459999999999999</v>
      </c>
      <c r="K411">
        <v>142.91999999999999</v>
      </c>
      <c r="L411" s="1">
        <v>43570</v>
      </c>
      <c r="M411" s="2">
        <v>0.80833333333333335</v>
      </c>
      <c r="N411" t="s">
        <v>27</v>
      </c>
      <c r="O411">
        <v>119.1</v>
      </c>
      <c r="P411">
        <v>4.7619047620000003</v>
      </c>
      <c r="Q411">
        <v>23.82</v>
      </c>
      <c r="R411">
        <v>5.67</v>
      </c>
      <c r="S411">
        <v>96.078500000000005</v>
      </c>
      <c r="T411">
        <v>19.763300000000001</v>
      </c>
    </row>
    <row r="412" spans="1:20" x14ac:dyDescent="0.3">
      <c r="A412" t="s">
        <v>738</v>
      </c>
      <c r="B412" t="s">
        <v>21</v>
      </c>
      <c r="C412" t="s">
        <v>175</v>
      </c>
      <c r="D412" t="s">
        <v>53</v>
      </c>
      <c r="E412" t="s">
        <v>32</v>
      </c>
      <c r="F412" t="s">
        <v>25</v>
      </c>
      <c r="G412" t="s">
        <v>26</v>
      </c>
      <c r="H412">
        <v>34.21</v>
      </c>
      <c r="I412">
        <v>14</v>
      </c>
      <c r="J412">
        <v>23.946999999999999</v>
      </c>
      <c r="K412">
        <v>478.94</v>
      </c>
      <c r="L412" s="1">
        <v>43797</v>
      </c>
      <c r="M412" s="2">
        <v>0.54166666666666663</v>
      </c>
      <c r="N412" t="s">
        <v>33</v>
      </c>
      <c r="O412">
        <v>342.1</v>
      </c>
      <c r="P412">
        <v>4.7619047620000003</v>
      </c>
      <c r="Q412">
        <v>136.84</v>
      </c>
      <c r="R412">
        <v>6.12</v>
      </c>
      <c r="S412">
        <v>96.089100000000002</v>
      </c>
      <c r="T412">
        <v>21.9588</v>
      </c>
    </row>
    <row r="413" spans="1:20" x14ac:dyDescent="0.3">
      <c r="A413" t="s">
        <v>739</v>
      </c>
      <c r="B413" t="s">
        <v>21</v>
      </c>
      <c r="C413" t="s">
        <v>99</v>
      </c>
      <c r="D413" t="s">
        <v>53</v>
      </c>
      <c r="E413" t="s">
        <v>32</v>
      </c>
      <c r="F413" t="s">
        <v>36</v>
      </c>
      <c r="G413" t="s">
        <v>68</v>
      </c>
      <c r="H413">
        <v>21.87</v>
      </c>
      <c r="I413">
        <v>3</v>
      </c>
      <c r="J413">
        <v>3.2805</v>
      </c>
      <c r="K413">
        <v>65.61</v>
      </c>
      <c r="L413" s="1">
        <v>43755</v>
      </c>
      <c r="M413" s="2">
        <v>0.60347222222222219</v>
      </c>
      <c r="N413" t="s">
        <v>27</v>
      </c>
      <c r="O413">
        <v>43.74</v>
      </c>
      <c r="P413">
        <v>4.7619047620000003</v>
      </c>
      <c r="Q413">
        <v>21.87</v>
      </c>
      <c r="R413">
        <v>8.2799999999999994</v>
      </c>
      <c r="S413">
        <v>96.089100000000002</v>
      </c>
      <c r="T413">
        <v>21.9588</v>
      </c>
    </row>
    <row r="414" spans="1:20" x14ac:dyDescent="0.3">
      <c r="A414" t="s">
        <v>740</v>
      </c>
      <c r="B414" t="s">
        <v>21</v>
      </c>
      <c r="C414" t="s">
        <v>741</v>
      </c>
      <c r="D414" t="s">
        <v>23</v>
      </c>
      <c r="E414" t="s">
        <v>24</v>
      </c>
      <c r="F414" t="s">
        <v>36</v>
      </c>
      <c r="G414" t="s">
        <v>26</v>
      </c>
      <c r="H414">
        <v>20.97</v>
      </c>
      <c r="I414">
        <v>7</v>
      </c>
      <c r="J414">
        <v>7.3395000000000001</v>
      </c>
      <c r="K414">
        <v>146.79</v>
      </c>
      <c r="L414" s="1">
        <v>43472</v>
      </c>
      <c r="M414" s="2">
        <v>0.55625000000000002</v>
      </c>
      <c r="N414" t="s">
        <v>33</v>
      </c>
      <c r="O414">
        <v>104.85</v>
      </c>
      <c r="P414">
        <v>4.7619047620000003</v>
      </c>
      <c r="Q414">
        <v>41.94</v>
      </c>
      <c r="R414">
        <v>7.8</v>
      </c>
      <c r="S414">
        <v>96.173500000000004</v>
      </c>
      <c r="T414">
        <v>16.840900000000001</v>
      </c>
    </row>
    <row r="415" spans="1:20" x14ac:dyDescent="0.3">
      <c r="A415" t="s">
        <v>742</v>
      </c>
      <c r="B415" t="s">
        <v>21</v>
      </c>
      <c r="C415" t="s">
        <v>743</v>
      </c>
      <c r="D415" t="s">
        <v>23</v>
      </c>
      <c r="E415" t="s">
        <v>32</v>
      </c>
      <c r="F415" t="s">
        <v>36</v>
      </c>
      <c r="G415" t="s">
        <v>68</v>
      </c>
      <c r="H415">
        <v>25.84</v>
      </c>
      <c r="I415">
        <v>3</v>
      </c>
      <c r="J415">
        <v>3.8759999999999999</v>
      </c>
      <c r="K415">
        <v>77.52</v>
      </c>
      <c r="L415" s="1">
        <v>43793</v>
      </c>
      <c r="M415" s="2">
        <v>0.78819444444444442</v>
      </c>
      <c r="N415" t="s">
        <v>27</v>
      </c>
      <c r="O415">
        <v>77.52</v>
      </c>
      <c r="P415">
        <v>4.7619047620000003</v>
      </c>
      <c r="Q415">
        <v>0</v>
      </c>
      <c r="R415">
        <v>6.6</v>
      </c>
      <c r="S415">
        <v>96.173500000000004</v>
      </c>
      <c r="T415">
        <v>16.840900000000001</v>
      </c>
    </row>
    <row r="416" spans="1:20" x14ac:dyDescent="0.3">
      <c r="A416" t="s">
        <v>744</v>
      </c>
      <c r="B416" t="s">
        <v>21</v>
      </c>
      <c r="C416" t="s">
        <v>745</v>
      </c>
      <c r="D416" t="s">
        <v>23</v>
      </c>
      <c r="E416" t="s">
        <v>32</v>
      </c>
      <c r="F416" t="s">
        <v>36</v>
      </c>
      <c r="G416" t="s">
        <v>77</v>
      </c>
      <c r="H416">
        <v>50.93</v>
      </c>
      <c r="I416">
        <v>8</v>
      </c>
      <c r="J416">
        <v>20.372</v>
      </c>
      <c r="K416">
        <v>407.44</v>
      </c>
      <c r="L416" s="1">
        <v>43475</v>
      </c>
      <c r="M416" s="2">
        <v>0.81666666666666665</v>
      </c>
      <c r="N416" t="s">
        <v>27</v>
      </c>
      <c r="O416">
        <v>407.44</v>
      </c>
      <c r="P416">
        <v>4.7619047620000003</v>
      </c>
      <c r="Q416">
        <v>0</v>
      </c>
      <c r="R416">
        <v>9.1999999999999993</v>
      </c>
      <c r="S416">
        <v>96.173500000000004</v>
      </c>
      <c r="T416">
        <v>16.840900000000001</v>
      </c>
    </row>
    <row r="417" spans="1:20" x14ac:dyDescent="0.3">
      <c r="A417" t="s">
        <v>746</v>
      </c>
      <c r="B417" t="s">
        <v>21</v>
      </c>
      <c r="C417" t="s">
        <v>117</v>
      </c>
      <c r="D417" t="s">
        <v>53</v>
      </c>
      <c r="E417" t="s">
        <v>32</v>
      </c>
      <c r="F417" t="s">
        <v>36</v>
      </c>
      <c r="G417" t="s">
        <v>26</v>
      </c>
      <c r="H417">
        <v>96.11</v>
      </c>
      <c r="I417">
        <v>1</v>
      </c>
      <c r="J417">
        <v>4.8055000000000003</v>
      </c>
      <c r="K417">
        <v>96.11</v>
      </c>
      <c r="L417" s="1">
        <v>43764</v>
      </c>
      <c r="M417" s="2">
        <v>0.68611111111111112</v>
      </c>
      <c r="N417" t="s">
        <v>27</v>
      </c>
      <c r="O417">
        <v>96.11</v>
      </c>
      <c r="P417">
        <v>4.7619047620000003</v>
      </c>
      <c r="Q417">
        <v>0</v>
      </c>
      <c r="R417">
        <v>9.36</v>
      </c>
      <c r="S417">
        <v>96.089100000000002</v>
      </c>
      <c r="T417">
        <v>21.9588</v>
      </c>
    </row>
    <row r="418" spans="1:20" x14ac:dyDescent="0.3">
      <c r="A418" t="s">
        <v>747</v>
      </c>
      <c r="B418" t="s">
        <v>21</v>
      </c>
      <c r="C418" t="s">
        <v>748</v>
      </c>
      <c r="D418" t="s">
        <v>31</v>
      </c>
      <c r="E418" t="s">
        <v>32</v>
      </c>
      <c r="F418" t="s">
        <v>25</v>
      </c>
      <c r="G418" t="s">
        <v>77</v>
      </c>
      <c r="H418">
        <v>45.38</v>
      </c>
      <c r="I418">
        <v>5</v>
      </c>
      <c r="J418">
        <v>11.345000000000001</v>
      </c>
      <c r="K418">
        <v>226.9</v>
      </c>
      <c r="L418" s="1">
        <v>43754</v>
      </c>
      <c r="M418" s="2">
        <v>0.57499999999999996</v>
      </c>
      <c r="N418" t="s">
        <v>37</v>
      </c>
      <c r="O418">
        <v>181.52</v>
      </c>
      <c r="P418">
        <v>4.7619047620000003</v>
      </c>
      <c r="Q418">
        <v>45.38</v>
      </c>
      <c r="R418">
        <v>9.1349999999999998</v>
      </c>
      <c r="S418">
        <v>96.078500000000005</v>
      </c>
      <c r="T418">
        <v>19.763300000000001</v>
      </c>
    </row>
    <row r="419" spans="1:20" x14ac:dyDescent="0.3">
      <c r="A419" t="s">
        <v>749</v>
      </c>
      <c r="B419" t="s">
        <v>21</v>
      </c>
      <c r="C419" t="s">
        <v>290</v>
      </c>
      <c r="D419" t="s">
        <v>31</v>
      </c>
      <c r="E419" t="s">
        <v>24</v>
      </c>
      <c r="F419" t="s">
        <v>25</v>
      </c>
      <c r="G419" t="s">
        <v>26</v>
      </c>
      <c r="H419">
        <v>81.510000000000005</v>
      </c>
      <c r="I419">
        <v>1</v>
      </c>
      <c r="J419">
        <v>4.0754999999999999</v>
      </c>
      <c r="K419">
        <v>81.510000000000005</v>
      </c>
      <c r="L419" s="1">
        <v>43729</v>
      </c>
      <c r="M419" s="2">
        <v>0.45624999999999999</v>
      </c>
      <c r="N419" t="s">
        <v>27</v>
      </c>
      <c r="O419">
        <v>81.510000000000005</v>
      </c>
      <c r="P419">
        <v>4.7619047620000003</v>
      </c>
      <c r="Q419">
        <v>0</v>
      </c>
      <c r="R419">
        <v>9.66</v>
      </c>
      <c r="S419">
        <v>96.078500000000005</v>
      </c>
      <c r="T419">
        <v>19.763300000000001</v>
      </c>
    </row>
    <row r="420" spans="1:20" x14ac:dyDescent="0.3">
      <c r="A420" t="s">
        <v>750</v>
      </c>
      <c r="B420" t="s">
        <v>21</v>
      </c>
      <c r="C420" t="s">
        <v>751</v>
      </c>
      <c r="D420" t="s">
        <v>53</v>
      </c>
      <c r="E420" t="s">
        <v>32</v>
      </c>
      <c r="F420" t="s">
        <v>25</v>
      </c>
      <c r="G420" t="s">
        <v>26</v>
      </c>
      <c r="H420">
        <v>57.22</v>
      </c>
      <c r="I420">
        <v>3</v>
      </c>
      <c r="J420">
        <v>8.5830000000000002</v>
      </c>
      <c r="K420">
        <v>171.66</v>
      </c>
      <c r="L420" s="1">
        <v>43664</v>
      </c>
      <c r="M420" s="2">
        <v>0.71736111111111112</v>
      </c>
      <c r="N420" t="s">
        <v>27</v>
      </c>
      <c r="O420">
        <v>114.44</v>
      </c>
      <c r="P420">
        <v>4.7619047620000003</v>
      </c>
      <c r="Q420">
        <v>57.22</v>
      </c>
      <c r="R420">
        <v>9.9600000000000009</v>
      </c>
      <c r="S420">
        <v>96.089100000000002</v>
      </c>
      <c r="T420">
        <v>21.9588</v>
      </c>
    </row>
    <row r="421" spans="1:20" x14ac:dyDescent="0.3">
      <c r="A421" t="s">
        <v>752</v>
      </c>
      <c r="B421" t="s">
        <v>21</v>
      </c>
      <c r="C421" t="s">
        <v>472</v>
      </c>
      <c r="D421" t="s">
        <v>23</v>
      </c>
      <c r="E421" t="s">
        <v>24</v>
      </c>
      <c r="F421" t="s">
        <v>25</v>
      </c>
      <c r="G421" t="s">
        <v>60</v>
      </c>
      <c r="H421">
        <v>25.22</v>
      </c>
      <c r="I421">
        <v>10</v>
      </c>
      <c r="J421">
        <v>12.61</v>
      </c>
      <c r="K421">
        <v>252.2</v>
      </c>
      <c r="L421" s="1">
        <v>43657</v>
      </c>
      <c r="M421" s="2">
        <v>0.43263888888888891</v>
      </c>
      <c r="N421" t="s">
        <v>33</v>
      </c>
      <c r="O421">
        <v>176.54</v>
      </c>
      <c r="P421">
        <v>4.7619047620000003</v>
      </c>
      <c r="Q421">
        <v>75.66</v>
      </c>
      <c r="R421">
        <v>8.1999999999999993</v>
      </c>
      <c r="S421">
        <v>96.173500000000004</v>
      </c>
      <c r="T421">
        <v>16.840900000000001</v>
      </c>
    </row>
    <row r="422" spans="1:20" x14ac:dyDescent="0.3">
      <c r="A422" t="s">
        <v>753</v>
      </c>
      <c r="B422" t="s">
        <v>21</v>
      </c>
      <c r="C422" t="s">
        <v>754</v>
      </c>
      <c r="D422" t="s">
        <v>31</v>
      </c>
      <c r="E422" t="s">
        <v>32</v>
      </c>
      <c r="F422" t="s">
        <v>25</v>
      </c>
      <c r="G422" t="s">
        <v>63</v>
      </c>
      <c r="H422">
        <v>38.6</v>
      </c>
      <c r="I422">
        <v>4</v>
      </c>
      <c r="J422">
        <v>7.72</v>
      </c>
      <c r="K422">
        <v>154.4</v>
      </c>
      <c r="L422" s="1">
        <v>43531</v>
      </c>
      <c r="M422" s="2">
        <v>0.58125000000000004</v>
      </c>
      <c r="N422" t="s">
        <v>27</v>
      </c>
      <c r="O422">
        <v>115.8</v>
      </c>
      <c r="P422">
        <v>4.7619047620000003</v>
      </c>
      <c r="Q422">
        <v>38.6</v>
      </c>
      <c r="R422">
        <v>7.875</v>
      </c>
      <c r="S422">
        <v>96.078500000000005</v>
      </c>
      <c r="T422">
        <v>19.763300000000001</v>
      </c>
    </row>
    <row r="423" spans="1:20" x14ac:dyDescent="0.3">
      <c r="A423" t="s">
        <v>755</v>
      </c>
      <c r="B423" t="s">
        <v>21</v>
      </c>
      <c r="C423" t="s">
        <v>756</v>
      </c>
      <c r="D423" t="s">
        <v>31</v>
      </c>
      <c r="E423" t="s">
        <v>32</v>
      </c>
      <c r="F423" t="s">
        <v>25</v>
      </c>
      <c r="G423" t="s">
        <v>60</v>
      </c>
      <c r="H423">
        <v>84.05</v>
      </c>
      <c r="I423">
        <v>4</v>
      </c>
      <c r="J423">
        <v>16.809999999999999</v>
      </c>
      <c r="K423">
        <v>336.2</v>
      </c>
      <c r="L423" s="1">
        <v>43536</v>
      </c>
      <c r="M423" s="2">
        <v>0.56180555555555556</v>
      </c>
      <c r="N423" t="s">
        <v>33</v>
      </c>
      <c r="O423">
        <v>252.15</v>
      </c>
      <c r="P423">
        <v>4.7619047620000003</v>
      </c>
      <c r="Q423">
        <v>84.05</v>
      </c>
      <c r="R423">
        <v>10</v>
      </c>
      <c r="S423">
        <v>96.078500000000005</v>
      </c>
      <c r="T423">
        <v>19.763300000000001</v>
      </c>
    </row>
    <row r="424" spans="1:20" x14ac:dyDescent="0.3">
      <c r="A424" t="s">
        <v>757</v>
      </c>
      <c r="B424" t="s">
        <v>21</v>
      </c>
      <c r="C424" t="s">
        <v>596</v>
      </c>
      <c r="D424" t="s">
        <v>31</v>
      </c>
      <c r="E424" t="s">
        <v>32</v>
      </c>
      <c r="F424" t="s">
        <v>25</v>
      </c>
      <c r="G424" t="s">
        <v>100</v>
      </c>
      <c r="H424">
        <v>97.21</v>
      </c>
      <c r="I424">
        <v>12</v>
      </c>
      <c r="J424">
        <v>58.326000000000001</v>
      </c>
      <c r="K424">
        <v>1166.52</v>
      </c>
      <c r="L424" s="1">
        <v>43787</v>
      </c>
      <c r="M424" s="2">
        <v>0.54166666666666663</v>
      </c>
      <c r="N424" t="s">
        <v>37</v>
      </c>
      <c r="O424">
        <v>972.1</v>
      </c>
      <c r="P424">
        <v>4.7619047620000003</v>
      </c>
      <c r="Q424">
        <v>194.42</v>
      </c>
      <c r="R424">
        <v>7.46</v>
      </c>
      <c r="S424">
        <v>96.078500000000005</v>
      </c>
      <c r="T424">
        <v>19.763300000000001</v>
      </c>
    </row>
    <row r="425" spans="1:20" x14ac:dyDescent="0.3">
      <c r="A425" t="s">
        <v>758</v>
      </c>
      <c r="B425" t="s">
        <v>21</v>
      </c>
      <c r="C425" t="s">
        <v>636</v>
      </c>
      <c r="D425" t="s">
        <v>53</v>
      </c>
      <c r="E425" t="s">
        <v>32</v>
      </c>
      <c r="F425" t="s">
        <v>36</v>
      </c>
      <c r="G425" t="s">
        <v>100</v>
      </c>
      <c r="H425">
        <v>25.42</v>
      </c>
      <c r="I425">
        <v>11</v>
      </c>
      <c r="J425">
        <v>13.981</v>
      </c>
      <c r="K425">
        <v>279.62</v>
      </c>
      <c r="L425" s="1">
        <v>43580</v>
      </c>
      <c r="M425" s="2">
        <v>0.8208333333333333</v>
      </c>
      <c r="N425" t="s">
        <v>37</v>
      </c>
      <c r="O425">
        <v>203.36</v>
      </c>
      <c r="P425">
        <v>4.7619047620000003</v>
      </c>
      <c r="Q425">
        <v>76.260000000000005</v>
      </c>
      <c r="R425">
        <v>7.46</v>
      </c>
      <c r="S425">
        <v>96.089100000000002</v>
      </c>
      <c r="T425">
        <v>21.9588</v>
      </c>
    </row>
    <row r="426" spans="1:20" x14ac:dyDescent="0.3">
      <c r="A426" t="s">
        <v>759</v>
      </c>
      <c r="B426" t="s">
        <v>21</v>
      </c>
      <c r="C426" t="s">
        <v>229</v>
      </c>
      <c r="D426" t="s">
        <v>31</v>
      </c>
      <c r="E426" t="s">
        <v>32</v>
      </c>
      <c r="F426" t="s">
        <v>36</v>
      </c>
      <c r="G426" t="s">
        <v>100</v>
      </c>
      <c r="H426">
        <v>16.28</v>
      </c>
      <c r="I426">
        <v>1</v>
      </c>
      <c r="J426">
        <v>0.81399999999999995</v>
      </c>
      <c r="K426">
        <v>16.28</v>
      </c>
      <c r="L426" s="1">
        <v>43687</v>
      </c>
      <c r="M426" s="2">
        <v>0.65</v>
      </c>
      <c r="N426" t="s">
        <v>33</v>
      </c>
      <c r="O426">
        <v>16.28</v>
      </c>
      <c r="P426">
        <v>4.7619047620000003</v>
      </c>
      <c r="Q426">
        <v>0</v>
      </c>
      <c r="R426">
        <v>7.46</v>
      </c>
      <c r="S426">
        <v>96.078500000000005</v>
      </c>
      <c r="T426">
        <v>19.763300000000001</v>
      </c>
    </row>
    <row r="427" spans="1:20" x14ac:dyDescent="0.3">
      <c r="A427" t="s">
        <v>760</v>
      </c>
      <c r="B427" t="s">
        <v>21</v>
      </c>
      <c r="C427" t="s">
        <v>629</v>
      </c>
      <c r="D427" t="s">
        <v>53</v>
      </c>
      <c r="E427" t="s">
        <v>32</v>
      </c>
      <c r="F427" t="s">
        <v>36</v>
      </c>
      <c r="G427" t="s">
        <v>100</v>
      </c>
      <c r="H427">
        <v>40.61</v>
      </c>
      <c r="I427">
        <v>13</v>
      </c>
      <c r="J427">
        <v>26.3965</v>
      </c>
      <c r="K427">
        <v>527.92999999999995</v>
      </c>
      <c r="L427" s="1">
        <v>43611</v>
      </c>
      <c r="M427" s="2">
        <v>0.56944444444444442</v>
      </c>
      <c r="N427" t="s">
        <v>33</v>
      </c>
      <c r="O427">
        <v>365.49</v>
      </c>
      <c r="P427">
        <v>4.7619047620000003</v>
      </c>
      <c r="Q427">
        <v>162.44</v>
      </c>
      <c r="R427">
        <v>7.46</v>
      </c>
      <c r="S427">
        <v>96.089100000000002</v>
      </c>
      <c r="T427">
        <v>21.9588</v>
      </c>
    </row>
    <row r="428" spans="1:20" x14ac:dyDescent="0.3">
      <c r="A428" t="s">
        <v>761</v>
      </c>
      <c r="B428" t="s">
        <v>21</v>
      </c>
      <c r="C428" t="s">
        <v>762</v>
      </c>
      <c r="D428" t="s">
        <v>23</v>
      </c>
      <c r="E428" t="s">
        <v>32</v>
      </c>
      <c r="F428" t="s">
        <v>36</v>
      </c>
      <c r="G428" t="s">
        <v>26</v>
      </c>
      <c r="H428">
        <v>53.17</v>
      </c>
      <c r="I428">
        <v>7</v>
      </c>
      <c r="J428">
        <v>18.609500000000001</v>
      </c>
      <c r="K428">
        <v>372.19</v>
      </c>
      <c r="L428" s="1">
        <v>43777</v>
      </c>
      <c r="M428" s="2">
        <v>0.75069444444444444</v>
      </c>
      <c r="N428" t="s">
        <v>33</v>
      </c>
      <c r="O428">
        <v>372.19</v>
      </c>
      <c r="P428">
        <v>4.7619047620000003</v>
      </c>
      <c r="Q428">
        <v>0</v>
      </c>
      <c r="R428">
        <v>7.46</v>
      </c>
      <c r="S428">
        <v>96.173500000000004</v>
      </c>
      <c r="T428">
        <v>16.840900000000001</v>
      </c>
    </row>
    <row r="429" spans="1:20" x14ac:dyDescent="0.3">
      <c r="A429" t="s">
        <v>763</v>
      </c>
      <c r="B429" t="s">
        <v>21</v>
      </c>
      <c r="C429" t="s">
        <v>343</v>
      </c>
      <c r="D429" t="s">
        <v>53</v>
      </c>
      <c r="E429" t="s">
        <v>32</v>
      </c>
      <c r="F429" t="s">
        <v>25</v>
      </c>
      <c r="G429" t="s">
        <v>63</v>
      </c>
      <c r="H429">
        <v>20.87</v>
      </c>
      <c r="I429">
        <v>4</v>
      </c>
      <c r="J429">
        <v>4.1740000000000004</v>
      </c>
      <c r="K429">
        <v>83.48</v>
      </c>
      <c r="L429" s="1">
        <v>43698</v>
      </c>
      <c r="M429" s="2">
        <v>0.57847222222222228</v>
      </c>
      <c r="N429" t="s">
        <v>37</v>
      </c>
      <c r="O429">
        <v>62.61</v>
      </c>
      <c r="P429">
        <v>4.7619047620000003</v>
      </c>
      <c r="Q429">
        <v>20.87</v>
      </c>
      <c r="R429">
        <v>7.46</v>
      </c>
      <c r="S429">
        <v>96.089100000000002</v>
      </c>
      <c r="T429">
        <v>21.9588</v>
      </c>
    </row>
    <row r="430" spans="1:20" x14ac:dyDescent="0.3">
      <c r="A430" t="s">
        <v>764</v>
      </c>
      <c r="B430" t="s">
        <v>21</v>
      </c>
      <c r="C430" t="s">
        <v>134</v>
      </c>
      <c r="D430" t="s">
        <v>53</v>
      </c>
      <c r="E430" t="s">
        <v>32</v>
      </c>
      <c r="F430" t="s">
        <v>36</v>
      </c>
      <c r="G430" t="s">
        <v>68</v>
      </c>
      <c r="H430">
        <v>67.27</v>
      </c>
      <c r="I430">
        <v>7</v>
      </c>
      <c r="J430">
        <v>23.544499999999999</v>
      </c>
      <c r="K430">
        <v>470.89</v>
      </c>
      <c r="L430" s="1">
        <v>43688</v>
      </c>
      <c r="M430" s="2">
        <v>0.7270833333333333</v>
      </c>
      <c r="N430" t="s">
        <v>33</v>
      </c>
      <c r="O430">
        <v>336.35</v>
      </c>
      <c r="P430">
        <v>4.7619047620000003</v>
      </c>
      <c r="Q430">
        <v>134.54</v>
      </c>
      <c r="R430">
        <v>7.46</v>
      </c>
      <c r="S430">
        <v>96.089100000000002</v>
      </c>
      <c r="T430">
        <v>21.9588</v>
      </c>
    </row>
    <row r="431" spans="1:20" x14ac:dyDescent="0.3">
      <c r="A431" t="s">
        <v>765</v>
      </c>
      <c r="B431" t="s">
        <v>21</v>
      </c>
      <c r="C431" t="s">
        <v>743</v>
      </c>
      <c r="D431" t="s">
        <v>23</v>
      </c>
      <c r="E431" t="s">
        <v>32</v>
      </c>
      <c r="F431" t="s">
        <v>25</v>
      </c>
      <c r="G431" t="s">
        <v>77</v>
      </c>
      <c r="H431">
        <v>90.65</v>
      </c>
      <c r="I431">
        <v>10</v>
      </c>
      <c r="J431">
        <v>45.325000000000003</v>
      </c>
      <c r="K431">
        <v>906.5</v>
      </c>
      <c r="L431" s="1">
        <v>43683</v>
      </c>
      <c r="M431" s="2">
        <v>0.45347222222222222</v>
      </c>
      <c r="N431" t="s">
        <v>27</v>
      </c>
      <c r="O431">
        <v>906.5</v>
      </c>
      <c r="P431">
        <v>4.7619047620000003</v>
      </c>
      <c r="Q431">
        <v>0</v>
      </c>
      <c r="R431">
        <v>7.46</v>
      </c>
      <c r="S431">
        <v>96.173500000000004</v>
      </c>
      <c r="T431">
        <v>16.840900000000001</v>
      </c>
    </row>
    <row r="432" spans="1:20" x14ac:dyDescent="0.3">
      <c r="A432" t="s">
        <v>766</v>
      </c>
      <c r="B432" t="s">
        <v>21</v>
      </c>
      <c r="C432" t="s">
        <v>385</v>
      </c>
      <c r="D432" t="s">
        <v>53</v>
      </c>
      <c r="E432" t="s">
        <v>32</v>
      </c>
      <c r="F432" t="s">
        <v>36</v>
      </c>
      <c r="G432" t="s">
        <v>100</v>
      </c>
      <c r="H432">
        <v>69.08</v>
      </c>
      <c r="I432">
        <v>3</v>
      </c>
      <c r="J432">
        <v>10.362</v>
      </c>
      <c r="K432">
        <v>207.24</v>
      </c>
      <c r="L432" s="1">
        <v>43638</v>
      </c>
      <c r="M432" s="2">
        <v>0.82499999999999996</v>
      </c>
      <c r="N432" t="s">
        <v>37</v>
      </c>
      <c r="O432">
        <v>138.16</v>
      </c>
      <c r="P432">
        <v>4.7619047620000003</v>
      </c>
      <c r="Q432">
        <v>69.08</v>
      </c>
      <c r="R432">
        <v>8.2799999999999994</v>
      </c>
      <c r="S432">
        <v>96.089100000000002</v>
      </c>
      <c r="T432">
        <v>21.9588</v>
      </c>
    </row>
    <row r="433" spans="1:20" x14ac:dyDescent="0.3">
      <c r="A433" t="s">
        <v>767</v>
      </c>
      <c r="B433" t="s">
        <v>21</v>
      </c>
      <c r="C433" t="s">
        <v>183</v>
      </c>
      <c r="D433" t="s">
        <v>31</v>
      </c>
      <c r="E433" t="s">
        <v>32</v>
      </c>
      <c r="F433" t="s">
        <v>36</v>
      </c>
      <c r="G433" t="s">
        <v>63</v>
      </c>
      <c r="H433">
        <v>43.27</v>
      </c>
      <c r="I433">
        <v>2</v>
      </c>
      <c r="J433">
        <v>4.327</v>
      </c>
      <c r="K433">
        <v>86.54</v>
      </c>
      <c r="L433" s="1">
        <v>43582</v>
      </c>
      <c r="M433" s="2">
        <v>0.70347222222222228</v>
      </c>
      <c r="N433" t="s">
        <v>27</v>
      </c>
      <c r="O433">
        <v>86.54</v>
      </c>
      <c r="P433">
        <v>4.7619047620000003</v>
      </c>
      <c r="Q433">
        <v>0</v>
      </c>
      <c r="R433">
        <v>5.9850000000000003</v>
      </c>
      <c r="S433">
        <v>96.078500000000005</v>
      </c>
      <c r="T433">
        <v>19.763300000000001</v>
      </c>
    </row>
    <row r="434" spans="1:20" x14ac:dyDescent="0.3">
      <c r="A434" t="s">
        <v>768</v>
      </c>
      <c r="B434" t="s">
        <v>21</v>
      </c>
      <c r="C434" t="s">
        <v>769</v>
      </c>
      <c r="D434" t="s">
        <v>23</v>
      </c>
      <c r="E434" t="s">
        <v>32</v>
      </c>
      <c r="F434" t="s">
        <v>25</v>
      </c>
      <c r="G434" t="s">
        <v>60</v>
      </c>
      <c r="H434">
        <v>23.46</v>
      </c>
      <c r="I434">
        <v>6</v>
      </c>
      <c r="J434">
        <v>7.0380000000000003</v>
      </c>
      <c r="K434">
        <v>140.76</v>
      </c>
      <c r="L434" s="1">
        <v>43480</v>
      </c>
      <c r="M434" s="2">
        <v>0.80138888888888893</v>
      </c>
      <c r="N434" t="s">
        <v>27</v>
      </c>
      <c r="O434">
        <v>140.76</v>
      </c>
      <c r="P434">
        <v>4.7619047620000003</v>
      </c>
      <c r="Q434">
        <v>0</v>
      </c>
      <c r="R434">
        <v>6.4</v>
      </c>
      <c r="S434">
        <v>96.173500000000004</v>
      </c>
      <c r="T434">
        <v>16.840900000000001</v>
      </c>
    </row>
    <row r="435" spans="1:20" x14ac:dyDescent="0.3">
      <c r="A435" t="s">
        <v>770</v>
      </c>
      <c r="B435" t="s">
        <v>21</v>
      </c>
      <c r="C435" t="s">
        <v>771</v>
      </c>
      <c r="D435" t="s">
        <v>53</v>
      </c>
      <c r="E435" t="s">
        <v>32</v>
      </c>
      <c r="F435" t="s">
        <v>36</v>
      </c>
      <c r="G435" t="s">
        <v>100</v>
      </c>
      <c r="H435">
        <v>95.54</v>
      </c>
      <c r="I435">
        <v>10</v>
      </c>
      <c r="J435">
        <v>47.77</v>
      </c>
      <c r="K435">
        <v>955.4</v>
      </c>
      <c r="L435" s="1">
        <v>43630</v>
      </c>
      <c r="M435" s="2">
        <v>0.60833333333333328</v>
      </c>
      <c r="N435" t="s">
        <v>37</v>
      </c>
      <c r="O435">
        <v>668.78</v>
      </c>
      <c r="P435">
        <v>4.7619047620000003</v>
      </c>
      <c r="Q435">
        <v>286.62</v>
      </c>
      <c r="R435">
        <v>10</v>
      </c>
      <c r="S435">
        <v>96.089100000000002</v>
      </c>
      <c r="T435">
        <v>21.9588</v>
      </c>
    </row>
    <row r="436" spans="1:20" x14ac:dyDescent="0.3">
      <c r="A436" t="s">
        <v>772</v>
      </c>
      <c r="B436" t="s">
        <v>21</v>
      </c>
      <c r="C436" t="s">
        <v>430</v>
      </c>
      <c r="D436" t="s">
        <v>53</v>
      </c>
      <c r="E436" t="s">
        <v>32</v>
      </c>
      <c r="F436" t="s">
        <v>25</v>
      </c>
      <c r="G436" t="s">
        <v>100</v>
      </c>
      <c r="H436">
        <v>47.44</v>
      </c>
      <c r="I436">
        <v>1</v>
      </c>
      <c r="J436">
        <v>2.3719999999999999</v>
      </c>
      <c r="K436">
        <v>47.44</v>
      </c>
      <c r="L436" s="1">
        <v>43717</v>
      </c>
      <c r="M436" s="2">
        <v>0.7631944444444444</v>
      </c>
      <c r="N436" t="s">
        <v>37</v>
      </c>
      <c r="O436">
        <v>47.44</v>
      </c>
      <c r="P436">
        <v>4.7619047620000003</v>
      </c>
      <c r="Q436">
        <v>0</v>
      </c>
      <c r="R436">
        <v>8.16</v>
      </c>
      <c r="S436">
        <v>96.089100000000002</v>
      </c>
      <c r="T436">
        <v>21.9588</v>
      </c>
    </row>
    <row r="437" spans="1:20" x14ac:dyDescent="0.3">
      <c r="A437" t="s">
        <v>773</v>
      </c>
      <c r="B437" t="s">
        <v>21</v>
      </c>
      <c r="C437" t="s">
        <v>201</v>
      </c>
      <c r="D437" t="s">
        <v>31</v>
      </c>
      <c r="E437" t="s">
        <v>32</v>
      </c>
      <c r="F437" t="s">
        <v>36</v>
      </c>
      <c r="G437" t="s">
        <v>68</v>
      </c>
      <c r="H437">
        <v>99.24</v>
      </c>
      <c r="I437">
        <v>11</v>
      </c>
      <c r="J437">
        <v>54.582000000000001</v>
      </c>
      <c r="K437">
        <v>1091.6400000000001</v>
      </c>
      <c r="L437" s="1">
        <v>43574</v>
      </c>
      <c r="M437" s="2">
        <v>0.79791666666666672</v>
      </c>
      <c r="N437" t="s">
        <v>27</v>
      </c>
      <c r="O437">
        <v>893.16</v>
      </c>
      <c r="P437">
        <v>4.7619047620000003</v>
      </c>
      <c r="Q437">
        <v>198.48</v>
      </c>
      <c r="R437">
        <v>9.4499999999999993</v>
      </c>
      <c r="S437">
        <v>96.078500000000005</v>
      </c>
      <c r="T437">
        <v>19.763300000000001</v>
      </c>
    </row>
    <row r="438" spans="1:20" x14ac:dyDescent="0.3">
      <c r="A438" t="s">
        <v>774</v>
      </c>
      <c r="B438" t="s">
        <v>21</v>
      </c>
      <c r="C438" t="s">
        <v>775</v>
      </c>
      <c r="D438" t="s">
        <v>31</v>
      </c>
      <c r="E438" t="s">
        <v>32</v>
      </c>
      <c r="F438" t="s">
        <v>36</v>
      </c>
      <c r="G438" t="s">
        <v>68</v>
      </c>
      <c r="H438">
        <v>82.93</v>
      </c>
      <c r="I438">
        <v>5</v>
      </c>
      <c r="J438">
        <v>20.732500000000002</v>
      </c>
      <c r="K438">
        <v>414.65</v>
      </c>
      <c r="L438" s="1">
        <v>43716</v>
      </c>
      <c r="M438" s="2">
        <v>0.70208333333333328</v>
      </c>
      <c r="N438" t="s">
        <v>27</v>
      </c>
      <c r="O438">
        <v>331.72</v>
      </c>
      <c r="P438">
        <v>4.7619047620000003</v>
      </c>
      <c r="Q438">
        <v>82.93</v>
      </c>
      <c r="R438">
        <v>10</v>
      </c>
      <c r="S438">
        <v>96.078500000000005</v>
      </c>
      <c r="T438">
        <v>19.763300000000001</v>
      </c>
    </row>
    <row r="439" spans="1:20" x14ac:dyDescent="0.3">
      <c r="A439" t="s">
        <v>776</v>
      </c>
      <c r="B439" t="s">
        <v>21</v>
      </c>
      <c r="C439" t="s">
        <v>589</v>
      </c>
      <c r="D439" t="s">
        <v>23</v>
      </c>
      <c r="E439" t="s">
        <v>32</v>
      </c>
      <c r="F439" t="s">
        <v>36</v>
      </c>
      <c r="G439" t="s">
        <v>77</v>
      </c>
      <c r="H439">
        <v>33.99</v>
      </c>
      <c r="I439">
        <v>6</v>
      </c>
      <c r="J439">
        <v>10.196999999999999</v>
      </c>
      <c r="K439">
        <v>203.94</v>
      </c>
      <c r="L439" s="1">
        <v>43653</v>
      </c>
      <c r="M439" s="2">
        <v>0.65069444444444446</v>
      </c>
      <c r="N439" t="s">
        <v>37</v>
      </c>
      <c r="O439">
        <v>203.94</v>
      </c>
      <c r="P439">
        <v>4.7619047620000003</v>
      </c>
      <c r="Q439">
        <v>0</v>
      </c>
      <c r="R439">
        <v>7.7</v>
      </c>
      <c r="S439">
        <v>96.173500000000004</v>
      </c>
      <c r="T439">
        <v>16.840900000000001</v>
      </c>
    </row>
    <row r="440" spans="1:20" x14ac:dyDescent="0.3">
      <c r="A440" t="s">
        <v>777</v>
      </c>
      <c r="B440" t="s">
        <v>21</v>
      </c>
      <c r="C440" t="s">
        <v>726</v>
      </c>
      <c r="D440" t="s">
        <v>31</v>
      </c>
      <c r="E440" t="s">
        <v>32</v>
      </c>
      <c r="F440" t="s">
        <v>36</v>
      </c>
      <c r="G440" t="s">
        <v>63</v>
      </c>
      <c r="H440">
        <v>17.04</v>
      </c>
      <c r="I440">
        <v>5</v>
      </c>
      <c r="J440">
        <v>4.26</v>
      </c>
      <c r="K440">
        <v>85.2</v>
      </c>
      <c r="L440" s="1">
        <v>43628</v>
      </c>
      <c r="M440" s="2">
        <v>0.84375</v>
      </c>
      <c r="N440" t="s">
        <v>27</v>
      </c>
      <c r="O440">
        <v>68.16</v>
      </c>
      <c r="P440">
        <v>4.7619047620000003</v>
      </c>
      <c r="Q440">
        <v>17.04</v>
      </c>
      <c r="R440">
        <v>7.35</v>
      </c>
      <c r="S440">
        <v>96.078500000000005</v>
      </c>
      <c r="T440">
        <v>19.763300000000001</v>
      </c>
    </row>
    <row r="441" spans="1:20" x14ac:dyDescent="0.3">
      <c r="A441" t="s">
        <v>778</v>
      </c>
      <c r="B441" t="s">
        <v>21</v>
      </c>
      <c r="C441" t="s">
        <v>563</v>
      </c>
      <c r="D441" t="s">
        <v>31</v>
      </c>
      <c r="E441" t="s">
        <v>32</v>
      </c>
      <c r="F441" t="s">
        <v>25</v>
      </c>
      <c r="G441" t="s">
        <v>26</v>
      </c>
      <c r="H441">
        <v>40.86</v>
      </c>
      <c r="I441">
        <v>10</v>
      </c>
      <c r="J441">
        <v>20.43</v>
      </c>
      <c r="K441">
        <v>408.6</v>
      </c>
      <c r="L441" s="1">
        <v>43781</v>
      </c>
      <c r="M441" s="2">
        <v>0.60972222222222228</v>
      </c>
      <c r="N441" t="s">
        <v>37</v>
      </c>
      <c r="O441">
        <v>326.88</v>
      </c>
      <c r="P441">
        <v>4.7619047620000003</v>
      </c>
      <c r="Q441">
        <v>81.72</v>
      </c>
      <c r="R441">
        <v>6.8250000000000002</v>
      </c>
      <c r="S441">
        <v>96.078500000000005</v>
      </c>
      <c r="T441">
        <v>19.763300000000001</v>
      </c>
    </row>
    <row r="442" spans="1:20" x14ac:dyDescent="0.3">
      <c r="A442" t="s">
        <v>779</v>
      </c>
      <c r="B442" t="s">
        <v>21</v>
      </c>
      <c r="C442" t="s">
        <v>780</v>
      </c>
      <c r="D442" t="s">
        <v>31</v>
      </c>
      <c r="E442" t="s">
        <v>32</v>
      </c>
      <c r="F442" t="s">
        <v>36</v>
      </c>
      <c r="G442" t="s">
        <v>26</v>
      </c>
      <c r="H442">
        <v>17.440000000000001</v>
      </c>
      <c r="I442">
        <v>6</v>
      </c>
      <c r="J442">
        <v>5.2320000000000002</v>
      </c>
      <c r="K442">
        <v>104.64</v>
      </c>
      <c r="L442" s="1">
        <v>43826</v>
      </c>
      <c r="M442" s="2">
        <v>0.80902777777777779</v>
      </c>
      <c r="N442" t="s">
        <v>33</v>
      </c>
      <c r="O442">
        <v>87.2</v>
      </c>
      <c r="P442">
        <v>4.7619047620000003</v>
      </c>
      <c r="Q442">
        <v>17.440000000000001</v>
      </c>
      <c r="R442">
        <v>8.5050000000000008</v>
      </c>
      <c r="S442">
        <v>96.078500000000005</v>
      </c>
      <c r="T442">
        <v>19.763300000000001</v>
      </c>
    </row>
    <row r="443" spans="1:20" x14ac:dyDescent="0.3">
      <c r="A443" t="s">
        <v>781</v>
      </c>
      <c r="B443" t="s">
        <v>21</v>
      </c>
      <c r="C443" t="s">
        <v>268</v>
      </c>
      <c r="D443" t="s">
        <v>53</v>
      </c>
      <c r="E443" t="s">
        <v>24</v>
      </c>
      <c r="F443" t="s">
        <v>25</v>
      </c>
      <c r="G443" t="s">
        <v>26</v>
      </c>
      <c r="H443">
        <v>88.43</v>
      </c>
      <c r="I443">
        <v>15</v>
      </c>
      <c r="J443">
        <v>66.322500000000005</v>
      </c>
      <c r="K443">
        <v>1326.45</v>
      </c>
      <c r="L443" s="1">
        <v>43801</v>
      </c>
      <c r="M443" s="2">
        <v>0.81597222222222221</v>
      </c>
      <c r="N443" t="s">
        <v>37</v>
      </c>
      <c r="O443">
        <v>707.44</v>
      </c>
      <c r="P443">
        <v>4.7619047620000003</v>
      </c>
      <c r="Q443">
        <v>619.01</v>
      </c>
      <c r="R443">
        <v>5.16</v>
      </c>
      <c r="S443">
        <v>96.089100000000002</v>
      </c>
      <c r="T443">
        <v>21.9588</v>
      </c>
    </row>
    <row r="444" spans="1:20" x14ac:dyDescent="0.3">
      <c r="A444" t="s">
        <v>782</v>
      </c>
      <c r="B444" t="s">
        <v>21</v>
      </c>
      <c r="C444" t="s">
        <v>783</v>
      </c>
      <c r="D444" t="s">
        <v>23</v>
      </c>
      <c r="E444" t="s">
        <v>24</v>
      </c>
      <c r="F444" t="s">
        <v>25</v>
      </c>
      <c r="G444" t="s">
        <v>26</v>
      </c>
      <c r="H444">
        <v>89.21</v>
      </c>
      <c r="I444">
        <v>13</v>
      </c>
      <c r="J444">
        <v>57.986499999999999</v>
      </c>
      <c r="K444">
        <v>1159.73</v>
      </c>
      <c r="L444" s="1">
        <v>43487</v>
      </c>
      <c r="M444" s="2">
        <v>0.65416666666666667</v>
      </c>
      <c r="N444" t="s">
        <v>37</v>
      </c>
      <c r="O444">
        <v>802.89</v>
      </c>
      <c r="P444">
        <v>4.7619047620000003</v>
      </c>
      <c r="Q444">
        <v>356.84</v>
      </c>
      <c r="R444">
        <v>6.5</v>
      </c>
      <c r="S444">
        <v>96.173500000000004</v>
      </c>
      <c r="T444">
        <v>16.840900000000001</v>
      </c>
    </row>
    <row r="445" spans="1:20" x14ac:dyDescent="0.3">
      <c r="A445" t="s">
        <v>784</v>
      </c>
      <c r="B445" t="s">
        <v>21</v>
      </c>
      <c r="C445" t="s">
        <v>143</v>
      </c>
      <c r="D445" t="s">
        <v>31</v>
      </c>
      <c r="E445" t="s">
        <v>32</v>
      </c>
      <c r="F445" t="s">
        <v>36</v>
      </c>
      <c r="G445" t="s">
        <v>26</v>
      </c>
      <c r="H445">
        <v>12.78</v>
      </c>
      <c r="I445">
        <v>1</v>
      </c>
      <c r="J445">
        <v>0.63900000000000001</v>
      </c>
      <c r="K445">
        <v>12.78</v>
      </c>
      <c r="L445" s="1">
        <v>43777</v>
      </c>
      <c r="M445" s="2">
        <v>0.59097222222222223</v>
      </c>
      <c r="N445" t="s">
        <v>27</v>
      </c>
      <c r="O445">
        <v>12.78</v>
      </c>
      <c r="P445">
        <v>4.7619047620000003</v>
      </c>
      <c r="Q445">
        <v>0</v>
      </c>
      <c r="R445">
        <v>9.9749999999999996</v>
      </c>
      <c r="S445">
        <v>96.078500000000005</v>
      </c>
      <c r="T445">
        <v>19.763300000000001</v>
      </c>
    </row>
    <row r="446" spans="1:20" x14ac:dyDescent="0.3">
      <c r="A446" t="s">
        <v>785</v>
      </c>
      <c r="B446" t="s">
        <v>21</v>
      </c>
      <c r="C446" t="s">
        <v>786</v>
      </c>
      <c r="D446" t="s">
        <v>23</v>
      </c>
      <c r="E446" t="s">
        <v>32</v>
      </c>
      <c r="F446" t="s">
        <v>25</v>
      </c>
      <c r="G446" t="s">
        <v>26</v>
      </c>
      <c r="H446">
        <v>19.100000000000001</v>
      </c>
      <c r="I446">
        <v>7</v>
      </c>
      <c r="J446">
        <v>6.6849999999999996</v>
      </c>
      <c r="K446">
        <v>133.69999999999999</v>
      </c>
      <c r="L446" s="1">
        <v>43764</v>
      </c>
      <c r="M446" s="2">
        <v>0.4465277777777778</v>
      </c>
      <c r="N446" t="s">
        <v>33</v>
      </c>
      <c r="O446">
        <v>133.69999999999999</v>
      </c>
      <c r="P446">
        <v>4.7619047620000003</v>
      </c>
      <c r="Q446">
        <v>0</v>
      </c>
      <c r="R446">
        <v>9.6999999999999993</v>
      </c>
      <c r="S446">
        <v>96.173500000000004</v>
      </c>
      <c r="T446">
        <v>16.840900000000001</v>
      </c>
    </row>
    <row r="447" spans="1:20" x14ac:dyDescent="0.3">
      <c r="A447" t="s">
        <v>787</v>
      </c>
      <c r="B447" t="s">
        <v>21</v>
      </c>
      <c r="C447" t="s">
        <v>649</v>
      </c>
      <c r="D447" t="s">
        <v>53</v>
      </c>
      <c r="E447" t="s">
        <v>24</v>
      </c>
      <c r="F447" t="s">
        <v>25</v>
      </c>
      <c r="G447" t="s">
        <v>26</v>
      </c>
      <c r="H447">
        <v>19.149999999999999</v>
      </c>
      <c r="I447">
        <v>1</v>
      </c>
      <c r="J447">
        <v>0.95750000000000002</v>
      </c>
      <c r="K447">
        <v>19.149999999999999</v>
      </c>
      <c r="L447" s="1">
        <v>43748</v>
      </c>
      <c r="M447" s="2">
        <v>0.74861111111111112</v>
      </c>
      <c r="N447" t="s">
        <v>37</v>
      </c>
      <c r="O447">
        <v>19.149999999999999</v>
      </c>
      <c r="P447">
        <v>4.7619047620000003</v>
      </c>
      <c r="Q447">
        <v>0</v>
      </c>
      <c r="R447">
        <v>10</v>
      </c>
      <c r="S447">
        <v>96.089100000000002</v>
      </c>
      <c r="T447">
        <v>21.9588</v>
      </c>
    </row>
    <row r="448" spans="1:20" x14ac:dyDescent="0.3">
      <c r="A448" t="s">
        <v>788</v>
      </c>
      <c r="B448" t="s">
        <v>21</v>
      </c>
      <c r="C448" t="s">
        <v>493</v>
      </c>
      <c r="D448" t="s">
        <v>31</v>
      </c>
      <c r="E448" t="s">
        <v>24</v>
      </c>
      <c r="F448" t="s">
        <v>36</v>
      </c>
      <c r="G448" t="s">
        <v>63</v>
      </c>
      <c r="H448">
        <v>27.66</v>
      </c>
      <c r="I448">
        <v>17</v>
      </c>
      <c r="J448">
        <v>23.510999999999999</v>
      </c>
      <c r="K448">
        <v>470.22</v>
      </c>
      <c r="L448" s="1">
        <v>43820</v>
      </c>
      <c r="M448" s="2">
        <v>0.47638888888888886</v>
      </c>
      <c r="N448" t="s">
        <v>37</v>
      </c>
      <c r="O448">
        <v>276.60000000000002</v>
      </c>
      <c r="P448">
        <v>4.7619047620000003</v>
      </c>
      <c r="Q448">
        <v>193.62</v>
      </c>
      <c r="R448">
        <v>9.3450000000000006</v>
      </c>
      <c r="S448">
        <v>96.078500000000005</v>
      </c>
      <c r="T448">
        <v>19.763300000000001</v>
      </c>
    </row>
    <row r="449" spans="1:20" x14ac:dyDescent="0.3">
      <c r="A449" t="s">
        <v>789</v>
      </c>
      <c r="B449" t="s">
        <v>21</v>
      </c>
      <c r="C449" t="s">
        <v>389</v>
      </c>
      <c r="D449" t="s">
        <v>31</v>
      </c>
      <c r="E449" t="s">
        <v>32</v>
      </c>
      <c r="F449" t="s">
        <v>36</v>
      </c>
      <c r="G449" t="s">
        <v>100</v>
      </c>
      <c r="H449">
        <v>45.74</v>
      </c>
      <c r="I449">
        <v>4</v>
      </c>
      <c r="J449">
        <v>9.1479999999999997</v>
      </c>
      <c r="K449">
        <v>182.96</v>
      </c>
      <c r="L449" s="1">
        <v>43637</v>
      </c>
      <c r="M449" s="2">
        <v>0.73472222222222228</v>
      </c>
      <c r="N449" t="s">
        <v>37</v>
      </c>
      <c r="O449">
        <v>137.22</v>
      </c>
      <c r="P449">
        <v>4.7619047620000003</v>
      </c>
      <c r="Q449">
        <v>45.74</v>
      </c>
      <c r="R449">
        <v>6.8250000000000002</v>
      </c>
      <c r="S449">
        <v>96.078500000000005</v>
      </c>
      <c r="T449">
        <v>19.763300000000001</v>
      </c>
    </row>
    <row r="450" spans="1:20" x14ac:dyDescent="0.3">
      <c r="A450" t="s">
        <v>790</v>
      </c>
      <c r="B450" t="s">
        <v>21</v>
      </c>
      <c r="C450" t="s">
        <v>791</v>
      </c>
      <c r="D450" t="s">
        <v>53</v>
      </c>
      <c r="E450" t="s">
        <v>24</v>
      </c>
      <c r="F450" t="s">
        <v>25</v>
      </c>
      <c r="G450" t="s">
        <v>26</v>
      </c>
      <c r="H450">
        <v>27.07</v>
      </c>
      <c r="I450">
        <v>1</v>
      </c>
      <c r="J450">
        <v>1.3534999999999999</v>
      </c>
      <c r="K450">
        <v>27.07</v>
      </c>
      <c r="L450" s="1">
        <v>43775</v>
      </c>
      <c r="M450" s="2">
        <v>0.83819444444444446</v>
      </c>
      <c r="N450" t="s">
        <v>37</v>
      </c>
      <c r="O450">
        <v>27.07</v>
      </c>
      <c r="P450">
        <v>4.7619047620000003</v>
      </c>
      <c r="Q450">
        <v>0</v>
      </c>
      <c r="R450">
        <v>6.36</v>
      </c>
      <c r="S450">
        <v>96.089100000000002</v>
      </c>
      <c r="T450">
        <v>21.9588</v>
      </c>
    </row>
    <row r="451" spans="1:20" x14ac:dyDescent="0.3">
      <c r="A451" t="s">
        <v>792</v>
      </c>
      <c r="B451" t="s">
        <v>21</v>
      </c>
      <c r="C451" t="s">
        <v>665</v>
      </c>
      <c r="D451" t="s">
        <v>53</v>
      </c>
      <c r="E451" t="s">
        <v>24</v>
      </c>
      <c r="F451" t="s">
        <v>25</v>
      </c>
      <c r="G451" t="s">
        <v>100</v>
      </c>
      <c r="H451">
        <v>39.119999999999997</v>
      </c>
      <c r="I451">
        <v>1</v>
      </c>
      <c r="J451">
        <v>1.956</v>
      </c>
      <c r="K451">
        <v>39.119999999999997</v>
      </c>
      <c r="L451" s="1">
        <v>43512</v>
      </c>
      <c r="M451" s="2">
        <v>0.4597222222222222</v>
      </c>
      <c r="N451" t="s">
        <v>37</v>
      </c>
      <c r="O451">
        <v>39.119999999999997</v>
      </c>
      <c r="P451">
        <v>4.7619047620000003</v>
      </c>
      <c r="Q451">
        <v>0</v>
      </c>
      <c r="R451">
        <v>10</v>
      </c>
      <c r="S451">
        <v>96.089100000000002</v>
      </c>
      <c r="T451">
        <v>21.9588</v>
      </c>
    </row>
    <row r="452" spans="1:20" x14ac:dyDescent="0.3">
      <c r="A452" t="s">
        <v>793</v>
      </c>
      <c r="B452" t="s">
        <v>21</v>
      </c>
      <c r="C452" t="s">
        <v>794</v>
      </c>
      <c r="D452" t="s">
        <v>53</v>
      </c>
      <c r="E452" t="s">
        <v>32</v>
      </c>
      <c r="F452" t="s">
        <v>25</v>
      </c>
      <c r="G452" t="s">
        <v>100</v>
      </c>
      <c r="H452">
        <v>74.709999999999994</v>
      </c>
      <c r="I452">
        <v>8</v>
      </c>
      <c r="J452">
        <v>29.884</v>
      </c>
      <c r="K452">
        <v>597.67999999999995</v>
      </c>
      <c r="L452" s="1">
        <v>43810</v>
      </c>
      <c r="M452" s="2">
        <v>0.79652777777777772</v>
      </c>
      <c r="N452" t="s">
        <v>33</v>
      </c>
      <c r="O452">
        <v>448.26</v>
      </c>
      <c r="P452">
        <v>4.7619047620000003</v>
      </c>
      <c r="Q452">
        <v>149.41999999999999</v>
      </c>
      <c r="R452">
        <v>8.0399999999999991</v>
      </c>
      <c r="S452">
        <v>96.089100000000002</v>
      </c>
      <c r="T452">
        <v>21.9588</v>
      </c>
    </row>
    <row r="453" spans="1:20" x14ac:dyDescent="0.3">
      <c r="A453" t="s">
        <v>795</v>
      </c>
      <c r="B453" t="s">
        <v>21</v>
      </c>
      <c r="C453" t="s">
        <v>469</v>
      </c>
      <c r="D453" t="s">
        <v>53</v>
      </c>
      <c r="E453" t="s">
        <v>32</v>
      </c>
      <c r="F453" t="s">
        <v>36</v>
      </c>
      <c r="G453" t="s">
        <v>100</v>
      </c>
      <c r="H453">
        <v>22.01</v>
      </c>
      <c r="I453">
        <v>8</v>
      </c>
      <c r="J453">
        <v>8.8040000000000003</v>
      </c>
      <c r="K453">
        <v>176.08</v>
      </c>
      <c r="L453" s="1">
        <v>43512</v>
      </c>
      <c r="M453" s="2">
        <v>0.78472222222222221</v>
      </c>
      <c r="N453" t="s">
        <v>33</v>
      </c>
      <c r="O453">
        <v>132.06</v>
      </c>
      <c r="P453">
        <v>4.7619047620000003</v>
      </c>
      <c r="Q453">
        <v>44.02</v>
      </c>
      <c r="R453">
        <v>9.1199999999999992</v>
      </c>
      <c r="S453">
        <v>96.089100000000002</v>
      </c>
      <c r="T453">
        <v>21.9588</v>
      </c>
    </row>
    <row r="454" spans="1:20" x14ac:dyDescent="0.3">
      <c r="A454" t="s">
        <v>796</v>
      </c>
      <c r="B454" t="s">
        <v>21</v>
      </c>
      <c r="C454" t="s">
        <v>797</v>
      </c>
      <c r="D454" t="s">
        <v>23</v>
      </c>
      <c r="E454" t="s">
        <v>32</v>
      </c>
      <c r="F454" t="s">
        <v>25</v>
      </c>
      <c r="G454" t="s">
        <v>100</v>
      </c>
      <c r="H454">
        <v>63.61</v>
      </c>
      <c r="I454">
        <v>5</v>
      </c>
      <c r="J454">
        <v>15.9025</v>
      </c>
      <c r="K454">
        <v>318.05</v>
      </c>
      <c r="L454" s="1">
        <v>43508</v>
      </c>
      <c r="M454" s="2">
        <v>0.52986111111111112</v>
      </c>
      <c r="N454" t="s">
        <v>27</v>
      </c>
      <c r="O454">
        <v>318.05</v>
      </c>
      <c r="P454">
        <v>4.7619047620000003</v>
      </c>
      <c r="Q454">
        <v>0</v>
      </c>
      <c r="R454">
        <v>4.8</v>
      </c>
      <c r="S454">
        <v>96.173500000000004</v>
      </c>
      <c r="T454">
        <v>16.840900000000001</v>
      </c>
    </row>
    <row r="455" spans="1:20" x14ac:dyDescent="0.3">
      <c r="A455" t="s">
        <v>798</v>
      </c>
      <c r="B455" t="s">
        <v>21</v>
      </c>
      <c r="C455" t="s">
        <v>799</v>
      </c>
      <c r="D455" t="s">
        <v>23</v>
      </c>
      <c r="E455" t="s">
        <v>32</v>
      </c>
      <c r="F455" t="s">
        <v>36</v>
      </c>
      <c r="G455" t="s">
        <v>100</v>
      </c>
      <c r="H455">
        <v>25</v>
      </c>
      <c r="I455">
        <v>1</v>
      </c>
      <c r="J455">
        <v>1.25</v>
      </c>
      <c r="K455">
        <v>25</v>
      </c>
      <c r="L455" s="1">
        <v>43475</v>
      </c>
      <c r="M455" s="2">
        <v>0.63124999999999998</v>
      </c>
      <c r="N455" t="s">
        <v>27</v>
      </c>
      <c r="O455">
        <v>25</v>
      </c>
      <c r="P455">
        <v>4.7619047620000003</v>
      </c>
      <c r="Q455">
        <v>0</v>
      </c>
      <c r="R455">
        <v>5.5</v>
      </c>
      <c r="S455">
        <v>96.173500000000004</v>
      </c>
      <c r="T455">
        <v>16.840900000000001</v>
      </c>
    </row>
    <row r="456" spans="1:20" x14ac:dyDescent="0.3">
      <c r="A456" t="s">
        <v>800</v>
      </c>
      <c r="B456" t="s">
        <v>21</v>
      </c>
      <c r="C456" t="s">
        <v>801</v>
      </c>
      <c r="D456" t="s">
        <v>23</v>
      </c>
      <c r="E456" t="s">
        <v>24</v>
      </c>
      <c r="F456" t="s">
        <v>36</v>
      </c>
      <c r="G456" t="s">
        <v>100</v>
      </c>
      <c r="H456">
        <v>20.77</v>
      </c>
      <c r="I456">
        <v>6</v>
      </c>
      <c r="J456">
        <v>6.2309999999999999</v>
      </c>
      <c r="K456">
        <v>124.62</v>
      </c>
      <c r="L456" s="1">
        <v>43766</v>
      </c>
      <c r="M456" s="2">
        <v>0.57430555555555551</v>
      </c>
      <c r="N456" t="s">
        <v>33</v>
      </c>
      <c r="O456">
        <v>83.08</v>
      </c>
      <c r="P456">
        <v>4.7619047620000003</v>
      </c>
      <c r="Q456">
        <v>41.54</v>
      </c>
      <c r="R456">
        <v>4.7</v>
      </c>
      <c r="S456">
        <v>96.173500000000004</v>
      </c>
      <c r="T456">
        <v>16.840900000000001</v>
      </c>
    </row>
    <row r="457" spans="1:20" x14ac:dyDescent="0.3">
      <c r="A457" t="s">
        <v>802</v>
      </c>
      <c r="B457" t="s">
        <v>21</v>
      </c>
      <c r="C457" t="s">
        <v>803</v>
      </c>
      <c r="D457" t="s">
        <v>53</v>
      </c>
      <c r="E457" t="s">
        <v>24</v>
      </c>
      <c r="F457" t="s">
        <v>25</v>
      </c>
      <c r="G457" t="s">
        <v>100</v>
      </c>
      <c r="H457">
        <v>29.56</v>
      </c>
      <c r="I457">
        <v>10</v>
      </c>
      <c r="J457">
        <v>14.78</v>
      </c>
      <c r="K457">
        <v>295.60000000000002</v>
      </c>
      <c r="L457" s="1">
        <v>43821</v>
      </c>
      <c r="M457" s="2">
        <v>0.70763888888888893</v>
      </c>
      <c r="N457" t="s">
        <v>33</v>
      </c>
      <c r="O457">
        <v>147.80000000000001</v>
      </c>
      <c r="P457">
        <v>4.7619047620000003</v>
      </c>
      <c r="Q457">
        <v>147.80000000000001</v>
      </c>
      <c r="R457">
        <v>8.2799999999999994</v>
      </c>
      <c r="S457">
        <v>96.089100000000002</v>
      </c>
      <c r="T457">
        <v>21.9588</v>
      </c>
    </row>
    <row r="458" spans="1:20" x14ac:dyDescent="0.3">
      <c r="A458" t="s">
        <v>804</v>
      </c>
      <c r="B458" t="s">
        <v>21</v>
      </c>
      <c r="C458" t="s">
        <v>805</v>
      </c>
      <c r="D458" t="s">
        <v>53</v>
      </c>
      <c r="E458" t="s">
        <v>24</v>
      </c>
      <c r="F458" t="s">
        <v>25</v>
      </c>
      <c r="G458" t="s">
        <v>100</v>
      </c>
      <c r="H458">
        <v>77.400000000000006</v>
      </c>
      <c r="I458">
        <v>18</v>
      </c>
      <c r="J458">
        <v>69.66</v>
      </c>
      <c r="K458">
        <v>1393.2</v>
      </c>
      <c r="L458" s="1">
        <v>43732</v>
      </c>
      <c r="M458" s="2">
        <v>0.59375</v>
      </c>
      <c r="N458" t="s">
        <v>37</v>
      </c>
      <c r="O458">
        <v>696.6</v>
      </c>
      <c r="P458">
        <v>4.7619047620000003</v>
      </c>
      <c r="Q458">
        <v>696.6</v>
      </c>
      <c r="R458">
        <v>5.4</v>
      </c>
      <c r="S458">
        <v>96.089100000000002</v>
      </c>
      <c r="T458">
        <v>21.9588</v>
      </c>
    </row>
    <row r="459" spans="1:20" x14ac:dyDescent="0.3">
      <c r="A459" t="s">
        <v>806</v>
      </c>
      <c r="B459" t="s">
        <v>21</v>
      </c>
      <c r="C459" t="s">
        <v>227</v>
      </c>
      <c r="D459" t="s">
        <v>53</v>
      </c>
      <c r="E459" t="s">
        <v>32</v>
      </c>
      <c r="F459" t="s">
        <v>36</v>
      </c>
      <c r="G459" t="s">
        <v>100</v>
      </c>
      <c r="H459">
        <v>79.39</v>
      </c>
      <c r="I459">
        <v>14</v>
      </c>
      <c r="J459">
        <v>55.573</v>
      </c>
      <c r="K459">
        <v>1111.46</v>
      </c>
      <c r="L459" s="1">
        <v>43554</v>
      </c>
      <c r="M459" s="2">
        <v>0.85</v>
      </c>
      <c r="N459" t="s">
        <v>33</v>
      </c>
      <c r="O459">
        <v>793.9</v>
      </c>
      <c r="P459">
        <v>4.7619047620000003</v>
      </c>
      <c r="Q459">
        <v>317.56</v>
      </c>
      <c r="R459">
        <v>7.44</v>
      </c>
      <c r="S459">
        <v>96.089100000000002</v>
      </c>
      <c r="T459">
        <v>21.9588</v>
      </c>
    </row>
    <row r="460" spans="1:20" x14ac:dyDescent="0.3">
      <c r="A460" t="s">
        <v>807</v>
      </c>
      <c r="B460" t="s">
        <v>21</v>
      </c>
      <c r="C460" t="s">
        <v>808</v>
      </c>
      <c r="D460" t="s">
        <v>31</v>
      </c>
      <c r="E460" t="s">
        <v>24</v>
      </c>
      <c r="F460" t="s">
        <v>25</v>
      </c>
      <c r="G460" t="s">
        <v>100</v>
      </c>
      <c r="H460">
        <v>46.57</v>
      </c>
      <c r="I460">
        <v>17</v>
      </c>
      <c r="J460">
        <v>39.584499999999998</v>
      </c>
      <c r="K460">
        <v>791.69</v>
      </c>
      <c r="L460" s="1">
        <v>43567</v>
      </c>
      <c r="M460" s="2">
        <v>0.58194444444444449</v>
      </c>
      <c r="N460" t="s">
        <v>33</v>
      </c>
      <c r="O460">
        <v>465.7</v>
      </c>
      <c r="P460">
        <v>4.7619047620000003</v>
      </c>
      <c r="Q460">
        <v>325.99</v>
      </c>
      <c r="R460">
        <v>7.98</v>
      </c>
      <c r="S460">
        <v>96.078500000000005</v>
      </c>
      <c r="T460">
        <v>19.763300000000001</v>
      </c>
    </row>
    <row r="461" spans="1:20" x14ac:dyDescent="0.3">
      <c r="A461" t="s">
        <v>809</v>
      </c>
      <c r="B461" t="s">
        <v>21</v>
      </c>
      <c r="C461" t="s">
        <v>810</v>
      </c>
      <c r="D461" t="s">
        <v>31</v>
      </c>
      <c r="E461" t="s">
        <v>32</v>
      </c>
      <c r="F461" t="s">
        <v>36</v>
      </c>
      <c r="G461" t="s">
        <v>100</v>
      </c>
      <c r="H461">
        <v>35.89</v>
      </c>
      <c r="I461">
        <v>1</v>
      </c>
      <c r="J461">
        <v>1.7945</v>
      </c>
      <c r="K461">
        <v>35.89</v>
      </c>
      <c r="L461" s="1">
        <v>43467</v>
      </c>
      <c r="M461" s="2">
        <v>0.70277777777777772</v>
      </c>
      <c r="N461" t="s">
        <v>37</v>
      </c>
      <c r="O461">
        <v>35.89</v>
      </c>
      <c r="P461">
        <v>4.7619047620000003</v>
      </c>
      <c r="Q461">
        <v>0</v>
      </c>
      <c r="R461">
        <v>8.2949999999999999</v>
      </c>
      <c r="S461">
        <v>96.078500000000005</v>
      </c>
      <c r="T461">
        <v>19.763300000000001</v>
      </c>
    </row>
    <row r="462" spans="1:20" x14ac:dyDescent="0.3">
      <c r="A462" t="s">
        <v>811</v>
      </c>
      <c r="B462" t="s">
        <v>21</v>
      </c>
      <c r="C462" t="s">
        <v>639</v>
      </c>
      <c r="D462" t="s">
        <v>31</v>
      </c>
      <c r="E462" t="s">
        <v>32</v>
      </c>
      <c r="F462" t="s">
        <v>36</v>
      </c>
      <c r="G462" t="s">
        <v>100</v>
      </c>
      <c r="H462">
        <v>40.520000000000003</v>
      </c>
      <c r="I462">
        <v>6</v>
      </c>
      <c r="J462">
        <v>12.156000000000001</v>
      </c>
      <c r="K462">
        <v>243.12</v>
      </c>
      <c r="L462" s="1">
        <v>43795</v>
      </c>
      <c r="M462" s="2">
        <v>0.6381944444444444</v>
      </c>
      <c r="N462" t="s">
        <v>33</v>
      </c>
      <c r="O462">
        <v>202.6</v>
      </c>
      <c r="P462">
        <v>4.7619047620000003</v>
      </c>
      <c r="Q462">
        <v>40.520000000000003</v>
      </c>
      <c r="R462">
        <v>4.7249999999999996</v>
      </c>
      <c r="S462">
        <v>96.078500000000005</v>
      </c>
      <c r="T462">
        <v>19.763300000000001</v>
      </c>
    </row>
    <row r="463" spans="1:20" x14ac:dyDescent="0.3">
      <c r="A463" t="s">
        <v>812</v>
      </c>
      <c r="B463" t="s">
        <v>21</v>
      </c>
      <c r="C463" t="s">
        <v>629</v>
      </c>
      <c r="D463" t="s">
        <v>53</v>
      </c>
      <c r="E463" t="s">
        <v>24</v>
      </c>
      <c r="F463" t="s">
        <v>25</v>
      </c>
      <c r="G463" t="s">
        <v>100</v>
      </c>
      <c r="H463">
        <v>73.05</v>
      </c>
      <c r="I463">
        <v>20</v>
      </c>
      <c r="J463">
        <v>73.05</v>
      </c>
      <c r="K463">
        <v>1461</v>
      </c>
      <c r="L463" s="1">
        <v>43736</v>
      </c>
      <c r="M463" s="2">
        <v>0.51736111111111116</v>
      </c>
      <c r="N463" t="s">
        <v>37</v>
      </c>
      <c r="O463">
        <v>730.5</v>
      </c>
      <c r="P463">
        <v>4.7619047620000003</v>
      </c>
      <c r="Q463">
        <v>730.5</v>
      </c>
      <c r="R463">
        <v>10</v>
      </c>
      <c r="S463">
        <v>96.089100000000002</v>
      </c>
      <c r="T463">
        <v>21.9588</v>
      </c>
    </row>
    <row r="464" spans="1:20" x14ac:dyDescent="0.3">
      <c r="A464" t="s">
        <v>813</v>
      </c>
      <c r="B464" t="s">
        <v>21</v>
      </c>
      <c r="C464" t="s">
        <v>136</v>
      </c>
      <c r="D464" t="s">
        <v>31</v>
      </c>
      <c r="E464" t="s">
        <v>32</v>
      </c>
      <c r="F464" t="s">
        <v>25</v>
      </c>
      <c r="G464" t="s">
        <v>68</v>
      </c>
      <c r="H464">
        <v>73.95</v>
      </c>
      <c r="I464">
        <v>5</v>
      </c>
      <c r="J464">
        <v>18.487500000000001</v>
      </c>
      <c r="K464">
        <v>369.75</v>
      </c>
      <c r="L464" s="1">
        <v>43764</v>
      </c>
      <c r="M464" s="2">
        <v>0.41805555555555557</v>
      </c>
      <c r="N464" t="s">
        <v>33</v>
      </c>
      <c r="O464">
        <v>295.8</v>
      </c>
      <c r="P464">
        <v>4.7619047620000003</v>
      </c>
      <c r="Q464">
        <v>73.95</v>
      </c>
      <c r="R464">
        <v>6.4050000000000002</v>
      </c>
      <c r="S464">
        <v>96.078500000000005</v>
      </c>
      <c r="T464">
        <v>19.763300000000001</v>
      </c>
    </row>
    <row r="465" spans="1:20" x14ac:dyDescent="0.3">
      <c r="A465" t="s">
        <v>814</v>
      </c>
      <c r="B465" t="s">
        <v>21</v>
      </c>
      <c r="C465" t="s">
        <v>815</v>
      </c>
      <c r="D465" t="s">
        <v>31</v>
      </c>
      <c r="E465" t="s">
        <v>24</v>
      </c>
      <c r="F465" t="s">
        <v>25</v>
      </c>
      <c r="G465" t="s">
        <v>63</v>
      </c>
      <c r="H465">
        <v>22.62</v>
      </c>
      <c r="I465">
        <v>1</v>
      </c>
      <c r="J465">
        <v>1.131</v>
      </c>
      <c r="K465">
        <v>22.62</v>
      </c>
      <c r="L465" s="1">
        <v>43628</v>
      </c>
      <c r="M465" s="2">
        <v>0.79027777777777775</v>
      </c>
      <c r="N465" t="s">
        <v>33</v>
      </c>
      <c r="O465">
        <v>22.62</v>
      </c>
      <c r="P465">
        <v>4.7619047620000003</v>
      </c>
      <c r="Q465">
        <v>0</v>
      </c>
      <c r="R465">
        <v>6.72</v>
      </c>
      <c r="S465">
        <v>96.078500000000005</v>
      </c>
      <c r="T465">
        <v>19.763300000000001</v>
      </c>
    </row>
    <row r="466" spans="1:20" x14ac:dyDescent="0.3">
      <c r="A466" t="s">
        <v>816</v>
      </c>
      <c r="B466" t="s">
        <v>21</v>
      </c>
      <c r="C466" t="s">
        <v>397</v>
      </c>
      <c r="D466" t="s">
        <v>23</v>
      </c>
      <c r="E466" t="s">
        <v>24</v>
      </c>
      <c r="F466" t="s">
        <v>36</v>
      </c>
      <c r="G466" t="s">
        <v>63</v>
      </c>
      <c r="H466">
        <v>51.34</v>
      </c>
      <c r="I466">
        <v>7</v>
      </c>
      <c r="J466">
        <v>17.969000000000001</v>
      </c>
      <c r="K466">
        <v>359.38</v>
      </c>
      <c r="L466" s="1">
        <v>43677</v>
      </c>
      <c r="M466" s="2">
        <v>0.64652777777777781</v>
      </c>
      <c r="N466" t="s">
        <v>37</v>
      </c>
      <c r="O466">
        <v>256.7</v>
      </c>
      <c r="P466">
        <v>4.7619047620000003</v>
      </c>
      <c r="Q466">
        <v>102.68</v>
      </c>
      <c r="R466">
        <v>9.1</v>
      </c>
      <c r="S466">
        <v>96.173500000000004</v>
      </c>
      <c r="T466">
        <v>16.840900000000001</v>
      </c>
    </row>
    <row r="467" spans="1:20" x14ac:dyDescent="0.3">
      <c r="A467" t="s">
        <v>817</v>
      </c>
      <c r="B467" t="s">
        <v>21</v>
      </c>
      <c r="C467" t="s">
        <v>143</v>
      </c>
      <c r="D467" t="s">
        <v>31</v>
      </c>
      <c r="E467" t="s">
        <v>24</v>
      </c>
      <c r="F467" t="s">
        <v>25</v>
      </c>
      <c r="G467" t="s">
        <v>68</v>
      </c>
      <c r="H467">
        <v>54.55</v>
      </c>
      <c r="I467">
        <v>17</v>
      </c>
      <c r="J467">
        <v>46.3675</v>
      </c>
      <c r="K467">
        <v>927.35</v>
      </c>
      <c r="L467" s="1">
        <v>43604</v>
      </c>
      <c r="M467" s="2">
        <v>0.47361111111111109</v>
      </c>
      <c r="N467" t="s">
        <v>37</v>
      </c>
      <c r="O467">
        <v>545.5</v>
      </c>
      <c r="P467">
        <v>4.7619047620000003</v>
      </c>
      <c r="Q467">
        <v>381.85</v>
      </c>
      <c r="R467">
        <v>7.4550000000000001</v>
      </c>
      <c r="S467">
        <v>96.078500000000005</v>
      </c>
      <c r="T467">
        <v>19.763300000000001</v>
      </c>
    </row>
    <row r="468" spans="1:20" x14ac:dyDescent="0.3">
      <c r="A468" t="s">
        <v>818</v>
      </c>
      <c r="B468" t="s">
        <v>21</v>
      </c>
      <c r="C468" t="s">
        <v>819</v>
      </c>
      <c r="D468" t="s">
        <v>31</v>
      </c>
      <c r="E468" t="s">
        <v>24</v>
      </c>
      <c r="F468" t="s">
        <v>25</v>
      </c>
      <c r="G468" t="s">
        <v>26</v>
      </c>
      <c r="H468">
        <v>37.15</v>
      </c>
      <c r="I468">
        <v>11</v>
      </c>
      <c r="J468">
        <v>20.432500000000001</v>
      </c>
      <c r="K468">
        <v>408.65</v>
      </c>
      <c r="L468" s="1">
        <v>43627</v>
      </c>
      <c r="M468" s="2">
        <v>0.55000000000000004</v>
      </c>
      <c r="N468" t="s">
        <v>37</v>
      </c>
      <c r="O468">
        <v>260.05</v>
      </c>
      <c r="P468">
        <v>4.7619047620000003</v>
      </c>
      <c r="Q468">
        <v>148.6</v>
      </c>
      <c r="R468">
        <v>8.0850000000000009</v>
      </c>
      <c r="S468">
        <v>96.078500000000005</v>
      </c>
      <c r="T468">
        <v>19.763300000000001</v>
      </c>
    </row>
    <row r="469" spans="1:20" x14ac:dyDescent="0.3">
      <c r="A469" t="s">
        <v>820</v>
      </c>
      <c r="B469" t="s">
        <v>21</v>
      </c>
      <c r="C469" t="s">
        <v>821</v>
      </c>
      <c r="D469" t="s">
        <v>53</v>
      </c>
      <c r="E469" t="s">
        <v>32</v>
      </c>
      <c r="F469" t="s">
        <v>36</v>
      </c>
      <c r="G469" t="s">
        <v>68</v>
      </c>
      <c r="H469">
        <v>37.020000000000003</v>
      </c>
      <c r="I469">
        <v>8</v>
      </c>
      <c r="J469">
        <v>14.808</v>
      </c>
      <c r="K469">
        <v>296.16000000000003</v>
      </c>
      <c r="L469" s="1">
        <v>43694</v>
      </c>
      <c r="M469" s="2">
        <v>0.7729166666666667</v>
      </c>
      <c r="N469" t="s">
        <v>33</v>
      </c>
      <c r="O469">
        <v>222.12</v>
      </c>
      <c r="P469">
        <v>4.7619047620000003</v>
      </c>
      <c r="Q469">
        <v>74.040000000000006</v>
      </c>
      <c r="R469">
        <v>5.4</v>
      </c>
      <c r="S469">
        <v>96.089100000000002</v>
      </c>
      <c r="T469">
        <v>21.9588</v>
      </c>
    </row>
    <row r="470" spans="1:20" x14ac:dyDescent="0.3">
      <c r="A470" t="s">
        <v>822</v>
      </c>
      <c r="B470" t="s">
        <v>21</v>
      </c>
      <c r="C470" t="s">
        <v>631</v>
      </c>
      <c r="D470" t="s">
        <v>31</v>
      </c>
      <c r="E470" t="s">
        <v>32</v>
      </c>
      <c r="F470" t="s">
        <v>36</v>
      </c>
      <c r="G470" t="s">
        <v>63</v>
      </c>
      <c r="H470">
        <v>21.58</v>
      </c>
      <c r="I470">
        <v>1</v>
      </c>
      <c r="J470">
        <v>1.079</v>
      </c>
      <c r="K470">
        <v>21.58</v>
      </c>
      <c r="L470" s="1">
        <v>43779</v>
      </c>
      <c r="M470" s="2">
        <v>0.41805555555555557</v>
      </c>
      <c r="N470" t="s">
        <v>27</v>
      </c>
      <c r="O470">
        <v>21.58</v>
      </c>
      <c r="P470">
        <v>4.7619047620000003</v>
      </c>
      <c r="Q470">
        <v>0</v>
      </c>
      <c r="R470">
        <v>7.56</v>
      </c>
      <c r="S470">
        <v>96.078500000000005</v>
      </c>
      <c r="T470">
        <v>19.763300000000001</v>
      </c>
    </row>
    <row r="471" spans="1:20" x14ac:dyDescent="0.3">
      <c r="A471" t="s">
        <v>823</v>
      </c>
      <c r="B471" t="s">
        <v>21</v>
      </c>
      <c r="C471" t="s">
        <v>229</v>
      </c>
      <c r="D471" t="s">
        <v>31</v>
      </c>
      <c r="E471" t="s">
        <v>24</v>
      </c>
      <c r="F471" t="s">
        <v>25</v>
      </c>
      <c r="G471" t="s">
        <v>60</v>
      </c>
      <c r="H471">
        <v>98.84</v>
      </c>
      <c r="I471">
        <v>1</v>
      </c>
      <c r="J471">
        <v>4.9420000000000002</v>
      </c>
      <c r="K471">
        <v>98.84</v>
      </c>
      <c r="L471" s="1">
        <v>43614</v>
      </c>
      <c r="M471" s="2">
        <v>0.47291666666666665</v>
      </c>
      <c r="N471" t="s">
        <v>33</v>
      </c>
      <c r="O471">
        <v>98.84</v>
      </c>
      <c r="P471">
        <v>4.7619047620000003</v>
      </c>
      <c r="Q471">
        <v>0</v>
      </c>
      <c r="R471">
        <v>8.82</v>
      </c>
      <c r="S471">
        <v>96.078500000000005</v>
      </c>
      <c r="T471">
        <v>19.763300000000001</v>
      </c>
    </row>
    <row r="472" spans="1:20" x14ac:dyDescent="0.3">
      <c r="A472" t="s">
        <v>824</v>
      </c>
      <c r="B472" t="s">
        <v>21</v>
      </c>
      <c r="C472" t="s">
        <v>825</v>
      </c>
      <c r="D472" t="s">
        <v>31</v>
      </c>
      <c r="E472" t="s">
        <v>24</v>
      </c>
      <c r="F472" t="s">
        <v>25</v>
      </c>
      <c r="G472" t="s">
        <v>77</v>
      </c>
      <c r="H472">
        <v>83.77</v>
      </c>
      <c r="I472">
        <v>10</v>
      </c>
      <c r="J472">
        <v>41.884999999999998</v>
      </c>
      <c r="K472">
        <v>837.7</v>
      </c>
      <c r="L472" s="1">
        <v>43703</v>
      </c>
      <c r="M472" s="2">
        <v>0.50694444444444442</v>
      </c>
      <c r="N472" t="s">
        <v>27</v>
      </c>
      <c r="O472">
        <v>502.62</v>
      </c>
      <c r="P472">
        <v>4.7619047620000003</v>
      </c>
      <c r="Q472">
        <v>335.08</v>
      </c>
      <c r="R472">
        <v>5.67</v>
      </c>
      <c r="S472">
        <v>96.078500000000005</v>
      </c>
      <c r="T472">
        <v>19.763300000000001</v>
      </c>
    </row>
    <row r="473" spans="1:20" x14ac:dyDescent="0.3">
      <c r="A473" t="s">
        <v>826</v>
      </c>
      <c r="B473" t="s">
        <v>21</v>
      </c>
      <c r="C473" t="s">
        <v>827</v>
      </c>
      <c r="D473" t="s">
        <v>23</v>
      </c>
      <c r="E473" t="s">
        <v>24</v>
      </c>
      <c r="F473" t="s">
        <v>25</v>
      </c>
      <c r="G473" t="s">
        <v>68</v>
      </c>
      <c r="H473">
        <v>40.049999999999997</v>
      </c>
      <c r="I473">
        <v>6</v>
      </c>
      <c r="J473">
        <v>12.015000000000001</v>
      </c>
      <c r="K473">
        <v>240.3</v>
      </c>
      <c r="L473" s="1">
        <v>43659</v>
      </c>
      <c r="M473" s="2">
        <v>0.4861111111111111</v>
      </c>
      <c r="N473" t="s">
        <v>33</v>
      </c>
      <c r="O473">
        <v>160.19999999999999</v>
      </c>
      <c r="P473">
        <v>4.7619047620000003</v>
      </c>
      <c r="Q473">
        <v>80.099999999999994</v>
      </c>
      <c r="R473">
        <v>9.6999999999999993</v>
      </c>
      <c r="S473">
        <v>96.173500000000004</v>
      </c>
      <c r="T473">
        <v>16.840900000000001</v>
      </c>
    </row>
    <row r="474" spans="1:20" x14ac:dyDescent="0.3">
      <c r="A474" t="s">
        <v>828</v>
      </c>
      <c r="B474" t="s">
        <v>21</v>
      </c>
      <c r="C474" t="s">
        <v>577</v>
      </c>
      <c r="D474" t="s">
        <v>23</v>
      </c>
      <c r="E474" t="s">
        <v>24</v>
      </c>
      <c r="F474" t="s">
        <v>36</v>
      </c>
      <c r="G474" t="s">
        <v>100</v>
      </c>
      <c r="H474">
        <v>43.13</v>
      </c>
      <c r="I474">
        <v>14</v>
      </c>
      <c r="J474">
        <v>30.190999999999999</v>
      </c>
      <c r="K474">
        <v>603.82000000000005</v>
      </c>
      <c r="L474" s="1">
        <v>43763</v>
      </c>
      <c r="M474" s="2">
        <v>0.77152777777777781</v>
      </c>
      <c r="N474" t="s">
        <v>37</v>
      </c>
      <c r="O474">
        <v>431.3</v>
      </c>
      <c r="P474">
        <v>4.7619047620000003</v>
      </c>
      <c r="Q474">
        <v>172.52</v>
      </c>
      <c r="R474">
        <v>5.5</v>
      </c>
      <c r="S474">
        <v>96.173500000000004</v>
      </c>
      <c r="T474">
        <v>16.840900000000001</v>
      </c>
    </row>
    <row r="475" spans="1:20" x14ac:dyDescent="0.3">
      <c r="A475" t="s">
        <v>829</v>
      </c>
      <c r="B475" t="s">
        <v>21</v>
      </c>
      <c r="C475" t="s">
        <v>830</v>
      </c>
      <c r="D475" t="s">
        <v>53</v>
      </c>
      <c r="E475" t="s">
        <v>24</v>
      </c>
      <c r="F475" t="s">
        <v>36</v>
      </c>
      <c r="G475" t="s">
        <v>26</v>
      </c>
      <c r="H475">
        <v>72.569999999999993</v>
      </c>
      <c r="I475">
        <v>15</v>
      </c>
      <c r="J475">
        <v>54.427500000000002</v>
      </c>
      <c r="K475">
        <v>1088.55</v>
      </c>
      <c r="L475" s="1">
        <v>43608</v>
      </c>
      <c r="M475" s="2">
        <v>0.74861111111111112</v>
      </c>
      <c r="N475" t="s">
        <v>33</v>
      </c>
      <c r="O475">
        <v>580.55999999999995</v>
      </c>
      <c r="P475">
        <v>4.7619047620000003</v>
      </c>
      <c r="Q475">
        <v>507.99</v>
      </c>
      <c r="R475">
        <v>5.52</v>
      </c>
      <c r="S475">
        <v>96.089100000000002</v>
      </c>
      <c r="T475">
        <v>21.9588</v>
      </c>
    </row>
    <row r="476" spans="1:20" x14ac:dyDescent="0.3">
      <c r="A476" t="s">
        <v>831</v>
      </c>
      <c r="B476" t="s">
        <v>21</v>
      </c>
      <c r="C476" t="s">
        <v>832</v>
      </c>
      <c r="D476" t="s">
        <v>23</v>
      </c>
      <c r="E476" t="s">
        <v>24</v>
      </c>
      <c r="F476" t="s">
        <v>25</v>
      </c>
      <c r="G476" t="s">
        <v>60</v>
      </c>
      <c r="H476">
        <v>64.44</v>
      </c>
      <c r="I476">
        <v>7</v>
      </c>
      <c r="J476">
        <v>22.553999999999998</v>
      </c>
      <c r="K476">
        <v>451.08</v>
      </c>
      <c r="L476" s="1">
        <v>43630</v>
      </c>
      <c r="M476" s="2">
        <v>0.71111111111111114</v>
      </c>
      <c r="N476" t="s">
        <v>33</v>
      </c>
      <c r="O476">
        <v>322.2</v>
      </c>
      <c r="P476">
        <v>4.7619047620000003</v>
      </c>
      <c r="Q476">
        <v>128.88</v>
      </c>
      <c r="R476">
        <v>6.6</v>
      </c>
      <c r="S476">
        <v>96.173500000000004</v>
      </c>
      <c r="T476">
        <v>16.840900000000001</v>
      </c>
    </row>
    <row r="477" spans="1:20" x14ac:dyDescent="0.3">
      <c r="A477" t="s">
        <v>833</v>
      </c>
      <c r="B477" t="s">
        <v>21</v>
      </c>
      <c r="C477" t="s">
        <v>152</v>
      </c>
      <c r="D477" t="s">
        <v>23</v>
      </c>
      <c r="E477" t="s">
        <v>32</v>
      </c>
      <c r="F477" t="s">
        <v>36</v>
      </c>
      <c r="G477" t="s">
        <v>26</v>
      </c>
      <c r="H477">
        <v>65.180000000000007</v>
      </c>
      <c r="I477">
        <v>3</v>
      </c>
      <c r="J477">
        <v>9.7769999999999992</v>
      </c>
      <c r="K477">
        <v>195.54</v>
      </c>
      <c r="L477" s="1">
        <v>43711</v>
      </c>
      <c r="M477" s="2">
        <v>0.85763888888888884</v>
      </c>
      <c r="N477" t="s">
        <v>37</v>
      </c>
      <c r="O477">
        <v>195.54</v>
      </c>
      <c r="P477">
        <v>4.7619047620000003</v>
      </c>
      <c r="Q477">
        <v>0</v>
      </c>
      <c r="R477">
        <v>6.3</v>
      </c>
      <c r="S477">
        <v>96.173500000000004</v>
      </c>
      <c r="T477">
        <v>16.840900000000001</v>
      </c>
    </row>
    <row r="478" spans="1:20" x14ac:dyDescent="0.3">
      <c r="A478" t="s">
        <v>834</v>
      </c>
      <c r="B478" t="s">
        <v>21</v>
      </c>
      <c r="C478" t="s">
        <v>835</v>
      </c>
      <c r="D478" t="s">
        <v>23</v>
      </c>
      <c r="E478" t="s">
        <v>32</v>
      </c>
      <c r="F478" t="s">
        <v>25</v>
      </c>
      <c r="G478" t="s">
        <v>26</v>
      </c>
      <c r="H478">
        <v>33.26</v>
      </c>
      <c r="I478">
        <v>5</v>
      </c>
      <c r="J478">
        <v>8.3149999999999995</v>
      </c>
      <c r="K478">
        <v>166.3</v>
      </c>
      <c r="L478" s="1">
        <v>43805</v>
      </c>
      <c r="M478" s="2">
        <v>0.67361111111111116</v>
      </c>
      <c r="N478" t="s">
        <v>37</v>
      </c>
      <c r="O478">
        <v>166.3</v>
      </c>
      <c r="P478">
        <v>4.7619047620000003</v>
      </c>
      <c r="Q478">
        <v>0</v>
      </c>
      <c r="R478">
        <v>4.2</v>
      </c>
      <c r="S478">
        <v>96.173500000000004</v>
      </c>
      <c r="T478">
        <v>16.840900000000001</v>
      </c>
    </row>
    <row r="479" spans="1:20" x14ac:dyDescent="0.3">
      <c r="A479" t="s">
        <v>836</v>
      </c>
      <c r="B479" t="s">
        <v>21</v>
      </c>
      <c r="C479" t="s">
        <v>475</v>
      </c>
      <c r="D479" t="s">
        <v>31</v>
      </c>
      <c r="E479" t="s">
        <v>32</v>
      </c>
      <c r="F479" t="s">
        <v>36</v>
      </c>
      <c r="G479" t="s">
        <v>26</v>
      </c>
      <c r="H479">
        <v>84.07</v>
      </c>
      <c r="I479">
        <v>5</v>
      </c>
      <c r="J479">
        <v>21.017499999999998</v>
      </c>
      <c r="K479">
        <v>420.35</v>
      </c>
      <c r="L479" s="1">
        <v>43580</v>
      </c>
      <c r="M479" s="2">
        <v>0.70416666666666672</v>
      </c>
      <c r="N479" t="s">
        <v>27</v>
      </c>
      <c r="O479">
        <v>336.28</v>
      </c>
      <c r="P479">
        <v>4.7619047620000003</v>
      </c>
      <c r="Q479">
        <v>84.07</v>
      </c>
      <c r="R479">
        <v>4.62</v>
      </c>
      <c r="S479">
        <v>96.078500000000005</v>
      </c>
      <c r="T479">
        <v>19.763300000000001</v>
      </c>
    </row>
    <row r="480" spans="1:20" x14ac:dyDescent="0.3">
      <c r="A480" t="s">
        <v>837</v>
      </c>
      <c r="B480" t="s">
        <v>21</v>
      </c>
      <c r="C480" t="s">
        <v>636</v>
      </c>
      <c r="D480" t="s">
        <v>53</v>
      </c>
      <c r="E480" t="s">
        <v>32</v>
      </c>
      <c r="F480" t="s">
        <v>36</v>
      </c>
      <c r="G480" t="s">
        <v>26</v>
      </c>
      <c r="H480">
        <v>34.369999999999997</v>
      </c>
      <c r="I480">
        <v>14</v>
      </c>
      <c r="J480">
        <v>24.059000000000001</v>
      </c>
      <c r="K480">
        <v>481.18</v>
      </c>
      <c r="L480" s="1">
        <v>43795</v>
      </c>
      <c r="M480" s="2">
        <v>0.42430555555555555</v>
      </c>
      <c r="N480" t="s">
        <v>27</v>
      </c>
      <c r="O480">
        <v>343.7</v>
      </c>
      <c r="P480">
        <v>4.7619047620000003</v>
      </c>
      <c r="Q480">
        <v>137.47999999999999</v>
      </c>
      <c r="R480">
        <v>8.0399999999999991</v>
      </c>
      <c r="S480">
        <v>96.089100000000002</v>
      </c>
      <c r="T480">
        <v>21.9588</v>
      </c>
    </row>
    <row r="481" spans="1:20" x14ac:dyDescent="0.3">
      <c r="A481" t="s">
        <v>838</v>
      </c>
      <c r="B481" t="s">
        <v>21</v>
      </c>
      <c r="C481" t="s">
        <v>741</v>
      </c>
      <c r="D481" t="s">
        <v>23</v>
      </c>
      <c r="E481" t="s">
        <v>32</v>
      </c>
      <c r="F481" t="s">
        <v>36</v>
      </c>
      <c r="G481" t="s">
        <v>26</v>
      </c>
      <c r="H481">
        <v>38.6</v>
      </c>
      <c r="I481">
        <v>1</v>
      </c>
      <c r="J481">
        <v>1.93</v>
      </c>
      <c r="K481">
        <v>38.6</v>
      </c>
      <c r="L481" s="1">
        <v>43548</v>
      </c>
      <c r="M481" s="2">
        <v>0.47638888888888886</v>
      </c>
      <c r="N481" t="s">
        <v>27</v>
      </c>
      <c r="O481">
        <v>38.6</v>
      </c>
      <c r="P481">
        <v>4.7619047620000003</v>
      </c>
      <c r="Q481">
        <v>0</v>
      </c>
      <c r="R481">
        <v>6.7</v>
      </c>
      <c r="S481">
        <v>96.173500000000004</v>
      </c>
      <c r="T481">
        <v>16.840900000000001</v>
      </c>
    </row>
    <row r="482" spans="1:20" x14ac:dyDescent="0.3">
      <c r="A482" t="s">
        <v>839</v>
      </c>
      <c r="B482" t="s">
        <v>21</v>
      </c>
      <c r="C482" t="s">
        <v>43</v>
      </c>
      <c r="D482" t="s">
        <v>31</v>
      </c>
      <c r="E482" t="s">
        <v>32</v>
      </c>
      <c r="F482" t="s">
        <v>36</v>
      </c>
      <c r="G482" t="s">
        <v>26</v>
      </c>
      <c r="H482">
        <v>65.97</v>
      </c>
      <c r="I482">
        <v>10</v>
      </c>
      <c r="J482">
        <v>32.984999999999999</v>
      </c>
      <c r="K482">
        <v>659.7</v>
      </c>
      <c r="L482" s="1">
        <v>43772</v>
      </c>
      <c r="M482" s="2">
        <v>0.85347222222222219</v>
      </c>
      <c r="N482" t="s">
        <v>33</v>
      </c>
      <c r="O482">
        <v>527.76</v>
      </c>
      <c r="P482">
        <v>4.7619047620000003</v>
      </c>
      <c r="Q482">
        <v>131.94</v>
      </c>
      <c r="R482">
        <v>8.82</v>
      </c>
      <c r="S482">
        <v>96.078500000000005</v>
      </c>
      <c r="T482">
        <v>19.763300000000001</v>
      </c>
    </row>
    <row r="483" spans="1:20" x14ac:dyDescent="0.3">
      <c r="A483" t="s">
        <v>840</v>
      </c>
      <c r="B483" t="s">
        <v>21</v>
      </c>
      <c r="C483" t="s">
        <v>245</v>
      </c>
      <c r="D483" t="s">
        <v>31</v>
      </c>
      <c r="E483" t="s">
        <v>32</v>
      </c>
      <c r="F483" t="s">
        <v>25</v>
      </c>
      <c r="G483" t="s">
        <v>26</v>
      </c>
      <c r="H483">
        <v>32.799999999999997</v>
      </c>
      <c r="I483">
        <v>12</v>
      </c>
      <c r="J483">
        <v>19.68</v>
      </c>
      <c r="K483">
        <v>393.6</v>
      </c>
      <c r="L483" s="1">
        <v>43704</v>
      </c>
      <c r="M483" s="2">
        <v>0.5083333333333333</v>
      </c>
      <c r="N483" t="s">
        <v>33</v>
      </c>
      <c r="O483">
        <v>328</v>
      </c>
      <c r="P483">
        <v>4.7619047620000003</v>
      </c>
      <c r="Q483">
        <v>65.599999999999994</v>
      </c>
      <c r="R483">
        <v>6.51</v>
      </c>
      <c r="S483">
        <v>96.078500000000005</v>
      </c>
      <c r="T483">
        <v>19.763300000000001</v>
      </c>
    </row>
    <row r="484" spans="1:20" x14ac:dyDescent="0.3">
      <c r="A484" t="s">
        <v>841</v>
      </c>
      <c r="B484" t="s">
        <v>21</v>
      </c>
      <c r="C484" t="s">
        <v>842</v>
      </c>
      <c r="D484" t="s">
        <v>23</v>
      </c>
      <c r="E484" t="s">
        <v>32</v>
      </c>
      <c r="F484" t="s">
        <v>36</v>
      </c>
      <c r="G484" t="s">
        <v>26</v>
      </c>
      <c r="H484">
        <v>37.14</v>
      </c>
      <c r="I484">
        <v>5</v>
      </c>
      <c r="J484">
        <v>9.2850000000000001</v>
      </c>
      <c r="K484">
        <v>185.7</v>
      </c>
      <c r="L484" s="1">
        <v>43527</v>
      </c>
      <c r="M484" s="2">
        <v>0.54513888888888884</v>
      </c>
      <c r="N484" t="s">
        <v>27</v>
      </c>
      <c r="O484">
        <v>185.7</v>
      </c>
      <c r="P484">
        <v>4.7619047620000003</v>
      </c>
      <c r="Q484">
        <v>0</v>
      </c>
      <c r="R484">
        <v>5</v>
      </c>
      <c r="S484">
        <v>96.173500000000004</v>
      </c>
      <c r="T484">
        <v>16.840900000000001</v>
      </c>
    </row>
    <row r="485" spans="1:20" x14ac:dyDescent="0.3">
      <c r="A485" t="s">
        <v>843</v>
      </c>
      <c r="B485" t="s">
        <v>21</v>
      </c>
      <c r="C485" t="s">
        <v>844</v>
      </c>
      <c r="D485" t="s">
        <v>53</v>
      </c>
      <c r="E485" t="s">
        <v>24</v>
      </c>
      <c r="F485" t="s">
        <v>36</v>
      </c>
      <c r="G485" t="s">
        <v>26</v>
      </c>
      <c r="H485">
        <v>60.38</v>
      </c>
      <c r="I485">
        <v>20</v>
      </c>
      <c r="J485">
        <v>60.38</v>
      </c>
      <c r="K485">
        <v>1207.5999999999999</v>
      </c>
      <c r="L485" s="1">
        <v>43769</v>
      </c>
      <c r="M485" s="2">
        <v>0.67986111111111114</v>
      </c>
      <c r="N485" t="s">
        <v>33</v>
      </c>
      <c r="O485">
        <v>603.79999999999995</v>
      </c>
      <c r="P485">
        <v>4.7619047620000003</v>
      </c>
      <c r="Q485">
        <v>603.79999999999995</v>
      </c>
      <c r="R485">
        <v>7.2</v>
      </c>
      <c r="S485">
        <v>96.089100000000002</v>
      </c>
      <c r="T485">
        <v>21.9588</v>
      </c>
    </row>
    <row r="486" spans="1:20" x14ac:dyDescent="0.3">
      <c r="A486" t="s">
        <v>845</v>
      </c>
      <c r="B486" t="s">
        <v>21</v>
      </c>
      <c r="C486" t="s">
        <v>600</v>
      </c>
      <c r="D486" t="s">
        <v>31</v>
      </c>
      <c r="E486" t="s">
        <v>24</v>
      </c>
      <c r="F486" t="s">
        <v>25</v>
      </c>
      <c r="G486" t="s">
        <v>26</v>
      </c>
      <c r="H486">
        <v>36.979999999999997</v>
      </c>
      <c r="I486">
        <v>17</v>
      </c>
      <c r="J486">
        <v>31.433</v>
      </c>
      <c r="K486">
        <v>628.66</v>
      </c>
      <c r="L486" s="1">
        <v>43629</v>
      </c>
      <c r="M486" s="2">
        <v>0.82499999999999996</v>
      </c>
      <c r="N486" t="s">
        <v>37</v>
      </c>
      <c r="O486">
        <v>369.8</v>
      </c>
      <c r="P486">
        <v>4.7619047620000003</v>
      </c>
      <c r="Q486">
        <v>258.86</v>
      </c>
      <c r="R486">
        <v>7.35</v>
      </c>
      <c r="S486">
        <v>96.078500000000005</v>
      </c>
      <c r="T486">
        <v>19.763300000000001</v>
      </c>
    </row>
    <row r="487" spans="1:20" x14ac:dyDescent="0.3">
      <c r="A487" t="s">
        <v>846</v>
      </c>
      <c r="B487" t="s">
        <v>21</v>
      </c>
      <c r="C487" t="s">
        <v>280</v>
      </c>
      <c r="D487" t="s">
        <v>53</v>
      </c>
      <c r="E487" t="s">
        <v>24</v>
      </c>
      <c r="F487" t="s">
        <v>25</v>
      </c>
      <c r="G487" t="s">
        <v>26</v>
      </c>
      <c r="H487">
        <v>49.49</v>
      </c>
      <c r="I487">
        <v>8</v>
      </c>
      <c r="J487">
        <v>19.795999999999999</v>
      </c>
      <c r="K487">
        <v>395.92</v>
      </c>
      <c r="L487" s="1">
        <v>43817</v>
      </c>
      <c r="M487" s="2">
        <v>0.64236111111111116</v>
      </c>
      <c r="N487" t="s">
        <v>27</v>
      </c>
      <c r="O487">
        <v>197.96</v>
      </c>
      <c r="P487">
        <v>4.7619047620000003</v>
      </c>
      <c r="Q487">
        <v>197.96</v>
      </c>
      <c r="R487">
        <v>7.92</v>
      </c>
      <c r="S487">
        <v>96.089100000000002</v>
      </c>
      <c r="T487">
        <v>21.9588</v>
      </c>
    </row>
    <row r="488" spans="1:20" x14ac:dyDescent="0.3">
      <c r="A488" t="s">
        <v>847</v>
      </c>
      <c r="B488" t="s">
        <v>21</v>
      </c>
      <c r="C488" t="s">
        <v>141</v>
      </c>
      <c r="D488" t="s">
        <v>53</v>
      </c>
      <c r="E488" t="s">
        <v>32</v>
      </c>
      <c r="F488" t="s">
        <v>25</v>
      </c>
      <c r="G488" t="s">
        <v>26</v>
      </c>
      <c r="H488">
        <v>41.09</v>
      </c>
      <c r="I488">
        <v>14</v>
      </c>
      <c r="J488">
        <v>28.763000000000002</v>
      </c>
      <c r="K488">
        <v>575.26</v>
      </c>
      <c r="L488" s="1">
        <v>43827</v>
      </c>
      <c r="M488" s="2">
        <v>0.61250000000000004</v>
      </c>
      <c r="N488" t="s">
        <v>33</v>
      </c>
      <c r="O488">
        <v>410.9</v>
      </c>
      <c r="P488">
        <v>4.7619047620000003</v>
      </c>
      <c r="Q488">
        <v>164.36</v>
      </c>
      <c r="R488">
        <v>8.76</v>
      </c>
      <c r="S488">
        <v>96.089100000000002</v>
      </c>
      <c r="T488">
        <v>21.9588</v>
      </c>
    </row>
    <row r="489" spans="1:20" x14ac:dyDescent="0.3">
      <c r="A489" t="s">
        <v>848</v>
      </c>
      <c r="B489" t="s">
        <v>21</v>
      </c>
      <c r="C489" t="s">
        <v>687</v>
      </c>
      <c r="D489" t="s">
        <v>23</v>
      </c>
      <c r="E489" t="s">
        <v>32</v>
      </c>
      <c r="F489" t="s">
        <v>36</v>
      </c>
      <c r="G489" t="s">
        <v>100</v>
      </c>
      <c r="H489">
        <v>37.15</v>
      </c>
      <c r="I489">
        <v>4</v>
      </c>
      <c r="J489">
        <v>7.43</v>
      </c>
      <c r="K489">
        <v>148.6</v>
      </c>
      <c r="L489" s="1">
        <v>43798</v>
      </c>
      <c r="M489" s="2">
        <v>0.79097222222222219</v>
      </c>
      <c r="N489" t="s">
        <v>27</v>
      </c>
      <c r="O489">
        <v>148.6</v>
      </c>
      <c r="P489">
        <v>4.7619047620000003</v>
      </c>
      <c r="Q489">
        <v>0</v>
      </c>
      <c r="R489">
        <v>8.3000000000000007</v>
      </c>
      <c r="S489">
        <v>96.173500000000004</v>
      </c>
      <c r="T489">
        <v>16.840900000000001</v>
      </c>
    </row>
    <row r="490" spans="1:20" x14ac:dyDescent="0.3">
      <c r="A490" t="s">
        <v>849</v>
      </c>
      <c r="B490" t="s">
        <v>21</v>
      </c>
      <c r="C490" t="s">
        <v>850</v>
      </c>
      <c r="D490" t="s">
        <v>31</v>
      </c>
      <c r="E490" t="s">
        <v>32</v>
      </c>
      <c r="F490" t="s">
        <v>36</v>
      </c>
      <c r="G490" t="s">
        <v>77</v>
      </c>
      <c r="H490">
        <v>22.96</v>
      </c>
      <c r="I490">
        <v>1</v>
      </c>
      <c r="J490">
        <v>1.1479999999999999</v>
      </c>
      <c r="K490">
        <v>22.96</v>
      </c>
      <c r="L490" s="1">
        <v>43620</v>
      </c>
      <c r="M490" s="2">
        <v>0.86597222222222225</v>
      </c>
      <c r="N490" t="s">
        <v>33</v>
      </c>
      <c r="O490">
        <v>22.96</v>
      </c>
      <c r="P490">
        <v>4.7619047620000003</v>
      </c>
      <c r="Q490">
        <v>0</v>
      </c>
      <c r="R490">
        <v>4.5149999999999997</v>
      </c>
      <c r="S490">
        <v>96.078500000000005</v>
      </c>
      <c r="T490">
        <v>19.763300000000001</v>
      </c>
    </row>
    <row r="491" spans="1:20" x14ac:dyDescent="0.3">
      <c r="A491" t="s">
        <v>851</v>
      </c>
      <c r="B491" t="s">
        <v>21</v>
      </c>
      <c r="C491" t="s">
        <v>706</v>
      </c>
      <c r="D491" t="s">
        <v>53</v>
      </c>
      <c r="E491" t="s">
        <v>24</v>
      </c>
      <c r="F491" t="s">
        <v>25</v>
      </c>
      <c r="G491" t="s">
        <v>77</v>
      </c>
      <c r="H491">
        <v>77.680000000000007</v>
      </c>
      <c r="I491">
        <v>18</v>
      </c>
      <c r="J491">
        <v>69.912000000000006</v>
      </c>
      <c r="K491">
        <v>1398.24</v>
      </c>
      <c r="L491" s="1">
        <v>43628</v>
      </c>
      <c r="M491" s="2">
        <v>0.55625000000000002</v>
      </c>
      <c r="N491" t="s">
        <v>27</v>
      </c>
      <c r="O491">
        <v>699.12</v>
      </c>
      <c r="P491">
        <v>4.7619047620000003</v>
      </c>
      <c r="Q491">
        <v>699.12</v>
      </c>
      <c r="R491">
        <v>10</v>
      </c>
      <c r="S491">
        <v>96.089100000000002</v>
      </c>
      <c r="T491">
        <v>21.9588</v>
      </c>
    </row>
    <row r="492" spans="1:20" x14ac:dyDescent="0.3">
      <c r="A492" t="s">
        <v>852</v>
      </c>
      <c r="B492" t="s">
        <v>21</v>
      </c>
      <c r="C492" t="s">
        <v>853</v>
      </c>
      <c r="D492" t="s">
        <v>53</v>
      </c>
      <c r="E492" t="s">
        <v>32</v>
      </c>
      <c r="F492" t="s">
        <v>25</v>
      </c>
      <c r="G492" t="s">
        <v>100</v>
      </c>
      <c r="H492">
        <v>34.700000000000003</v>
      </c>
      <c r="I492">
        <v>3</v>
      </c>
      <c r="J492">
        <v>5.2050000000000001</v>
      </c>
      <c r="K492">
        <v>104.1</v>
      </c>
      <c r="L492" s="1">
        <v>43542</v>
      </c>
      <c r="M492" s="2">
        <v>0.82499999999999996</v>
      </c>
      <c r="N492" t="s">
        <v>27</v>
      </c>
      <c r="O492">
        <v>69.400000000000006</v>
      </c>
      <c r="P492">
        <v>4.7619047620000003</v>
      </c>
      <c r="Q492">
        <v>34.700000000000003</v>
      </c>
      <c r="R492">
        <v>9.84</v>
      </c>
      <c r="S492">
        <v>96.089100000000002</v>
      </c>
      <c r="T492">
        <v>21.9588</v>
      </c>
    </row>
    <row r="493" spans="1:20" x14ac:dyDescent="0.3">
      <c r="A493" t="s">
        <v>854</v>
      </c>
      <c r="B493" t="s">
        <v>21</v>
      </c>
      <c r="C493" t="s">
        <v>855</v>
      </c>
      <c r="D493" t="s">
        <v>23</v>
      </c>
      <c r="E493" t="s">
        <v>24</v>
      </c>
      <c r="F493" t="s">
        <v>25</v>
      </c>
      <c r="G493" t="s">
        <v>100</v>
      </c>
      <c r="H493">
        <v>19.66</v>
      </c>
      <c r="I493">
        <v>14</v>
      </c>
      <c r="J493">
        <v>13.762</v>
      </c>
      <c r="K493">
        <v>275.24</v>
      </c>
      <c r="L493" s="1">
        <v>43690</v>
      </c>
      <c r="M493" s="2">
        <v>0.76388888888888884</v>
      </c>
      <c r="N493" t="s">
        <v>37</v>
      </c>
      <c r="O493">
        <v>196.6</v>
      </c>
      <c r="P493">
        <v>4.7619047620000003</v>
      </c>
      <c r="Q493">
        <v>78.64</v>
      </c>
      <c r="R493">
        <v>7.2</v>
      </c>
      <c r="S493">
        <v>96.173500000000004</v>
      </c>
      <c r="T493">
        <v>16.840900000000001</v>
      </c>
    </row>
    <row r="494" spans="1:20" x14ac:dyDescent="0.3">
      <c r="A494" t="s">
        <v>856</v>
      </c>
      <c r="B494" t="s">
        <v>21</v>
      </c>
      <c r="C494" t="s">
        <v>175</v>
      </c>
      <c r="D494" t="s">
        <v>53</v>
      </c>
      <c r="E494" t="s">
        <v>24</v>
      </c>
      <c r="F494" t="s">
        <v>25</v>
      </c>
      <c r="G494" t="s">
        <v>26</v>
      </c>
      <c r="H494">
        <v>25.32</v>
      </c>
      <c r="I494">
        <v>15</v>
      </c>
      <c r="J494">
        <v>18.989999999999998</v>
      </c>
      <c r="K494">
        <v>379.8</v>
      </c>
      <c r="L494" s="1">
        <v>43480</v>
      </c>
      <c r="M494" s="2">
        <v>0.85</v>
      </c>
      <c r="N494" t="s">
        <v>27</v>
      </c>
      <c r="O494">
        <v>202.56</v>
      </c>
      <c r="P494">
        <v>4.7619047620000003</v>
      </c>
      <c r="Q494">
        <v>177.24</v>
      </c>
      <c r="R494">
        <v>10</v>
      </c>
      <c r="S494">
        <v>96.089100000000002</v>
      </c>
      <c r="T494">
        <v>21.9588</v>
      </c>
    </row>
    <row r="495" spans="1:20" x14ac:dyDescent="0.3">
      <c r="A495" t="s">
        <v>857</v>
      </c>
      <c r="B495" t="s">
        <v>21</v>
      </c>
      <c r="C495" t="s">
        <v>424</v>
      </c>
      <c r="D495" t="s">
        <v>31</v>
      </c>
      <c r="E495" t="s">
        <v>24</v>
      </c>
      <c r="F495" t="s">
        <v>25</v>
      </c>
      <c r="G495" t="s">
        <v>77</v>
      </c>
      <c r="H495">
        <v>12.12</v>
      </c>
      <c r="I495">
        <v>17</v>
      </c>
      <c r="J495">
        <v>10.302</v>
      </c>
      <c r="K495">
        <v>206.04</v>
      </c>
      <c r="L495" s="1">
        <v>43628</v>
      </c>
      <c r="M495" s="2">
        <v>0.57222222222222219</v>
      </c>
      <c r="N495" t="s">
        <v>37</v>
      </c>
      <c r="O495">
        <v>121.2</v>
      </c>
      <c r="P495">
        <v>4.7619047620000003</v>
      </c>
      <c r="Q495">
        <v>84.84</v>
      </c>
      <c r="R495">
        <v>8.82</v>
      </c>
      <c r="S495">
        <v>96.078500000000005</v>
      </c>
      <c r="T495">
        <v>19.763300000000001</v>
      </c>
    </row>
    <row r="496" spans="1:20" x14ac:dyDescent="0.3">
      <c r="A496" t="s">
        <v>858</v>
      </c>
      <c r="B496" t="s">
        <v>21</v>
      </c>
      <c r="C496" t="s">
        <v>859</v>
      </c>
      <c r="D496" t="s">
        <v>53</v>
      </c>
      <c r="E496" t="s">
        <v>32</v>
      </c>
      <c r="F496" t="s">
        <v>36</v>
      </c>
      <c r="G496" t="s">
        <v>100</v>
      </c>
      <c r="H496">
        <v>99.89</v>
      </c>
      <c r="I496">
        <v>3</v>
      </c>
      <c r="J496">
        <v>14.983499999999999</v>
      </c>
      <c r="K496">
        <v>299.67</v>
      </c>
      <c r="L496" s="1">
        <v>43710</v>
      </c>
      <c r="M496" s="2">
        <v>0.49166666666666664</v>
      </c>
      <c r="N496" t="s">
        <v>27</v>
      </c>
      <c r="O496">
        <v>199.78</v>
      </c>
      <c r="P496">
        <v>4.7619047620000003</v>
      </c>
      <c r="Q496">
        <v>99.89</v>
      </c>
      <c r="R496">
        <v>8.52</v>
      </c>
      <c r="S496">
        <v>96.089100000000002</v>
      </c>
      <c r="T496">
        <v>21.9588</v>
      </c>
    </row>
    <row r="497" spans="1:20" x14ac:dyDescent="0.3">
      <c r="A497" t="s">
        <v>860</v>
      </c>
      <c r="B497" t="s">
        <v>21</v>
      </c>
      <c r="C497" t="s">
        <v>428</v>
      </c>
      <c r="D497" t="s">
        <v>53</v>
      </c>
      <c r="E497" t="s">
        <v>32</v>
      </c>
      <c r="F497" t="s">
        <v>36</v>
      </c>
      <c r="G497" t="s">
        <v>68</v>
      </c>
      <c r="H497">
        <v>75.92</v>
      </c>
      <c r="I497">
        <v>11</v>
      </c>
      <c r="J497">
        <v>41.756</v>
      </c>
      <c r="K497">
        <v>835.12</v>
      </c>
      <c r="L497" s="1">
        <v>43783</v>
      </c>
      <c r="M497" s="2">
        <v>0.59305555555555556</v>
      </c>
      <c r="N497" t="s">
        <v>33</v>
      </c>
      <c r="O497">
        <v>607.36</v>
      </c>
      <c r="P497">
        <v>4.7619047620000003</v>
      </c>
      <c r="Q497">
        <v>227.76</v>
      </c>
      <c r="R497">
        <v>6.6</v>
      </c>
      <c r="S497">
        <v>96.089100000000002</v>
      </c>
      <c r="T497">
        <v>21.9588</v>
      </c>
    </row>
    <row r="498" spans="1:20" x14ac:dyDescent="0.3">
      <c r="A498" t="s">
        <v>861</v>
      </c>
      <c r="B498" t="s">
        <v>21</v>
      </c>
      <c r="C498" t="s">
        <v>862</v>
      </c>
      <c r="D498" t="s">
        <v>31</v>
      </c>
      <c r="E498" t="s">
        <v>32</v>
      </c>
      <c r="F498" t="s">
        <v>25</v>
      </c>
      <c r="G498" t="s">
        <v>60</v>
      </c>
      <c r="H498">
        <v>63.22</v>
      </c>
      <c r="I498">
        <v>2</v>
      </c>
      <c r="J498">
        <v>6.3220000000000001</v>
      </c>
      <c r="K498">
        <v>126.44</v>
      </c>
      <c r="L498" s="1">
        <v>43811</v>
      </c>
      <c r="M498" s="2">
        <v>0.66041666666666665</v>
      </c>
      <c r="N498" t="s">
        <v>33</v>
      </c>
      <c r="O498">
        <v>126.44</v>
      </c>
      <c r="P498">
        <v>4.7619047620000003</v>
      </c>
      <c r="Q498">
        <v>0</v>
      </c>
      <c r="R498">
        <v>8.9250000000000007</v>
      </c>
      <c r="S498">
        <v>96.078500000000005</v>
      </c>
      <c r="T498">
        <v>19.763300000000001</v>
      </c>
    </row>
    <row r="499" spans="1:20" x14ac:dyDescent="0.3">
      <c r="A499" t="s">
        <v>863</v>
      </c>
      <c r="B499" t="s">
        <v>21</v>
      </c>
      <c r="C499" t="s">
        <v>810</v>
      </c>
      <c r="D499" t="s">
        <v>31</v>
      </c>
      <c r="E499" t="s">
        <v>32</v>
      </c>
      <c r="F499" t="s">
        <v>25</v>
      </c>
      <c r="G499" t="s">
        <v>63</v>
      </c>
      <c r="H499">
        <v>90.24</v>
      </c>
      <c r="I499">
        <v>7</v>
      </c>
      <c r="J499">
        <v>31.584</v>
      </c>
      <c r="K499">
        <v>631.67999999999995</v>
      </c>
      <c r="L499" s="1">
        <v>43559</v>
      </c>
      <c r="M499" s="2">
        <v>0.47013888888888888</v>
      </c>
      <c r="N499" t="s">
        <v>33</v>
      </c>
      <c r="O499">
        <v>541.44000000000005</v>
      </c>
      <c r="P499">
        <v>4.7619047620000003</v>
      </c>
      <c r="Q499">
        <v>90.24</v>
      </c>
      <c r="R499">
        <v>6.51</v>
      </c>
      <c r="S499">
        <v>96.078500000000005</v>
      </c>
      <c r="T499">
        <v>19.763300000000001</v>
      </c>
    </row>
    <row r="500" spans="1:20" x14ac:dyDescent="0.3">
      <c r="A500" t="s">
        <v>864</v>
      </c>
      <c r="B500" t="s">
        <v>21</v>
      </c>
      <c r="C500" t="s">
        <v>385</v>
      </c>
      <c r="D500" t="s">
        <v>53</v>
      </c>
      <c r="E500" t="s">
        <v>24</v>
      </c>
      <c r="F500" t="s">
        <v>25</v>
      </c>
      <c r="G500" t="s">
        <v>68</v>
      </c>
      <c r="H500">
        <v>98.13</v>
      </c>
      <c r="I500">
        <v>1</v>
      </c>
      <c r="J500">
        <v>4.9065000000000003</v>
      </c>
      <c r="K500">
        <v>98.13</v>
      </c>
      <c r="L500" s="1">
        <v>43596</v>
      </c>
      <c r="M500" s="2">
        <v>0.73333333333333328</v>
      </c>
      <c r="N500" t="s">
        <v>33</v>
      </c>
      <c r="O500">
        <v>98.13</v>
      </c>
      <c r="P500">
        <v>4.7619047620000003</v>
      </c>
      <c r="Q500">
        <v>0</v>
      </c>
      <c r="R500">
        <v>7.46</v>
      </c>
      <c r="S500">
        <v>96.089100000000002</v>
      </c>
      <c r="T500">
        <v>21.9588</v>
      </c>
    </row>
    <row r="501" spans="1:20" x14ac:dyDescent="0.3">
      <c r="A501" t="s">
        <v>865</v>
      </c>
      <c r="B501" t="s">
        <v>21</v>
      </c>
      <c r="C501" t="s">
        <v>326</v>
      </c>
      <c r="D501" t="s">
        <v>23</v>
      </c>
      <c r="E501" t="s">
        <v>24</v>
      </c>
      <c r="F501" t="s">
        <v>25</v>
      </c>
      <c r="G501" t="s">
        <v>68</v>
      </c>
      <c r="H501">
        <v>51.52</v>
      </c>
      <c r="I501">
        <v>11</v>
      </c>
      <c r="J501">
        <v>28.335999999999999</v>
      </c>
      <c r="K501">
        <v>566.72</v>
      </c>
      <c r="L501" s="1">
        <v>43616</v>
      </c>
      <c r="M501" s="2">
        <v>0.65763888888888888</v>
      </c>
      <c r="N501" t="s">
        <v>33</v>
      </c>
      <c r="O501">
        <v>412.16</v>
      </c>
      <c r="P501">
        <v>4.7619047620000003</v>
      </c>
      <c r="Q501">
        <v>154.56</v>
      </c>
      <c r="R501">
        <v>7.46</v>
      </c>
      <c r="S501">
        <v>96.173500000000004</v>
      </c>
      <c r="T501">
        <v>16.840900000000001</v>
      </c>
    </row>
    <row r="502" spans="1:20" x14ac:dyDescent="0.3">
      <c r="A502" t="s">
        <v>866</v>
      </c>
      <c r="B502" t="s">
        <v>21</v>
      </c>
      <c r="C502" t="s">
        <v>258</v>
      </c>
      <c r="D502" t="s">
        <v>53</v>
      </c>
      <c r="E502" t="s">
        <v>24</v>
      </c>
      <c r="F502" t="s">
        <v>36</v>
      </c>
      <c r="G502" t="s">
        <v>68</v>
      </c>
      <c r="H502">
        <v>73.97</v>
      </c>
      <c r="I502">
        <v>1</v>
      </c>
      <c r="J502">
        <v>3.6985000000000001</v>
      </c>
      <c r="K502">
        <v>73.97</v>
      </c>
      <c r="L502" s="1">
        <v>43659</v>
      </c>
      <c r="M502" s="2">
        <v>0.66180555555555554</v>
      </c>
      <c r="N502" t="s">
        <v>37</v>
      </c>
      <c r="O502">
        <v>73.97</v>
      </c>
      <c r="P502">
        <v>4.7619047620000003</v>
      </c>
      <c r="Q502">
        <v>0</v>
      </c>
      <c r="R502">
        <v>7.46</v>
      </c>
      <c r="S502">
        <v>96.089100000000002</v>
      </c>
      <c r="T502">
        <v>21.9588</v>
      </c>
    </row>
    <row r="503" spans="1:20" x14ac:dyDescent="0.3">
      <c r="A503" t="s">
        <v>867</v>
      </c>
      <c r="B503" t="s">
        <v>21</v>
      </c>
      <c r="C503" t="s">
        <v>868</v>
      </c>
      <c r="D503" t="s">
        <v>31</v>
      </c>
      <c r="E503" t="s">
        <v>24</v>
      </c>
      <c r="F503" t="s">
        <v>25</v>
      </c>
      <c r="G503" t="s">
        <v>100</v>
      </c>
      <c r="H503">
        <v>31.9</v>
      </c>
      <c r="I503">
        <v>1</v>
      </c>
      <c r="J503">
        <v>1.595</v>
      </c>
      <c r="K503">
        <v>31.9</v>
      </c>
      <c r="L503" s="1">
        <v>43676</v>
      </c>
      <c r="M503" s="2">
        <v>0.52777777777777779</v>
      </c>
      <c r="N503" t="s">
        <v>27</v>
      </c>
      <c r="O503">
        <v>31.9</v>
      </c>
      <c r="P503">
        <v>4.7619047620000003</v>
      </c>
      <c r="Q503">
        <v>0</v>
      </c>
      <c r="R503">
        <v>7.46</v>
      </c>
      <c r="S503">
        <v>96.078500000000005</v>
      </c>
      <c r="T503">
        <v>19.763300000000001</v>
      </c>
    </row>
    <row r="504" spans="1:20" x14ac:dyDescent="0.3">
      <c r="A504" t="s">
        <v>869</v>
      </c>
      <c r="B504" t="s">
        <v>29</v>
      </c>
      <c r="C504" t="s">
        <v>173</v>
      </c>
      <c r="D504" t="s">
        <v>31</v>
      </c>
      <c r="E504" t="s">
        <v>32</v>
      </c>
      <c r="F504" t="s">
        <v>36</v>
      </c>
      <c r="G504" t="s">
        <v>77</v>
      </c>
      <c r="H504">
        <v>69.400000000000006</v>
      </c>
      <c r="I504">
        <v>2</v>
      </c>
      <c r="J504">
        <v>6.94</v>
      </c>
      <c r="K504">
        <v>138.80000000000001</v>
      </c>
      <c r="L504" s="1">
        <v>43707</v>
      </c>
      <c r="M504" s="2">
        <v>0.82499999999999996</v>
      </c>
      <c r="N504" t="s">
        <v>27</v>
      </c>
      <c r="O504">
        <v>138.80000000000001</v>
      </c>
      <c r="P504">
        <v>4.7619047620000003</v>
      </c>
      <c r="Q504">
        <v>0</v>
      </c>
      <c r="R504">
        <v>7.46</v>
      </c>
      <c r="S504">
        <v>96.078500000000005</v>
      </c>
      <c r="T504">
        <v>19.763300000000001</v>
      </c>
    </row>
    <row r="505" spans="1:20" x14ac:dyDescent="0.3">
      <c r="A505" t="s">
        <v>870</v>
      </c>
      <c r="B505" t="s">
        <v>51</v>
      </c>
      <c r="C505" t="s">
        <v>129</v>
      </c>
      <c r="D505" t="s">
        <v>53</v>
      </c>
      <c r="E505" t="s">
        <v>32</v>
      </c>
      <c r="F505" t="s">
        <v>25</v>
      </c>
      <c r="G505" t="s">
        <v>68</v>
      </c>
      <c r="H505">
        <v>93.31</v>
      </c>
      <c r="I505">
        <v>3</v>
      </c>
      <c r="J505">
        <v>13.996499999999999</v>
      </c>
      <c r="K505">
        <v>279.93</v>
      </c>
      <c r="L505" s="1">
        <v>43681</v>
      </c>
      <c r="M505" s="2">
        <v>0.74513888888888891</v>
      </c>
      <c r="N505" t="s">
        <v>33</v>
      </c>
      <c r="O505">
        <v>186.62</v>
      </c>
      <c r="P505">
        <v>4.7619047620000003</v>
      </c>
      <c r="Q505">
        <v>93.31</v>
      </c>
      <c r="R505">
        <v>7.46</v>
      </c>
      <c r="S505">
        <v>96.089100000000002</v>
      </c>
      <c r="T505">
        <v>21.9588</v>
      </c>
    </row>
    <row r="506" spans="1:20" x14ac:dyDescent="0.3">
      <c r="A506" t="s">
        <v>871</v>
      </c>
      <c r="B506" t="s">
        <v>51</v>
      </c>
      <c r="C506" t="s">
        <v>872</v>
      </c>
      <c r="D506" t="s">
        <v>53</v>
      </c>
      <c r="E506" t="s">
        <v>32</v>
      </c>
      <c r="F506" t="s">
        <v>36</v>
      </c>
      <c r="G506" t="s">
        <v>68</v>
      </c>
      <c r="H506">
        <v>88.45</v>
      </c>
      <c r="I506">
        <v>1</v>
      </c>
      <c r="J506">
        <v>4.4225000000000003</v>
      </c>
      <c r="K506">
        <v>88.45</v>
      </c>
      <c r="L506" s="1">
        <v>43663</v>
      </c>
      <c r="M506" s="2">
        <v>0.69166666666666665</v>
      </c>
      <c r="N506" t="s">
        <v>37</v>
      </c>
      <c r="O506">
        <v>88.45</v>
      </c>
      <c r="P506">
        <v>4.7619047620000003</v>
      </c>
      <c r="Q506">
        <v>0</v>
      </c>
      <c r="R506">
        <v>7.46</v>
      </c>
      <c r="S506">
        <v>96.089100000000002</v>
      </c>
      <c r="T506">
        <v>21.9588</v>
      </c>
    </row>
    <row r="507" spans="1:20" x14ac:dyDescent="0.3">
      <c r="A507" t="s">
        <v>873</v>
      </c>
      <c r="B507" t="s">
        <v>21</v>
      </c>
      <c r="C507" t="s">
        <v>874</v>
      </c>
      <c r="D507" t="s">
        <v>23</v>
      </c>
      <c r="E507" t="s">
        <v>24</v>
      </c>
      <c r="F507" t="s">
        <v>36</v>
      </c>
      <c r="G507" t="s">
        <v>60</v>
      </c>
      <c r="H507">
        <v>24.18</v>
      </c>
      <c r="I507">
        <v>11</v>
      </c>
      <c r="J507">
        <v>13.298999999999999</v>
      </c>
      <c r="K507">
        <v>265.98</v>
      </c>
      <c r="L507" s="1">
        <v>43758</v>
      </c>
      <c r="M507" s="2">
        <v>0.87083333333333335</v>
      </c>
      <c r="N507" t="s">
        <v>27</v>
      </c>
      <c r="O507">
        <v>193.44</v>
      </c>
      <c r="P507">
        <v>4.7619047620000003</v>
      </c>
      <c r="Q507">
        <v>72.540000000000006</v>
      </c>
      <c r="R507">
        <v>7.46</v>
      </c>
      <c r="S507">
        <v>96.173500000000004</v>
      </c>
      <c r="T507">
        <v>16.840900000000001</v>
      </c>
    </row>
    <row r="508" spans="1:20" x14ac:dyDescent="0.3">
      <c r="A508" t="s">
        <v>875</v>
      </c>
      <c r="B508" t="s">
        <v>51</v>
      </c>
      <c r="C508" t="s">
        <v>117</v>
      </c>
      <c r="D508" t="s">
        <v>53</v>
      </c>
      <c r="E508" t="s">
        <v>24</v>
      </c>
      <c r="F508" t="s">
        <v>25</v>
      </c>
      <c r="G508" t="s">
        <v>68</v>
      </c>
      <c r="H508">
        <v>48.5</v>
      </c>
      <c r="I508">
        <v>6</v>
      </c>
      <c r="J508">
        <v>14.55</v>
      </c>
      <c r="K508">
        <v>291</v>
      </c>
      <c r="L508" s="1">
        <v>43820</v>
      </c>
      <c r="M508" s="2">
        <v>0.53472222222222221</v>
      </c>
      <c r="N508" t="s">
        <v>33</v>
      </c>
      <c r="O508">
        <v>145.5</v>
      </c>
      <c r="P508">
        <v>4.7619047620000003</v>
      </c>
      <c r="Q508">
        <v>145.5</v>
      </c>
      <c r="R508">
        <v>7.46</v>
      </c>
      <c r="S508">
        <v>96.089100000000002</v>
      </c>
      <c r="T508">
        <v>21.9588</v>
      </c>
    </row>
    <row r="509" spans="1:20" x14ac:dyDescent="0.3">
      <c r="A509" t="s">
        <v>876</v>
      </c>
      <c r="B509" t="s">
        <v>51</v>
      </c>
      <c r="C509" t="s">
        <v>175</v>
      </c>
      <c r="D509" t="s">
        <v>53</v>
      </c>
      <c r="E509" t="s">
        <v>32</v>
      </c>
      <c r="F509" t="s">
        <v>25</v>
      </c>
      <c r="G509" t="s">
        <v>63</v>
      </c>
      <c r="H509">
        <v>84.05</v>
      </c>
      <c r="I509">
        <v>8</v>
      </c>
      <c r="J509">
        <v>33.619999999999997</v>
      </c>
      <c r="K509">
        <v>672.4</v>
      </c>
      <c r="L509" s="1">
        <v>43584</v>
      </c>
      <c r="M509" s="2">
        <v>0.45</v>
      </c>
      <c r="N509" t="s">
        <v>37</v>
      </c>
      <c r="O509">
        <v>504.3</v>
      </c>
      <c r="P509">
        <v>4.7619047620000003</v>
      </c>
      <c r="Q509">
        <v>168.1</v>
      </c>
      <c r="R509">
        <v>7.46</v>
      </c>
      <c r="S509">
        <v>96.089100000000002</v>
      </c>
      <c r="T509">
        <v>21.9588</v>
      </c>
    </row>
    <row r="510" spans="1:20" x14ac:dyDescent="0.3">
      <c r="A510" t="s">
        <v>877</v>
      </c>
      <c r="B510" t="s">
        <v>51</v>
      </c>
      <c r="C510" t="s">
        <v>771</v>
      </c>
      <c r="D510" t="s">
        <v>53</v>
      </c>
      <c r="E510" t="s">
        <v>24</v>
      </c>
      <c r="F510" t="s">
        <v>36</v>
      </c>
      <c r="G510" t="s">
        <v>68</v>
      </c>
      <c r="H510">
        <v>61.29</v>
      </c>
      <c r="I510">
        <v>10</v>
      </c>
      <c r="J510">
        <v>30.645</v>
      </c>
      <c r="K510">
        <v>612.9</v>
      </c>
      <c r="L510" s="1">
        <v>43762</v>
      </c>
      <c r="M510" s="2">
        <v>0.60277777777777775</v>
      </c>
      <c r="N510" t="s">
        <v>33</v>
      </c>
      <c r="O510">
        <v>306.45</v>
      </c>
      <c r="P510">
        <v>4.7619047620000003</v>
      </c>
      <c r="Q510">
        <v>306.45</v>
      </c>
      <c r="R510">
        <v>8.4</v>
      </c>
      <c r="S510">
        <v>96.089100000000002</v>
      </c>
      <c r="T510">
        <v>21.9588</v>
      </c>
    </row>
    <row r="511" spans="1:20" x14ac:dyDescent="0.3">
      <c r="A511" t="s">
        <v>878</v>
      </c>
      <c r="B511" t="s">
        <v>29</v>
      </c>
      <c r="C511" t="s">
        <v>407</v>
      </c>
      <c r="D511" t="s">
        <v>31</v>
      </c>
      <c r="E511" t="s">
        <v>24</v>
      </c>
      <c r="F511" t="s">
        <v>25</v>
      </c>
      <c r="G511" t="s">
        <v>68</v>
      </c>
      <c r="H511">
        <v>15.95</v>
      </c>
      <c r="I511">
        <v>10</v>
      </c>
      <c r="J511">
        <v>7.9749999999999996</v>
      </c>
      <c r="K511">
        <v>159.5</v>
      </c>
      <c r="L511" s="1">
        <v>43720</v>
      </c>
      <c r="M511" s="2">
        <v>0.71875</v>
      </c>
      <c r="N511" t="s">
        <v>37</v>
      </c>
      <c r="O511">
        <v>95.7</v>
      </c>
      <c r="P511">
        <v>4.7619047620000003</v>
      </c>
      <c r="Q511">
        <v>63.8</v>
      </c>
      <c r="R511">
        <v>5.3550000000000004</v>
      </c>
      <c r="S511">
        <v>96.078500000000005</v>
      </c>
      <c r="T511">
        <v>19.763300000000001</v>
      </c>
    </row>
    <row r="512" spans="1:20" x14ac:dyDescent="0.3">
      <c r="A512" t="s">
        <v>879</v>
      </c>
      <c r="B512" t="s">
        <v>51</v>
      </c>
      <c r="C512" t="s">
        <v>706</v>
      </c>
      <c r="D512" t="s">
        <v>53</v>
      </c>
      <c r="E512" t="s">
        <v>24</v>
      </c>
      <c r="F512" t="s">
        <v>25</v>
      </c>
      <c r="G512" t="s">
        <v>68</v>
      </c>
      <c r="H512">
        <v>90.74</v>
      </c>
      <c r="I512">
        <v>14</v>
      </c>
      <c r="J512">
        <v>63.518000000000001</v>
      </c>
      <c r="K512">
        <v>1270.3599999999999</v>
      </c>
      <c r="L512" s="1">
        <v>43537</v>
      </c>
      <c r="M512" s="2">
        <v>0.75208333333333333</v>
      </c>
      <c r="N512" t="s">
        <v>37</v>
      </c>
      <c r="O512">
        <v>635.17999999999995</v>
      </c>
      <c r="P512">
        <v>4.7619047620000003</v>
      </c>
      <c r="Q512">
        <v>635.17999999999995</v>
      </c>
      <c r="R512">
        <v>7.44</v>
      </c>
      <c r="S512">
        <v>96.089100000000002</v>
      </c>
      <c r="T512">
        <v>21.9588</v>
      </c>
    </row>
    <row r="513" spans="1:20" x14ac:dyDescent="0.3">
      <c r="A513" t="s">
        <v>880</v>
      </c>
      <c r="B513" t="s">
        <v>21</v>
      </c>
      <c r="C513" t="s">
        <v>881</v>
      </c>
      <c r="D513" t="s">
        <v>23</v>
      </c>
      <c r="E513" t="s">
        <v>32</v>
      </c>
      <c r="F513" t="s">
        <v>25</v>
      </c>
      <c r="G513" t="s">
        <v>68</v>
      </c>
      <c r="H513">
        <v>42.91</v>
      </c>
      <c r="I513">
        <v>5</v>
      </c>
      <c r="J513">
        <v>10.727499999999999</v>
      </c>
      <c r="K513">
        <v>214.55</v>
      </c>
      <c r="L513" s="1">
        <v>43724</v>
      </c>
      <c r="M513" s="2">
        <v>0.72847222222222219</v>
      </c>
      <c r="N513" t="s">
        <v>27</v>
      </c>
      <c r="O513">
        <v>214.55</v>
      </c>
      <c r="P513">
        <v>4.7619047620000003</v>
      </c>
      <c r="Q513">
        <v>0</v>
      </c>
      <c r="R513">
        <v>6.1</v>
      </c>
      <c r="S513">
        <v>96.173500000000004</v>
      </c>
      <c r="T513">
        <v>16.840900000000001</v>
      </c>
    </row>
    <row r="514" spans="1:20" x14ac:dyDescent="0.3">
      <c r="A514" t="s">
        <v>882</v>
      </c>
      <c r="B514" t="s">
        <v>21</v>
      </c>
      <c r="C514" t="s">
        <v>883</v>
      </c>
      <c r="D514" t="s">
        <v>23</v>
      </c>
      <c r="E514" t="s">
        <v>32</v>
      </c>
      <c r="F514" t="s">
        <v>25</v>
      </c>
      <c r="G514" t="s">
        <v>68</v>
      </c>
      <c r="H514">
        <v>54.28</v>
      </c>
      <c r="I514">
        <v>7</v>
      </c>
      <c r="J514">
        <v>18.998000000000001</v>
      </c>
      <c r="K514">
        <v>379.96</v>
      </c>
      <c r="L514" s="1">
        <v>43749</v>
      </c>
      <c r="M514" s="2">
        <v>0.75347222222222221</v>
      </c>
      <c r="N514" t="s">
        <v>27</v>
      </c>
      <c r="O514">
        <v>379.96</v>
      </c>
      <c r="P514">
        <v>4.7619047620000003</v>
      </c>
      <c r="Q514">
        <v>0</v>
      </c>
      <c r="R514">
        <v>9.3000000000000007</v>
      </c>
      <c r="S514">
        <v>96.173500000000004</v>
      </c>
      <c r="T514">
        <v>16.840900000000001</v>
      </c>
    </row>
    <row r="515" spans="1:20" x14ac:dyDescent="0.3">
      <c r="A515" t="s">
        <v>884</v>
      </c>
      <c r="B515" t="s">
        <v>21</v>
      </c>
      <c r="C515" t="s">
        <v>885</v>
      </c>
      <c r="D515" t="s">
        <v>23</v>
      </c>
      <c r="E515" t="s">
        <v>32</v>
      </c>
      <c r="F515" t="s">
        <v>36</v>
      </c>
      <c r="G515" t="s">
        <v>60</v>
      </c>
      <c r="H515">
        <v>99.55</v>
      </c>
      <c r="I515">
        <v>7</v>
      </c>
      <c r="J515">
        <v>34.842500000000001</v>
      </c>
      <c r="K515">
        <v>696.85</v>
      </c>
      <c r="L515" s="1">
        <v>43588</v>
      </c>
      <c r="M515" s="2">
        <v>0.50486111111111109</v>
      </c>
      <c r="N515" t="s">
        <v>33</v>
      </c>
      <c r="O515">
        <v>696.85</v>
      </c>
      <c r="P515">
        <v>4.7619047620000003</v>
      </c>
      <c r="Q515">
        <v>0</v>
      </c>
      <c r="R515">
        <v>7.6</v>
      </c>
      <c r="S515">
        <v>96.173500000000004</v>
      </c>
      <c r="T515">
        <v>16.840900000000001</v>
      </c>
    </row>
    <row r="516" spans="1:20" x14ac:dyDescent="0.3">
      <c r="A516" t="s">
        <v>886</v>
      </c>
      <c r="B516" t="s">
        <v>29</v>
      </c>
      <c r="C516" t="s">
        <v>696</v>
      </c>
      <c r="D516" t="s">
        <v>31</v>
      </c>
      <c r="E516" t="s">
        <v>24</v>
      </c>
      <c r="F516" t="s">
        <v>36</v>
      </c>
      <c r="G516" t="s">
        <v>68</v>
      </c>
      <c r="H516">
        <v>58.39</v>
      </c>
      <c r="I516">
        <v>11</v>
      </c>
      <c r="J516">
        <v>32.1145</v>
      </c>
      <c r="K516">
        <v>642.29</v>
      </c>
      <c r="L516" s="1">
        <v>43684</v>
      </c>
      <c r="M516" s="2">
        <v>0.8256944444444444</v>
      </c>
      <c r="N516" t="s">
        <v>37</v>
      </c>
      <c r="O516">
        <v>408.73</v>
      </c>
      <c r="P516">
        <v>4.7619047620000003</v>
      </c>
      <c r="Q516">
        <v>233.56</v>
      </c>
      <c r="R516">
        <v>8.61</v>
      </c>
      <c r="S516">
        <v>96.078500000000005</v>
      </c>
      <c r="T516">
        <v>19.763300000000001</v>
      </c>
    </row>
    <row r="517" spans="1:20" x14ac:dyDescent="0.3">
      <c r="A517" t="s">
        <v>887</v>
      </c>
      <c r="B517" t="s">
        <v>29</v>
      </c>
      <c r="C517" t="s">
        <v>181</v>
      </c>
      <c r="D517" t="s">
        <v>31</v>
      </c>
      <c r="E517" t="s">
        <v>24</v>
      </c>
      <c r="F517" t="s">
        <v>25</v>
      </c>
      <c r="G517" t="s">
        <v>100</v>
      </c>
      <c r="H517">
        <v>51.47</v>
      </c>
      <c r="I517">
        <v>1</v>
      </c>
      <c r="J517">
        <v>2.5735000000000001</v>
      </c>
      <c r="K517">
        <v>51.47</v>
      </c>
      <c r="L517" s="1">
        <v>43622</v>
      </c>
      <c r="M517" s="2">
        <v>0.66111111111111109</v>
      </c>
      <c r="N517" t="s">
        <v>27</v>
      </c>
      <c r="O517">
        <v>51.47</v>
      </c>
      <c r="P517">
        <v>4.7619047620000003</v>
      </c>
      <c r="Q517">
        <v>0</v>
      </c>
      <c r="R517">
        <v>8.9250000000000007</v>
      </c>
      <c r="S517">
        <v>96.078500000000005</v>
      </c>
      <c r="T517">
        <v>19.763300000000001</v>
      </c>
    </row>
    <row r="518" spans="1:20" x14ac:dyDescent="0.3">
      <c r="A518" t="s">
        <v>888</v>
      </c>
      <c r="B518" t="s">
        <v>51</v>
      </c>
      <c r="C518" t="s">
        <v>889</v>
      </c>
      <c r="D518" t="s">
        <v>53</v>
      </c>
      <c r="E518" t="s">
        <v>24</v>
      </c>
      <c r="F518" t="s">
        <v>36</v>
      </c>
      <c r="G518" t="s">
        <v>26</v>
      </c>
      <c r="H518">
        <v>54.86</v>
      </c>
      <c r="I518">
        <v>10</v>
      </c>
      <c r="J518">
        <v>27.43</v>
      </c>
      <c r="K518">
        <v>548.6</v>
      </c>
      <c r="L518" s="1">
        <v>43714</v>
      </c>
      <c r="M518" s="2">
        <v>0.7</v>
      </c>
      <c r="N518" t="s">
        <v>27</v>
      </c>
      <c r="O518">
        <v>274.3</v>
      </c>
      <c r="P518">
        <v>4.7619047620000003</v>
      </c>
      <c r="Q518">
        <v>274.3</v>
      </c>
      <c r="R518">
        <v>10</v>
      </c>
      <c r="S518">
        <v>96.089100000000002</v>
      </c>
      <c r="T518">
        <v>21.9588</v>
      </c>
    </row>
    <row r="519" spans="1:20" x14ac:dyDescent="0.3">
      <c r="A519" t="s">
        <v>890</v>
      </c>
      <c r="B519" t="s">
        <v>29</v>
      </c>
      <c r="C519" t="s">
        <v>270</v>
      </c>
      <c r="D519" t="s">
        <v>31</v>
      </c>
      <c r="E519" t="s">
        <v>24</v>
      </c>
      <c r="F519" t="s">
        <v>36</v>
      </c>
      <c r="G519" t="s">
        <v>77</v>
      </c>
      <c r="H519">
        <v>39.39</v>
      </c>
      <c r="I519">
        <v>8</v>
      </c>
      <c r="J519">
        <v>15.756</v>
      </c>
      <c r="K519">
        <v>315.12</v>
      </c>
      <c r="L519" s="1">
        <v>43539</v>
      </c>
      <c r="M519" s="2">
        <v>0.86527777777777781</v>
      </c>
      <c r="N519" t="s">
        <v>37</v>
      </c>
      <c r="O519">
        <v>196.95</v>
      </c>
      <c r="P519">
        <v>4.7619047620000003</v>
      </c>
      <c r="Q519">
        <v>118.17</v>
      </c>
      <c r="R519">
        <v>9.1349999999999998</v>
      </c>
      <c r="S519">
        <v>96.078500000000005</v>
      </c>
      <c r="T519">
        <v>19.763300000000001</v>
      </c>
    </row>
    <row r="520" spans="1:20" x14ac:dyDescent="0.3">
      <c r="A520" t="s">
        <v>891</v>
      </c>
      <c r="B520" t="s">
        <v>21</v>
      </c>
      <c r="C520" t="s">
        <v>557</v>
      </c>
      <c r="D520" t="s">
        <v>23</v>
      </c>
      <c r="E520" t="s">
        <v>32</v>
      </c>
      <c r="F520" t="s">
        <v>36</v>
      </c>
      <c r="G520" t="s">
        <v>77</v>
      </c>
      <c r="H520">
        <v>34.729999999999997</v>
      </c>
      <c r="I520">
        <v>2</v>
      </c>
      <c r="J520">
        <v>3.4729999999999999</v>
      </c>
      <c r="K520">
        <v>69.459999999999994</v>
      </c>
      <c r="L520" s="1">
        <v>43686</v>
      </c>
      <c r="M520" s="2">
        <v>0.75972222222222219</v>
      </c>
      <c r="N520" t="s">
        <v>27</v>
      </c>
      <c r="O520">
        <v>69.459999999999994</v>
      </c>
      <c r="P520">
        <v>4.7619047620000003</v>
      </c>
      <c r="Q520">
        <v>0</v>
      </c>
      <c r="R520">
        <v>9.6999999999999993</v>
      </c>
      <c r="S520">
        <v>96.173500000000004</v>
      </c>
      <c r="T520">
        <v>16.840900000000001</v>
      </c>
    </row>
    <row r="521" spans="1:20" x14ac:dyDescent="0.3">
      <c r="A521" t="s">
        <v>892</v>
      </c>
      <c r="B521" t="s">
        <v>29</v>
      </c>
      <c r="C521" t="s">
        <v>893</v>
      </c>
      <c r="D521" t="s">
        <v>31</v>
      </c>
      <c r="E521" t="s">
        <v>24</v>
      </c>
      <c r="F521" t="s">
        <v>36</v>
      </c>
      <c r="G521" t="s">
        <v>68</v>
      </c>
      <c r="H521">
        <v>71.92</v>
      </c>
      <c r="I521">
        <v>8</v>
      </c>
      <c r="J521">
        <v>28.768000000000001</v>
      </c>
      <c r="K521">
        <v>575.36</v>
      </c>
      <c r="L521" s="1">
        <v>43764</v>
      </c>
      <c r="M521" s="2">
        <v>0.62847222222222221</v>
      </c>
      <c r="N521" t="s">
        <v>37</v>
      </c>
      <c r="O521">
        <v>359.6</v>
      </c>
      <c r="P521">
        <v>4.7619047620000003</v>
      </c>
      <c r="Q521">
        <v>215.76</v>
      </c>
      <c r="R521">
        <v>4.5149999999999997</v>
      </c>
      <c r="S521">
        <v>96.078500000000005</v>
      </c>
      <c r="T521">
        <v>19.763300000000001</v>
      </c>
    </row>
    <row r="522" spans="1:20" x14ac:dyDescent="0.3">
      <c r="A522" t="s">
        <v>894</v>
      </c>
      <c r="B522" t="s">
        <v>51</v>
      </c>
      <c r="C522" t="s">
        <v>895</v>
      </c>
      <c r="D522" t="s">
        <v>53</v>
      </c>
      <c r="E522" t="s">
        <v>32</v>
      </c>
      <c r="F522" t="s">
        <v>25</v>
      </c>
      <c r="G522" t="s">
        <v>60</v>
      </c>
      <c r="H522">
        <v>45.71</v>
      </c>
      <c r="I522">
        <v>4</v>
      </c>
      <c r="J522">
        <v>9.1419999999999995</v>
      </c>
      <c r="K522">
        <v>182.84</v>
      </c>
      <c r="L522" s="1">
        <v>43470</v>
      </c>
      <c r="M522" s="2">
        <v>0.44027777777777777</v>
      </c>
      <c r="N522" t="s">
        <v>37</v>
      </c>
      <c r="O522">
        <v>137.13</v>
      </c>
      <c r="P522">
        <v>4.7619047620000003</v>
      </c>
      <c r="Q522">
        <v>45.71</v>
      </c>
      <c r="R522">
        <v>9.24</v>
      </c>
      <c r="S522">
        <v>96.089100000000002</v>
      </c>
      <c r="T522">
        <v>21.9588</v>
      </c>
    </row>
    <row r="523" spans="1:20" x14ac:dyDescent="0.3">
      <c r="A523" t="s">
        <v>896</v>
      </c>
      <c r="B523" t="s">
        <v>29</v>
      </c>
      <c r="C523" t="s">
        <v>897</v>
      </c>
      <c r="D523" t="s">
        <v>31</v>
      </c>
      <c r="E523" t="s">
        <v>24</v>
      </c>
      <c r="F523" t="s">
        <v>25</v>
      </c>
      <c r="G523" t="s">
        <v>77</v>
      </c>
      <c r="H523">
        <v>83.17</v>
      </c>
      <c r="I523">
        <v>10</v>
      </c>
      <c r="J523">
        <v>41.585000000000001</v>
      </c>
      <c r="K523">
        <v>831.7</v>
      </c>
      <c r="L523" s="1">
        <v>43771</v>
      </c>
      <c r="M523" s="2">
        <v>0.47430555555555554</v>
      </c>
      <c r="N523" t="s">
        <v>33</v>
      </c>
      <c r="O523">
        <v>499.02</v>
      </c>
      <c r="P523">
        <v>4.7619047620000003</v>
      </c>
      <c r="Q523">
        <v>332.68</v>
      </c>
      <c r="R523">
        <v>7.665</v>
      </c>
      <c r="S523">
        <v>96.078500000000005</v>
      </c>
      <c r="T523">
        <v>19.763300000000001</v>
      </c>
    </row>
    <row r="524" spans="1:20" x14ac:dyDescent="0.3">
      <c r="A524" t="s">
        <v>898</v>
      </c>
      <c r="B524" t="s">
        <v>21</v>
      </c>
      <c r="C524" t="s">
        <v>899</v>
      </c>
      <c r="D524" t="s">
        <v>23</v>
      </c>
      <c r="E524" t="s">
        <v>24</v>
      </c>
      <c r="F524" t="s">
        <v>25</v>
      </c>
      <c r="G524" t="s">
        <v>77</v>
      </c>
      <c r="H524">
        <v>37.44</v>
      </c>
      <c r="I524">
        <v>8</v>
      </c>
      <c r="J524">
        <v>14.976000000000001</v>
      </c>
      <c r="K524">
        <v>299.52</v>
      </c>
      <c r="L524" s="1">
        <v>43630</v>
      </c>
      <c r="M524" s="2">
        <v>0.57986111111111116</v>
      </c>
      <c r="N524" t="s">
        <v>37</v>
      </c>
      <c r="O524">
        <v>224.64</v>
      </c>
      <c r="P524">
        <v>4.7619047620000003</v>
      </c>
      <c r="Q524">
        <v>74.88</v>
      </c>
      <c r="R524">
        <v>5.9</v>
      </c>
      <c r="S524">
        <v>96.173500000000004</v>
      </c>
      <c r="T524">
        <v>16.840900000000001</v>
      </c>
    </row>
    <row r="525" spans="1:20" x14ac:dyDescent="0.3">
      <c r="A525" t="s">
        <v>900</v>
      </c>
      <c r="B525" t="s">
        <v>29</v>
      </c>
      <c r="C525" t="s">
        <v>598</v>
      </c>
      <c r="D525" t="s">
        <v>31</v>
      </c>
      <c r="E525" t="s">
        <v>32</v>
      </c>
      <c r="F525" t="s">
        <v>36</v>
      </c>
      <c r="G525" t="s">
        <v>26</v>
      </c>
      <c r="H525">
        <v>62.87</v>
      </c>
      <c r="I525">
        <v>2</v>
      </c>
      <c r="J525">
        <v>6.2869999999999999</v>
      </c>
      <c r="K525">
        <v>125.74</v>
      </c>
      <c r="L525" s="1">
        <v>43566</v>
      </c>
      <c r="M525" s="2">
        <v>0.48819444444444443</v>
      </c>
      <c r="N525" t="s">
        <v>33</v>
      </c>
      <c r="O525">
        <v>125.74</v>
      </c>
      <c r="P525">
        <v>4.7619047620000003</v>
      </c>
      <c r="Q525">
        <v>0</v>
      </c>
      <c r="R525">
        <v>5.25</v>
      </c>
      <c r="S525">
        <v>96.078500000000005</v>
      </c>
      <c r="T525">
        <v>19.763300000000001</v>
      </c>
    </row>
    <row r="526" spans="1:20" x14ac:dyDescent="0.3">
      <c r="A526" t="s">
        <v>901</v>
      </c>
      <c r="B526" t="s">
        <v>21</v>
      </c>
      <c r="C526" t="s">
        <v>902</v>
      </c>
      <c r="D526" t="s">
        <v>23</v>
      </c>
      <c r="E526" t="s">
        <v>32</v>
      </c>
      <c r="F526" t="s">
        <v>36</v>
      </c>
      <c r="G526" t="s">
        <v>63</v>
      </c>
      <c r="H526">
        <v>81.709999999999994</v>
      </c>
      <c r="I526">
        <v>6</v>
      </c>
      <c r="J526">
        <v>24.513000000000002</v>
      </c>
      <c r="K526">
        <v>490.26</v>
      </c>
      <c r="L526" s="1">
        <v>43799</v>
      </c>
      <c r="M526" s="2">
        <v>0.60833333333333328</v>
      </c>
      <c r="N526" t="s">
        <v>37</v>
      </c>
      <c r="O526">
        <v>490.26</v>
      </c>
      <c r="P526">
        <v>4.7619047620000003</v>
      </c>
      <c r="Q526">
        <v>0</v>
      </c>
      <c r="R526">
        <v>8</v>
      </c>
      <c r="S526">
        <v>96.173500000000004</v>
      </c>
      <c r="T526">
        <v>16.840900000000001</v>
      </c>
    </row>
    <row r="527" spans="1:20" x14ac:dyDescent="0.3">
      <c r="A527" t="s">
        <v>903</v>
      </c>
      <c r="B527" t="s">
        <v>21</v>
      </c>
      <c r="C527" t="s">
        <v>786</v>
      </c>
      <c r="D527" t="s">
        <v>23</v>
      </c>
      <c r="E527" t="s">
        <v>24</v>
      </c>
      <c r="F527" t="s">
        <v>25</v>
      </c>
      <c r="G527" t="s">
        <v>68</v>
      </c>
      <c r="H527">
        <v>91.41</v>
      </c>
      <c r="I527">
        <v>7</v>
      </c>
      <c r="J527">
        <v>31.993500000000001</v>
      </c>
      <c r="K527">
        <v>639.87</v>
      </c>
      <c r="L527" s="1">
        <v>43735</v>
      </c>
      <c r="M527" s="2">
        <v>0.66874999999999996</v>
      </c>
      <c r="N527" t="s">
        <v>27</v>
      </c>
      <c r="O527">
        <v>457.05</v>
      </c>
      <c r="P527">
        <v>4.7619047620000003</v>
      </c>
      <c r="Q527">
        <v>182.82</v>
      </c>
      <c r="R527">
        <v>7.1</v>
      </c>
      <c r="S527">
        <v>96.173500000000004</v>
      </c>
      <c r="T527">
        <v>16.840900000000001</v>
      </c>
    </row>
    <row r="528" spans="1:20" x14ac:dyDescent="0.3">
      <c r="A528" t="s">
        <v>904</v>
      </c>
      <c r="B528" t="s">
        <v>51</v>
      </c>
      <c r="C528" t="s">
        <v>430</v>
      </c>
      <c r="D528" t="s">
        <v>53</v>
      </c>
      <c r="E528" t="s">
        <v>32</v>
      </c>
      <c r="F528" t="s">
        <v>36</v>
      </c>
      <c r="G528" t="s">
        <v>100</v>
      </c>
      <c r="H528">
        <v>39.21</v>
      </c>
      <c r="I528">
        <v>6</v>
      </c>
      <c r="J528">
        <v>11.763</v>
      </c>
      <c r="K528">
        <v>235.26</v>
      </c>
      <c r="L528" s="1">
        <v>43516</v>
      </c>
      <c r="M528" s="2">
        <v>0.8354166666666667</v>
      </c>
      <c r="N528" t="s">
        <v>37</v>
      </c>
      <c r="O528">
        <v>156.84</v>
      </c>
      <c r="P528">
        <v>4.7619047620000003</v>
      </c>
      <c r="Q528">
        <v>78.42</v>
      </c>
      <c r="R528">
        <v>10</v>
      </c>
      <c r="S528">
        <v>96.089100000000002</v>
      </c>
      <c r="T528">
        <v>21.9588</v>
      </c>
    </row>
    <row r="529" spans="1:20" x14ac:dyDescent="0.3">
      <c r="A529" t="s">
        <v>905</v>
      </c>
      <c r="B529" t="s">
        <v>51</v>
      </c>
      <c r="C529" t="s">
        <v>805</v>
      </c>
      <c r="D529" t="s">
        <v>53</v>
      </c>
      <c r="E529" t="s">
        <v>24</v>
      </c>
      <c r="F529" t="s">
        <v>36</v>
      </c>
      <c r="G529" t="s">
        <v>100</v>
      </c>
      <c r="H529">
        <v>59.86</v>
      </c>
      <c r="I529">
        <v>4</v>
      </c>
      <c r="J529">
        <v>11.972</v>
      </c>
      <c r="K529">
        <v>239.44</v>
      </c>
      <c r="L529" s="1">
        <v>43700</v>
      </c>
      <c r="M529" s="2">
        <v>0.62152777777777779</v>
      </c>
      <c r="N529" t="s">
        <v>27</v>
      </c>
      <c r="O529">
        <v>119.72</v>
      </c>
      <c r="P529">
        <v>4.7619047620000003</v>
      </c>
      <c r="Q529">
        <v>119.72</v>
      </c>
      <c r="R529">
        <v>8.0399999999999991</v>
      </c>
      <c r="S529">
        <v>96.089100000000002</v>
      </c>
      <c r="T529">
        <v>21.9588</v>
      </c>
    </row>
    <row r="530" spans="1:20" x14ac:dyDescent="0.3">
      <c r="A530" t="s">
        <v>906</v>
      </c>
      <c r="B530" t="s">
        <v>51</v>
      </c>
      <c r="C530" t="s">
        <v>134</v>
      </c>
      <c r="D530" t="s">
        <v>53</v>
      </c>
      <c r="E530" t="s">
        <v>24</v>
      </c>
      <c r="F530" t="s">
        <v>25</v>
      </c>
      <c r="G530" t="s">
        <v>63</v>
      </c>
      <c r="H530">
        <v>54.36</v>
      </c>
      <c r="I530">
        <v>20</v>
      </c>
      <c r="J530">
        <v>54.36</v>
      </c>
      <c r="K530">
        <v>1087.2</v>
      </c>
      <c r="L530" s="1">
        <v>43587</v>
      </c>
      <c r="M530" s="2">
        <v>0.4777777777777778</v>
      </c>
      <c r="N530" t="s">
        <v>37</v>
      </c>
      <c r="O530">
        <v>543.6</v>
      </c>
      <c r="P530">
        <v>4.7619047620000003</v>
      </c>
      <c r="Q530">
        <v>543.6</v>
      </c>
      <c r="R530">
        <v>7.32</v>
      </c>
      <c r="S530">
        <v>96.089100000000002</v>
      </c>
      <c r="T530">
        <v>21.9588</v>
      </c>
    </row>
    <row r="531" spans="1:20" x14ac:dyDescent="0.3">
      <c r="A531" t="s">
        <v>907</v>
      </c>
      <c r="B531" t="s">
        <v>21</v>
      </c>
      <c r="C531" t="s">
        <v>326</v>
      </c>
      <c r="D531" t="s">
        <v>23</v>
      </c>
      <c r="E531" t="s">
        <v>32</v>
      </c>
      <c r="F531" t="s">
        <v>36</v>
      </c>
      <c r="G531" t="s">
        <v>68</v>
      </c>
      <c r="H531">
        <v>98.09</v>
      </c>
      <c r="I531">
        <v>9</v>
      </c>
      <c r="J531">
        <v>44.140500000000003</v>
      </c>
      <c r="K531">
        <v>882.81</v>
      </c>
      <c r="L531" s="1">
        <v>43474</v>
      </c>
      <c r="M531" s="2">
        <v>0.82013888888888886</v>
      </c>
      <c r="N531" t="s">
        <v>33</v>
      </c>
      <c r="O531">
        <v>882.81</v>
      </c>
      <c r="P531">
        <v>4.7619047620000003</v>
      </c>
      <c r="Q531">
        <v>0</v>
      </c>
      <c r="R531">
        <v>9.3000000000000007</v>
      </c>
      <c r="S531">
        <v>96.173500000000004</v>
      </c>
      <c r="T531">
        <v>16.840900000000001</v>
      </c>
    </row>
    <row r="532" spans="1:20" x14ac:dyDescent="0.3">
      <c r="A532" t="s">
        <v>908</v>
      </c>
      <c r="B532" t="s">
        <v>21</v>
      </c>
      <c r="C532" t="s">
        <v>543</v>
      </c>
      <c r="D532" t="s">
        <v>23</v>
      </c>
      <c r="E532" t="s">
        <v>32</v>
      </c>
      <c r="F532" t="s">
        <v>36</v>
      </c>
      <c r="G532" t="s">
        <v>26</v>
      </c>
      <c r="H532">
        <v>25.43</v>
      </c>
      <c r="I532">
        <v>6</v>
      </c>
      <c r="J532">
        <v>7.6289999999999996</v>
      </c>
      <c r="K532">
        <v>152.58000000000001</v>
      </c>
      <c r="L532" s="1">
        <v>43772</v>
      </c>
      <c r="M532" s="2">
        <v>0.79236111111111107</v>
      </c>
      <c r="N532" t="s">
        <v>27</v>
      </c>
      <c r="O532">
        <v>152.58000000000001</v>
      </c>
      <c r="P532">
        <v>4.7619047620000003</v>
      </c>
      <c r="Q532">
        <v>0</v>
      </c>
      <c r="R532">
        <v>7</v>
      </c>
      <c r="S532">
        <v>96.173500000000004</v>
      </c>
      <c r="T532">
        <v>16.840900000000001</v>
      </c>
    </row>
    <row r="533" spans="1:20" x14ac:dyDescent="0.3">
      <c r="A533" t="s">
        <v>909</v>
      </c>
      <c r="B533" t="s">
        <v>21</v>
      </c>
      <c r="C533" t="s">
        <v>65</v>
      </c>
      <c r="D533" t="s">
        <v>23</v>
      </c>
      <c r="E533" t="s">
        <v>24</v>
      </c>
      <c r="F533" t="s">
        <v>36</v>
      </c>
      <c r="G533" t="s">
        <v>100</v>
      </c>
      <c r="H533">
        <v>86.68</v>
      </c>
      <c r="I533">
        <v>11</v>
      </c>
      <c r="J533">
        <v>47.673999999999999</v>
      </c>
      <c r="K533">
        <v>953.48</v>
      </c>
      <c r="L533" s="1">
        <v>43528</v>
      </c>
      <c r="M533" s="2">
        <v>0.75277777777777777</v>
      </c>
      <c r="N533" t="s">
        <v>37</v>
      </c>
      <c r="O533">
        <v>693.44</v>
      </c>
      <c r="P533">
        <v>4.7619047620000003</v>
      </c>
      <c r="Q533">
        <v>260.04000000000002</v>
      </c>
      <c r="R533">
        <v>7.2</v>
      </c>
      <c r="S533">
        <v>96.173500000000004</v>
      </c>
      <c r="T533">
        <v>16.840900000000001</v>
      </c>
    </row>
    <row r="534" spans="1:20" x14ac:dyDescent="0.3">
      <c r="A534" t="s">
        <v>910</v>
      </c>
      <c r="B534" t="s">
        <v>51</v>
      </c>
      <c r="C534" t="s">
        <v>629</v>
      </c>
      <c r="D534" t="s">
        <v>53</v>
      </c>
      <c r="E534" t="s">
        <v>32</v>
      </c>
      <c r="F534" t="s">
        <v>36</v>
      </c>
      <c r="G534" t="s">
        <v>60</v>
      </c>
      <c r="H534">
        <v>22.95</v>
      </c>
      <c r="I534">
        <v>14</v>
      </c>
      <c r="J534">
        <v>16.065000000000001</v>
      </c>
      <c r="K534">
        <v>321.3</v>
      </c>
      <c r="L534" s="1">
        <v>43519</v>
      </c>
      <c r="M534" s="2">
        <v>0.80555555555555558</v>
      </c>
      <c r="N534" t="s">
        <v>27</v>
      </c>
      <c r="O534">
        <v>229.5</v>
      </c>
      <c r="P534">
        <v>4.7619047620000003</v>
      </c>
      <c r="Q534">
        <v>91.8</v>
      </c>
      <c r="R534">
        <v>9.84</v>
      </c>
      <c r="S534">
        <v>96.089100000000002</v>
      </c>
      <c r="T534">
        <v>21.9588</v>
      </c>
    </row>
    <row r="535" spans="1:20" x14ac:dyDescent="0.3">
      <c r="A535" t="s">
        <v>911</v>
      </c>
      <c r="B535" t="s">
        <v>29</v>
      </c>
      <c r="C535" t="s">
        <v>109</v>
      </c>
      <c r="D535" t="s">
        <v>31</v>
      </c>
      <c r="E535" t="s">
        <v>32</v>
      </c>
      <c r="F535" t="s">
        <v>25</v>
      </c>
      <c r="G535" t="s">
        <v>63</v>
      </c>
      <c r="H535">
        <v>16.309999999999999</v>
      </c>
      <c r="I535">
        <v>11</v>
      </c>
      <c r="J535">
        <v>8.9704999999999995</v>
      </c>
      <c r="K535">
        <v>179.41</v>
      </c>
      <c r="L535" s="1">
        <v>43500</v>
      </c>
      <c r="M535" s="2">
        <v>0.43819444444444444</v>
      </c>
      <c r="N535" t="s">
        <v>27</v>
      </c>
      <c r="O535">
        <v>146.79</v>
      </c>
      <c r="P535">
        <v>4.7619047620000003</v>
      </c>
      <c r="Q535">
        <v>32.619999999999997</v>
      </c>
      <c r="R535">
        <v>8.82</v>
      </c>
      <c r="S535">
        <v>96.078500000000005</v>
      </c>
      <c r="T535">
        <v>19.763300000000001</v>
      </c>
    </row>
    <row r="536" spans="1:20" x14ac:dyDescent="0.3">
      <c r="A536" t="s">
        <v>912</v>
      </c>
      <c r="B536" t="s">
        <v>21</v>
      </c>
      <c r="C536" t="s">
        <v>913</v>
      </c>
      <c r="D536" t="s">
        <v>23</v>
      </c>
      <c r="E536" t="s">
        <v>32</v>
      </c>
      <c r="F536" t="s">
        <v>25</v>
      </c>
      <c r="G536" t="s">
        <v>77</v>
      </c>
      <c r="H536">
        <v>28.32</v>
      </c>
      <c r="I536">
        <v>5</v>
      </c>
      <c r="J536">
        <v>7.08</v>
      </c>
      <c r="K536">
        <v>141.6</v>
      </c>
      <c r="L536" s="1">
        <v>43696</v>
      </c>
      <c r="M536" s="2">
        <v>0.56111111111111112</v>
      </c>
      <c r="N536" t="s">
        <v>27</v>
      </c>
      <c r="O536">
        <v>141.6</v>
      </c>
      <c r="P536">
        <v>4.7619047620000003</v>
      </c>
      <c r="Q536">
        <v>0</v>
      </c>
      <c r="R536">
        <v>6.2</v>
      </c>
      <c r="S536">
        <v>96.173500000000004</v>
      </c>
      <c r="T536">
        <v>16.840900000000001</v>
      </c>
    </row>
    <row r="537" spans="1:20" x14ac:dyDescent="0.3">
      <c r="A537" t="s">
        <v>914</v>
      </c>
      <c r="B537" t="s">
        <v>29</v>
      </c>
      <c r="C537" t="s">
        <v>915</v>
      </c>
      <c r="D537" t="s">
        <v>31</v>
      </c>
      <c r="E537" t="s">
        <v>32</v>
      </c>
      <c r="F537" t="s">
        <v>36</v>
      </c>
      <c r="G537" t="s">
        <v>77</v>
      </c>
      <c r="H537">
        <v>16.670000000000002</v>
      </c>
      <c r="I537">
        <v>8</v>
      </c>
      <c r="J537">
        <v>6.6680000000000001</v>
      </c>
      <c r="K537">
        <v>133.36000000000001</v>
      </c>
      <c r="L537" s="1">
        <v>43753</v>
      </c>
      <c r="M537" s="2">
        <v>0.48333333333333334</v>
      </c>
      <c r="N537" t="s">
        <v>27</v>
      </c>
      <c r="O537">
        <v>116.69</v>
      </c>
      <c r="P537">
        <v>4.7619047620000003</v>
      </c>
      <c r="Q537">
        <v>16.670000000000002</v>
      </c>
      <c r="R537">
        <v>7.77</v>
      </c>
      <c r="S537">
        <v>96.078500000000005</v>
      </c>
      <c r="T537">
        <v>19.763300000000001</v>
      </c>
    </row>
    <row r="538" spans="1:20" x14ac:dyDescent="0.3">
      <c r="A538" t="s">
        <v>916</v>
      </c>
      <c r="B538" t="s">
        <v>51</v>
      </c>
      <c r="C538" t="s">
        <v>629</v>
      </c>
      <c r="D538" t="s">
        <v>53</v>
      </c>
      <c r="E538" t="s">
        <v>24</v>
      </c>
      <c r="F538" t="s">
        <v>25</v>
      </c>
      <c r="G538" t="s">
        <v>100</v>
      </c>
      <c r="H538">
        <v>73.959999999999994</v>
      </c>
      <c r="I538">
        <v>1</v>
      </c>
      <c r="J538">
        <v>3.698</v>
      </c>
      <c r="K538">
        <v>73.959999999999994</v>
      </c>
      <c r="L538" s="1">
        <v>43513</v>
      </c>
      <c r="M538" s="2">
        <v>0.48055555555555557</v>
      </c>
      <c r="N538" t="s">
        <v>37</v>
      </c>
      <c r="O538">
        <v>73.959999999999994</v>
      </c>
      <c r="P538">
        <v>4.7619047620000003</v>
      </c>
      <c r="Q538">
        <v>0</v>
      </c>
      <c r="R538">
        <v>6</v>
      </c>
      <c r="S538">
        <v>96.089100000000002</v>
      </c>
      <c r="T538">
        <v>21.9588</v>
      </c>
    </row>
    <row r="539" spans="1:20" x14ac:dyDescent="0.3">
      <c r="A539" t="s">
        <v>917</v>
      </c>
      <c r="B539" t="s">
        <v>21</v>
      </c>
      <c r="C539" t="s">
        <v>918</v>
      </c>
      <c r="D539" t="s">
        <v>23</v>
      </c>
      <c r="E539" t="s">
        <v>32</v>
      </c>
      <c r="F539" t="s">
        <v>36</v>
      </c>
      <c r="G539" t="s">
        <v>77</v>
      </c>
      <c r="H539">
        <v>97.94</v>
      </c>
      <c r="I539">
        <v>1</v>
      </c>
      <c r="J539">
        <v>4.8970000000000002</v>
      </c>
      <c r="K539">
        <v>97.94</v>
      </c>
      <c r="L539" s="1">
        <v>43468</v>
      </c>
      <c r="M539" s="2">
        <v>0.48888888888888887</v>
      </c>
      <c r="N539" t="s">
        <v>27</v>
      </c>
      <c r="O539">
        <v>97.94</v>
      </c>
      <c r="P539">
        <v>4.7619047620000003</v>
      </c>
      <c r="Q539">
        <v>0</v>
      </c>
      <c r="R539">
        <v>6.9</v>
      </c>
      <c r="S539">
        <v>96.173500000000004</v>
      </c>
      <c r="T539">
        <v>16.840900000000001</v>
      </c>
    </row>
    <row r="540" spans="1:20" x14ac:dyDescent="0.3">
      <c r="A540" t="s">
        <v>919</v>
      </c>
      <c r="B540" t="s">
        <v>21</v>
      </c>
      <c r="C540" t="s">
        <v>920</v>
      </c>
      <c r="D540" t="s">
        <v>23</v>
      </c>
      <c r="E540" t="s">
        <v>32</v>
      </c>
      <c r="F540" t="s">
        <v>25</v>
      </c>
      <c r="G540" t="s">
        <v>100</v>
      </c>
      <c r="H540">
        <v>73.05</v>
      </c>
      <c r="I540">
        <v>4</v>
      </c>
      <c r="J540">
        <v>14.61</v>
      </c>
      <c r="K540">
        <v>292.2</v>
      </c>
      <c r="L540" s="1">
        <v>43811</v>
      </c>
      <c r="M540" s="2">
        <v>0.71944444444444444</v>
      </c>
      <c r="N540" t="s">
        <v>37</v>
      </c>
      <c r="O540">
        <v>292.2</v>
      </c>
      <c r="P540">
        <v>4.7619047620000003</v>
      </c>
      <c r="Q540">
        <v>0</v>
      </c>
      <c r="R540">
        <v>4.9000000000000004</v>
      </c>
      <c r="S540">
        <v>96.173500000000004</v>
      </c>
      <c r="T540">
        <v>16.840900000000001</v>
      </c>
    </row>
    <row r="541" spans="1:20" x14ac:dyDescent="0.3">
      <c r="A541" t="s">
        <v>921</v>
      </c>
      <c r="B541" t="s">
        <v>29</v>
      </c>
      <c r="C541" t="s">
        <v>156</v>
      </c>
      <c r="D541" t="s">
        <v>31</v>
      </c>
      <c r="E541" t="s">
        <v>24</v>
      </c>
      <c r="F541" t="s">
        <v>25</v>
      </c>
      <c r="G541" t="s">
        <v>63</v>
      </c>
      <c r="H541">
        <v>87.48</v>
      </c>
      <c r="I541">
        <v>10</v>
      </c>
      <c r="J541">
        <v>43.74</v>
      </c>
      <c r="K541">
        <v>874.8</v>
      </c>
      <c r="L541" s="1">
        <v>43576</v>
      </c>
      <c r="M541" s="2">
        <v>0.77986111111111112</v>
      </c>
      <c r="N541" t="s">
        <v>27</v>
      </c>
      <c r="O541">
        <v>524.88</v>
      </c>
      <c r="P541">
        <v>4.7619047620000003</v>
      </c>
      <c r="Q541">
        <v>349.92</v>
      </c>
      <c r="R541">
        <v>5.3550000000000004</v>
      </c>
      <c r="S541">
        <v>96.078500000000005</v>
      </c>
      <c r="T541">
        <v>19.763300000000001</v>
      </c>
    </row>
    <row r="542" spans="1:20" x14ac:dyDescent="0.3">
      <c r="A542" t="s">
        <v>922</v>
      </c>
      <c r="B542" t="s">
        <v>21</v>
      </c>
      <c r="C542" t="s">
        <v>786</v>
      </c>
      <c r="D542" t="s">
        <v>23</v>
      </c>
      <c r="E542" t="s">
        <v>32</v>
      </c>
      <c r="F542" t="s">
        <v>36</v>
      </c>
      <c r="G542" t="s">
        <v>77</v>
      </c>
      <c r="H542">
        <v>30.68</v>
      </c>
      <c r="I542">
        <v>3</v>
      </c>
      <c r="J542">
        <v>4.6020000000000003</v>
      </c>
      <c r="K542">
        <v>92.04</v>
      </c>
      <c r="L542" s="1">
        <v>43717</v>
      </c>
      <c r="M542" s="2">
        <v>0.45833333333333331</v>
      </c>
      <c r="N542" t="s">
        <v>27</v>
      </c>
      <c r="O542">
        <v>92.04</v>
      </c>
      <c r="P542">
        <v>4.7619047620000003</v>
      </c>
      <c r="Q542">
        <v>0</v>
      </c>
      <c r="R542">
        <v>9.1</v>
      </c>
      <c r="S542">
        <v>96.173500000000004</v>
      </c>
      <c r="T542">
        <v>16.840900000000001</v>
      </c>
    </row>
    <row r="543" spans="1:20" x14ac:dyDescent="0.3">
      <c r="A543" t="s">
        <v>923</v>
      </c>
      <c r="B543" t="s">
        <v>29</v>
      </c>
      <c r="C543" t="s">
        <v>924</v>
      </c>
      <c r="D543" t="s">
        <v>31</v>
      </c>
      <c r="E543" t="s">
        <v>24</v>
      </c>
      <c r="F543" t="s">
        <v>36</v>
      </c>
      <c r="G543" t="s">
        <v>26</v>
      </c>
      <c r="H543">
        <v>75.88</v>
      </c>
      <c r="I543">
        <v>1</v>
      </c>
      <c r="J543">
        <v>3.794</v>
      </c>
      <c r="K543">
        <v>75.88</v>
      </c>
      <c r="L543" s="1">
        <v>43796</v>
      </c>
      <c r="M543" s="2">
        <v>0.4375</v>
      </c>
      <c r="N543" t="s">
        <v>37</v>
      </c>
      <c r="O543">
        <v>75.88</v>
      </c>
      <c r="P543">
        <v>4.7619047620000003</v>
      </c>
      <c r="Q543">
        <v>0</v>
      </c>
      <c r="R543">
        <v>7.4550000000000001</v>
      </c>
      <c r="S543">
        <v>96.078500000000005</v>
      </c>
      <c r="T543">
        <v>19.763300000000001</v>
      </c>
    </row>
    <row r="544" spans="1:20" x14ac:dyDescent="0.3">
      <c r="A544" t="s">
        <v>925</v>
      </c>
      <c r="B544" t="s">
        <v>51</v>
      </c>
      <c r="C544" t="s">
        <v>926</v>
      </c>
      <c r="D544" t="s">
        <v>53</v>
      </c>
      <c r="E544" t="s">
        <v>24</v>
      </c>
      <c r="F544" t="s">
        <v>25</v>
      </c>
      <c r="G544" t="s">
        <v>68</v>
      </c>
      <c r="H544">
        <v>20.18</v>
      </c>
      <c r="I544">
        <v>8</v>
      </c>
      <c r="J544">
        <v>8.0719999999999992</v>
      </c>
      <c r="K544">
        <v>161.44</v>
      </c>
      <c r="L544" s="1">
        <v>43656</v>
      </c>
      <c r="M544" s="2">
        <v>0.50972222222222219</v>
      </c>
      <c r="N544" t="s">
        <v>37</v>
      </c>
      <c r="O544">
        <v>80.72</v>
      </c>
      <c r="P544">
        <v>4.7619047620000003</v>
      </c>
      <c r="Q544">
        <v>80.72</v>
      </c>
      <c r="R544">
        <v>6</v>
      </c>
      <c r="S544">
        <v>96.089100000000002</v>
      </c>
      <c r="T544">
        <v>21.9588</v>
      </c>
    </row>
    <row r="545" spans="1:20" x14ac:dyDescent="0.3">
      <c r="A545" t="s">
        <v>927</v>
      </c>
      <c r="B545" t="s">
        <v>29</v>
      </c>
      <c r="C545" t="s">
        <v>209</v>
      </c>
      <c r="D545" t="s">
        <v>31</v>
      </c>
      <c r="E545" t="s">
        <v>24</v>
      </c>
      <c r="F545" t="s">
        <v>36</v>
      </c>
      <c r="G545" t="s">
        <v>60</v>
      </c>
      <c r="H545">
        <v>18.77</v>
      </c>
      <c r="I545">
        <v>10</v>
      </c>
      <c r="J545">
        <v>9.3849999999999998</v>
      </c>
      <c r="K545">
        <v>187.7</v>
      </c>
      <c r="L545" s="1">
        <v>43548</v>
      </c>
      <c r="M545" s="2">
        <v>0.69652777777777775</v>
      </c>
      <c r="N545" t="s">
        <v>37</v>
      </c>
      <c r="O545">
        <v>112.62</v>
      </c>
      <c r="P545">
        <v>4.7619047620000003</v>
      </c>
      <c r="Q545">
        <v>75.08</v>
      </c>
      <c r="R545">
        <v>5.7750000000000004</v>
      </c>
      <c r="S545">
        <v>96.078500000000005</v>
      </c>
      <c r="T545">
        <v>19.763300000000001</v>
      </c>
    </row>
    <row r="546" spans="1:20" x14ac:dyDescent="0.3">
      <c r="A546" t="s">
        <v>928</v>
      </c>
      <c r="B546" t="s">
        <v>51</v>
      </c>
      <c r="C546" t="s">
        <v>469</v>
      </c>
      <c r="D546" t="s">
        <v>53</v>
      </c>
      <c r="E546" t="s">
        <v>32</v>
      </c>
      <c r="F546" t="s">
        <v>25</v>
      </c>
      <c r="G546" t="s">
        <v>63</v>
      </c>
      <c r="H546">
        <v>71.2</v>
      </c>
      <c r="I546">
        <v>1</v>
      </c>
      <c r="J546">
        <v>3.56</v>
      </c>
      <c r="K546">
        <v>71.2</v>
      </c>
      <c r="L546" s="1">
        <v>43617</v>
      </c>
      <c r="M546" s="2">
        <v>0.86111111111111116</v>
      </c>
      <c r="N546" t="s">
        <v>37</v>
      </c>
      <c r="O546">
        <v>71.2</v>
      </c>
      <c r="P546">
        <v>4.7619047620000003</v>
      </c>
      <c r="Q546">
        <v>0</v>
      </c>
      <c r="R546">
        <v>10</v>
      </c>
      <c r="S546">
        <v>96.089100000000002</v>
      </c>
      <c r="T546">
        <v>21.9588</v>
      </c>
    </row>
    <row r="547" spans="1:20" x14ac:dyDescent="0.3">
      <c r="A547" t="s">
        <v>929</v>
      </c>
      <c r="B547" t="s">
        <v>51</v>
      </c>
      <c r="C547" t="s">
        <v>221</v>
      </c>
      <c r="D547" t="s">
        <v>53</v>
      </c>
      <c r="E547" t="s">
        <v>24</v>
      </c>
      <c r="F547" t="s">
        <v>36</v>
      </c>
      <c r="G547" t="s">
        <v>68</v>
      </c>
      <c r="H547">
        <v>38.81</v>
      </c>
      <c r="I547">
        <v>8</v>
      </c>
      <c r="J547">
        <v>15.523999999999999</v>
      </c>
      <c r="K547">
        <v>310.48</v>
      </c>
      <c r="L547" s="1">
        <v>43764</v>
      </c>
      <c r="M547" s="2">
        <v>0.56944444444444442</v>
      </c>
      <c r="N547" t="s">
        <v>27</v>
      </c>
      <c r="O547">
        <v>155.24</v>
      </c>
      <c r="P547">
        <v>4.7619047620000003</v>
      </c>
      <c r="Q547">
        <v>155.24</v>
      </c>
      <c r="R547">
        <v>5.88</v>
      </c>
      <c r="S547">
        <v>96.089100000000002</v>
      </c>
      <c r="T547">
        <v>21.9588</v>
      </c>
    </row>
    <row r="548" spans="1:20" x14ac:dyDescent="0.3">
      <c r="A548" t="s">
        <v>930</v>
      </c>
      <c r="B548" t="s">
        <v>21</v>
      </c>
      <c r="C548" t="s">
        <v>213</v>
      </c>
      <c r="D548" t="s">
        <v>23</v>
      </c>
      <c r="E548" t="s">
        <v>32</v>
      </c>
      <c r="F548" t="s">
        <v>25</v>
      </c>
      <c r="G548" t="s">
        <v>68</v>
      </c>
      <c r="H548">
        <v>29.42</v>
      </c>
      <c r="I548">
        <v>10</v>
      </c>
      <c r="J548">
        <v>14.71</v>
      </c>
      <c r="K548">
        <v>294.2</v>
      </c>
      <c r="L548" s="1">
        <v>43713</v>
      </c>
      <c r="M548" s="2">
        <v>0.68263888888888891</v>
      </c>
      <c r="N548" t="s">
        <v>27</v>
      </c>
      <c r="O548">
        <v>294.2</v>
      </c>
      <c r="P548">
        <v>4.7619047620000003</v>
      </c>
      <c r="Q548">
        <v>0</v>
      </c>
      <c r="R548">
        <v>8.9</v>
      </c>
      <c r="S548">
        <v>96.173500000000004</v>
      </c>
      <c r="T548">
        <v>16.840900000000001</v>
      </c>
    </row>
    <row r="549" spans="1:20" x14ac:dyDescent="0.3">
      <c r="A549" t="s">
        <v>931</v>
      </c>
      <c r="B549" t="s">
        <v>21</v>
      </c>
      <c r="C549" t="s">
        <v>472</v>
      </c>
      <c r="D549" t="s">
        <v>23</v>
      </c>
      <c r="E549" t="s">
        <v>32</v>
      </c>
      <c r="F549" t="s">
        <v>36</v>
      </c>
      <c r="G549" t="s">
        <v>68</v>
      </c>
      <c r="H549">
        <v>60.95</v>
      </c>
      <c r="I549">
        <v>9</v>
      </c>
      <c r="J549">
        <v>27.427499999999998</v>
      </c>
      <c r="K549">
        <v>548.54999999999995</v>
      </c>
      <c r="L549" s="1">
        <v>43674</v>
      </c>
      <c r="M549" s="2">
        <v>0.50555555555555554</v>
      </c>
      <c r="N549" t="s">
        <v>37</v>
      </c>
      <c r="O549">
        <v>548.54999999999995</v>
      </c>
      <c r="P549">
        <v>4.7619047620000003</v>
      </c>
      <c r="Q549">
        <v>0</v>
      </c>
      <c r="R549">
        <v>6</v>
      </c>
      <c r="S549">
        <v>96.173500000000004</v>
      </c>
      <c r="T549">
        <v>16.840900000000001</v>
      </c>
    </row>
    <row r="550" spans="1:20" x14ac:dyDescent="0.3">
      <c r="A550" t="s">
        <v>932</v>
      </c>
      <c r="B550" t="s">
        <v>51</v>
      </c>
      <c r="C550" t="s">
        <v>734</v>
      </c>
      <c r="D550" t="s">
        <v>53</v>
      </c>
      <c r="E550" t="s">
        <v>32</v>
      </c>
      <c r="F550" t="s">
        <v>25</v>
      </c>
      <c r="G550" t="s">
        <v>68</v>
      </c>
      <c r="H550">
        <v>51.54</v>
      </c>
      <c r="I550">
        <v>7</v>
      </c>
      <c r="J550">
        <v>18.039000000000001</v>
      </c>
      <c r="K550">
        <v>360.78</v>
      </c>
      <c r="L550" s="1">
        <v>43583</v>
      </c>
      <c r="M550" s="2">
        <v>0.73958333333333337</v>
      </c>
      <c r="N550" t="s">
        <v>33</v>
      </c>
      <c r="O550">
        <v>257.7</v>
      </c>
      <c r="P550">
        <v>4.7619047620000003</v>
      </c>
      <c r="Q550">
        <v>103.08</v>
      </c>
      <c r="R550">
        <v>5.04</v>
      </c>
      <c r="S550">
        <v>96.089100000000002</v>
      </c>
      <c r="T550">
        <v>21.9588</v>
      </c>
    </row>
    <row r="551" spans="1:20" x14ac:dyDescent="0.3">
      <c r="A551" t="s">
        <v>933</v>
      </c>
      <c r="B551" t="s">
        <v>21</v>
      </c>
      <c r="C551" t="s">
        <v>934</v>
      </c>
      <c r="D551" t="s">
        <v>23</v>
      </c>
      <c r="E551" t="s">
        <v>32</v>
      </c>
      <c r="F551" t="s">
        <v>25</v>
      </c>
      <c r="G551" t="s">
        <v>68</v>
      </c>
      <c r="H551">
        <v>66.06</v>
      </c>
      <c r="I551">
        <v>6</v>
      </c>
      <c r="J551">
        <v>19.818000000000001</v>
      </c>
      <c r="K551">
        <v>396.36</v>
      </c>
      <c r="L551" s="1">
        <v>43483</v>
      </c>
      <c r="M551" s="2">
        <v>0.43611111111111112</v>
      </c>
      <c r="N551" t="s">
        <v>33</v>
      </c>
      <c r="O551">
        <v>396.36</v>
      </c>
      <c r="P551">
        <v>4.7619047620000003</v>
      </c>
      <c r="Q551">
        <v>0</v>
      </c>
      <c r="R551">
        <v>7.3</v>
      </c>
      <c r="S551">
        <v>96.173500000000004</v>
      </c>
      <c r="T551">
        <v>16.840900000000001</v>
      </c>
    </row>
    <row r="552" spans="1:20" x14ac:dyDescent="0.3">
      <c r="A552" t="s">
        <v>935</v>
      </c>
      <c r="B552" t="s">
        <v>51</v>
      </c>
      <c r="C552" t="s">
        <v>440</v>
      </c>
      <c r="D552" t="s">
        <v>53</v>
      </c>
      <c r="E552" t="s">
        <v>32</v>
      </c>
      <c r="F552" t="s">
        <v>36</v>
      </c>
      <c r="G552" t="s">
        <v>68</v>
      </c>
      <c r="H552">
        <v>57.27</v>
      </c>
      <c r="I552">
        <v>4</v>
      </c>
      <c r="J552">
        <v>11.454000000000001</v>
      </c>
      <c r="K552">
        <v>229.08</v>
      </c>
      <c r="L552" s="1">
        <v>43512</v>
      </c>
      <c r="M552" s="2">
        <v>0.85486111111111107</v>
      </c>
      <c r="N552" t="s">
        <v>27</v>
      </c>
      <c r="O552">
        <v>171.81</v>
      </c>
      <c r="P552">
        <v>4.7619047620000003</v>
      </c>
      <c r="Q552">
        <v>57.27</v>
      </c>
      <c r="R552">
        <v>7.8</v>
      </c>
      <c r="S552">
        <v>96.089100000000002</v>
      </c>
      <c r="T552">
        <v>21.9588</v>
      </c>
    </row>
    <row r="553" spans="1:20" x14ac:dyDescent="0.3">
      <c r="A553" t="s">
        <v>936</v>
      </c>
      <c r="B553" t="s">
        <v>51</v>
      </c>
      <c r="C553" t="s">
        <v>102</v>
      </c>
      <c r="D553" t="s">
        <v>53</v>
      </c>
      <c r="E553" t="s">
        <v>32</v>
      </c>
      <c r="F553" t="s">
        <v>25</v>
      </c>
      <c r="G553" t="s">
        <v>68</v>
      </c>
      <c r="H553">
        <v>54.31</v>
      </c>
      <c r="I553">
        <v>13</v>
      </c>
      <c r="J553">
        <v>35.301499999999997</v>
      </c>
      <c r="K553">
        <v>706.03</v>
      </c>
      <c r="L553" s="1">
        <v>43738</v>
      </c>
      <c r="M553" s="2">
        <v>0.45069444444444445</v>
      </c>
      <c r="N553" t="s">
        <v>33</v>
      </c>
      <c r="O553">
        <v>488.79</v>
      </c>
      <c r="P553">
        <v>4.7619047620000003</v>
      </c>
      <c r="Q553">
        <v>217.24</v>
      </c>
      <c r="R553">
        <v>10</v>
      </c>
      <c r="S553">
        <v>96.089100000000002</v>
      </c>
      <c r="T553">
        <v>21.9588</v>
      </c>
    </row>
    <row r="554" spans="1:20" x14ac:dyDescent="0.3">
      <c r="A554" t="s">
        <v>937</v>
      </c>
      <c r="B554" t="s">
        <v>51</v>
      </c>
      <c r="C554" t="s">
        <v>343</v>
      </c>
      <c r="D554" t="s">
        <v>53</v>
      </c>
      <c r="E554" t="s">
        <v>32</v>
      </c>
      <c r="F554" t="s">
        <v>25</v>
      </c>
      <c r="G554" t="s">
        <v>68</v>
      </c>
      <c r="H554">
        <v>58.24</v>
      </c>
      <c r="I554">
        <v>13</v>
      </c>
      <c r="J554">
        <v>37.856000000000002</v>
      </c>
      <c r="K554">
        <v>757.12</v>
      </c>
      <c r="L554" s="1">
        <v>43827</v>
      </c>
      <c r="M554" s="2">
        <v>0.52361111111111114</v>
      </c>
      <c r="N554" t="s">
        <v>33</v>
      </c>
      <c r="O554">
        <v>524.16</v>
      </c>
      <c r="P554">
        <v>4.7619047620000003</v>
      </c>
      <c r="Q554">
        <v>232.96</v>
      </c>
      <c r="R554">
        <v>10</v>
      </c>
      <c r="S554">
        <v>96.089100000000002</v>
      </c>
      <c r="T554">
        <v>21.9588</v>
      </c>
    </row>
    <row r="555" spans="1:20" x14ac:dyDescent="0.3">
      <c r="A555" t="s">
        <v>938</v>
      </c>
      <c r="B555" t="s">
        <v>29</v>
      </c>
      <c r="C555" t="s">
        <v>939</v>
      </c>
      <c r="D555" t="s">
        <v>31</v>
      </c>
      <c r="E555" t="s">
        <v>32</v>
      </c>
      <c r="F555" t="s">
        <v>36</v>
      </c>
      <c r="G555" t="s">
        <v>68</v>
      </c>
      <c r="H555">
        <v>22.21</v>
      </c>
      <c r="I555">
        <v>7</v>
      </c>
      <c r="J555">
        <v>7.7735000000000003</v>
      </c>
      <c r="K555">
        <v>155.47</v>
      </c>
      <c r="L555" s="1">
        <v>43489</v>
      </c>
      <c r="M555" s="2">
        <v>0.43263888888888891</v>
      </c>
      <c r="N555" t="s">
        <v>37</v>
      </c>
      <c r="O555">
        <v>133.26</v>
      </c>
      <c r="P555">
        <v>4.7619047620000003</v>
      </c>
      <c r="Q555">
        <v>22.21</v>
      </c>
      <c r="R555">
        <v>9.0299999999999994</v>
      </c>
      <c r="S555">
        <v>96.078500000000005</v>
      </c>
      <c r="T555">
        <v>19.763300000000001</v>
      </c>
    </row>
    <row r="556" spans="1:20" x14ac:dyDescent="0.3">
      <c r="A556" t="s">
        <v>940</v>
      </c>
      <c r="B556" t="s">
        <v>21</v>
      </c>
      <c r="C556" t="s">
        <v>351</v>
      </c>
      <c r="D556" t="s">
        <v>23</v>
      </c>
      <c r="E556" t="s">
        <v>24</v>
      </c>
      <c r="F556" t="s">
        <v>36</v>
      </c>
      <c r="G556" t="s">
        <v>68</v>
      </c>
      <c r="H556">
        <v>19.32</v>
      </c>
      <c r="I556">
        <v>10</v>
      </c>
      <c r="J556">
        <v>9.66</v>
      </c>
      <c r="K556">
        <v>193.2</v>
      </c>
      <c r="L556" s="1">
        <v>43555</v>
      </c>
      <c r="M556" s="2">
        <v>0.78541666666666665</v>
      </c>
      <c r="N556" t="s">
        <v>33</v>
      </c>
      <c r="O556">
        <v>135.24</v>
      </c>
      <c r="P556">
        <v>4.7619047620000003</v>
      </c>
      <c r="Q556">
        <v>57.96</v>
      </c>
      <c r="R556">
        <v>6.9</v>
      </c>
      <c r="S556">
        <v>96.173500000000004</v>
      </c>
      <c r="T556">
        <v>16.840900000000001</v>
      </c>
    </row>
    <row r="557" spans="1:20" x14ac:dyDescent="0.3">
      <c r="A557" t="s">
        <v>941</v>
      </c>
      <c r="B557" t="s">
        <v>51</v>
      </c>
      <c r="C557" t="s">
        <v>361</v>
      </c>
      <c r="D557" t="s">
        <v>53</v>
      </c>
      <c r="E557" t="s">
        <v>32</v>
      </c>
      <c r="F557" t="s">
        <v>36</v>
      </c>
      <c r="G557" t="s">
        <v>77</v>
      </c>
      <c r="H557">
        <v>37.479999999999997</v>
      </c>
      <c r="I557">
        <v>4</v>
      </c>
      <c r="J557">
        <v>7.4960000000000004</v>
      </c>
      <c r="K557">
        <v>149.91999999999999</v>
      </c>
      <c r="L557" s="1">
        <v>43611</v>
      </c>
      <c r="M557" s="2">
        <v>0.57291666666666663</v>
      </c>
      <c r="N557" t="s">
        <v>37</v>
      </c>
      <c r="O557">
        <v>112.44</v>
      </c>
      <c r="P557">
        <v>4.7619047620000003</v>
      </c>
      <c r="Q557">
        <v>37.479999999999997</v>
      </c>
      <c r="R557">
        <v>9.24</v>
      </c>
      <c r="S557">
        <v>96.089100000000002</v>
      </c>
      <c r="T557">
        <v>21.9588</v>
      </c>
    </row>
    <row r="558" spans="1:20" x14ac:dyDescent="0.3">
      <c r="A558" t="s">
        <v>942</v>
      </c>
      <c r="B558" t="s">
        <v>51</v>
      </c>
      <c r="C558" t="s">
        <v>95</v>
      </c>
      <c r="D558" t="s">
        <v>53</v>
      </c>
      <c r="E558" t="s">
        <v>24</v>
      </c>
      <c r="F558" t="s">
        <v>25</v>
      </c>
      <c r="G558" t="s">
        <v>100</v>
      </c>
      <c r="H558">
        <v>72.040000000000006</v>
      </c>
      <c r="I558">
        <v>4</v>
      </c>
      <c r="J558">
        <v>14.407999999999999</v>
      </c>
      <c r="K558">
        <v>288.16000000000003</v>
      </c>
      <c r="L558" s="1">
        <v>43639</v>
      </c>
      <c r="M558" s="2">
        <v>0.81805555555555554</v>
      </c>
      <c r="N558" t="s">
        <v>33</v>
      </c>
      <c r="O558">
        <v>144.08000000000001</v>
      </c>
      <c r="P558">
        <v>4.7619047620000003</v>
      </c>
      <c r="Q558">
        <v>144.08000000000001</v>
      </c>
      <c r="R558">
        <v>10</v>
      </c>
      <c r="S558">
        <v>96.089100000000002</v>
      </c>
      <c r="T558">
        <v>21.9588</v>
      </c>
    </row>
    <row r="559" spans="1:20" x14ac:dyDescent="0.3">
      <c r="A559" t="s">
        <v>943</v>
      </c>
      <c r="B559" t="s">
        <v>29</v>
      </c>
      <c r="C559" t="s">
        <v>47</v>
      </c>
      <c r="D559" t="s">
        <v>31</v>
      </c>
      <c r="E559" t="s">
        <v>24</v>
      </c>
      <c r="F559" t="s">
        <v>25</v>
      </c>
      <c r="G559" t="s">
        <v>63</v>
      </c>
      <c r="H559">
        <v>98.52</v>
      </c>
      <c r="I559">
        <v>17</v>
      </c>
      <c r="J559">
        <v>83.742000000000004</v>
      </c>
      <c r="K559">
        <v>1674.84</v>
      </c>
      <c r="L559" s="1">
        <v>43512</v>
      </c>
      <c r="M559" s="2">
        <v>0.84930555555555554</v>
      </c>
      <c r="N559" t="s">
        <v>27</v>
      </c>
      <c r="O559">
        <v>985.2</v>
      </c>
      <c r="P559">
        <v>4.7619047620000003</v>
      </c>
      <c r="Q559">
        <v>689.64</v>
      </c>
      <c r="R559">
        <v>4.7249999999999996</v>
      </c>
      <c r="S559">
        <v>96.078500000000005</v>
      </c>
      <c r="T559">
        <v>19.763300000000001</v>
      </c>
    </row>
    <row r="560" spans="1:20" x14ac:dyDescent="0.3">
      <c r="A560" t="s">
        <v>944</v>
      </c>
      <c r="B560" t="s">
        <v>21</v>
      </c>
      <c r="C560" t="s">
        <v>680</v>
      </c>
      <c r="D560" t="s">
        <v>23</v>
      </c>
      <c r="E560" t="s">
        <v>24</v>
      </c>
      <c r="F560" t="s">
        <v>36</v>
      </c>
      <c r="G560" t="s">
        <v>63</v>
      </c>
      <c r="H560">
        <v>41.66</v>
      </c>
      <c r="I560">
        <v>8</v>
      </c>
      <c r="J560">
        <v>16.664000000000001</v>
      </c>
      <c r="K560">
        <v>333.28</v>
      </c>
      <c r="L560" s="1">
        <v>43564</v>
      </c>
      <c r="M560" s="2">
        <v>0.64166666666666672</v>
      </c>
      <c r="N560" t="s">
        <v>27</v>
      </c>
      <c r="O560">
        <v>249.96</v>
      </c>
      <c r="P560">
        <v>4.7619047620000003</v>
      </c>
      <c r="Q560">
        <v>83.32</v>
      </c>
      <c r="R560">
        <v>5.6</v>
      </c>
      <c r="S560">
        <v>96.173500000000004</v>
      </c>
      <c r="T560">
        <v>16.840900000000001</v>
      </c>
    </row>
    <row r="561" spans="1:20" x14ac:dyDescent="0.3">
      <c r="A561" t="s">
        <v>945</v>
      </c>
      <c r="B561" t="s">
        <v>21</v>
      </c>
      <c r="C561" t="s">
        <v>946</v>
      </c>
      <c r="D561" t="s">
        <v>23</v>
      </c>
      <c r="E561" t="s">
        <v>24</v>
      </c>
      <c r="F561" t="s">
        <v>25</v>
      </c>
      <c r="G561" t="s">
        <v>77</v>
      </c>
      <c r="H561">
        <v>72.42</v>
      </c>
      <c r="I561">
        <v>4</v>
      </c>
      <c r="J561">
        <v>14.484</v>
      </c>
      <c r="K561">
        <v>289.68</v>
      </c>
      <c r="L561" s="1">
        <v>43648</v>
      </c>
      <c r="M561" s="2">
        <v>0.70416666666666672</v>
      </c>
      <c r="N561" t="s">
        <v>27</v>
      </c>
      <c r="O561">
        <v>217.26</v>
      </c>
      <c r="P561">
        <v>4.7619047620000003</v>
      </c>
      <c r="Q561">
        <v>72.42</v>
      </c>
      <c r="R561">
        <v>8.1999999999999993</v>
      </c>
      <c r="S561">
        <v>96.173500000000004</v>
      </c>
      <c r="T561">
        <v>16.840900000000001</v>
      </c>
    </row>
    <row r="562" spans="1:20" x14ac:dyDescent="0.3">
      <c r="A562" t="s">
        <v>947</v>
      </c>
      <c r="B562" t="s">
        <v>51</v>
      </c>
      <c r="C562" t="s">
        <v>948</v>
      </c>
      <c r="D562" t="s">
        <v>53</v>
      </c>
      <c r="E562" t="s">
        <v>32</v>
      </c>
      <c r="F562" t="s">
        <v>36</v>
      </c>
      <c r="G562" t="s">
        <v>60</v>
      </c>
      <c r="H562">
        <v>21.58</v>
      </c>
      <c r="I562">
        <v>13</v>
      </c>
      <c r="J562">
        <v>14.026999999999999</v>
      </c>
      <c r="K562">
        <v>280.54000000000002</v>
      </c>
      <c r="L562" s="1">
        <v>43671</v>
      </c>
      <c r="M562" s="2">
        <v>0.52222222222222225</v>
      </c>
      <c r="N562" t="s">
        <v>33</v>
      </c>
      <c r="O562">
        <v>194.22</v>
      </c>
      <c r="P562">
        <v>4.7619047620000003</v>
      </c>
      <c r="Q562">
        <v>86.32</v>
      </c>
      <c r="R562">
        <v>8.76</v>
      </c>
      <c r="S562">
        <v>96.089100000000002</v>
      </c>
      <c r="T562">
        <v>21.9588</v>
      </c>
    </row>
    <row r="563" spans="1:20" x14ac:dyDescent="0.3">
      <c r="A563" t="s">
        <v>949</v>
      </c>
      <c r="B563" t="s">
        <v>29</v>
      </c>
      <c r="C563" t="s">
        <v>950</v>
      </c>
      <c r="D563" t="s">
        <v>31</v>
      </c>
      <c r="E563" t="s">
        <v>32</v>
      </c>
      <c r="F563" t="s">
        <v>36</v>
      </c>
      <c r="G563" t="s">
        <v>63</v>
      </c>
      <c r="H563">
        <v>89.2</v>
      </c>
      <c r="I563">
        <v>12</v>
      </c>
      <c r="J563">
        <v>53.52</v>
      </c>
      <c r="K563">
        <v>1070.4000000000001</v>
      </c>
      <c r="L563" s="1">
        <v>43722</v>
      </c>
      <c r="M563" s="2">
        <v>0.65416666666666667</v>
      </c>
      <c r="N563" t="s">
        <v>37</v>
      </c>
      <c r="O563">
        <v>892</v>
      </c>
      <c r="P563">
        <v>4.7619047620000003</v>
      </c>
      <c r="Q563">
        <v>178.4</v>
      </c>
      <c r="R563">
        <v>4.62</v>
      </c>
      <c r="S563">
        <v>96.078500000000005</v>
      </c>
      <c r="T563">
        <v>19.763300000000001</v>
      </c>
    </row>
    <row r="564" spans="1:20" x14ac:dyDescent="0.3">
      <c r="A564" t="s">
        <v>951</v>
      </c>
      <c r="B564" t="s">
        <v>51</v>
      </c>
      <c r="C564" t="s">
        <v>57</v>
      </c>
      <c r="D564" t="s">
        <v>53</v>
      </c>
      <c r="E564" t="s">
        <v>32</v>
      </c>
      <c r="F564" t="s">
        <v>25</v>
      </c>
      <c r="G564" t="s">
        <v>60</v>
      </c>
      <c r="H564">
        <v>42.42</v>
      </c>
      <c r="I564">
        <v>11</v>
      </c>
      <c r="J564">
        <v>23.331</v>
      </c>
      <c r="K564">
        <v>466.62</v>
      </c>
      <c r="L564" s="1">
        <v>43528</v>
      </c>
      <c r="M564" s="2">
        <v>0.58194444444444449</v>
      </c>
      <c r="N564" t="s">
        <v>27</v>
      </c>
      <c r="O564">
        <v>339.36</v>
      </c>
      <c r="P564">
        <v>4.7619047620000003</v>
      </c>
      <c r="Q564">
        <v>127.26</v>
      </c>
      <c r="R564">
        <v>6.84</v>
      </c>
      <c r="S564">
        <v>96.089100000000002</v>
      </c>
      <c r="T564">
        <v>21.9588</v>
      </c>
    </row>
    <row r="565" spans="1:20" x14ac:dyDescent="0.3">
      <c r="A565" t="s">
        <v>952</v>
      </c>
      <c r="B565" t="s">
        <v>21</v>
      </c>
      <c r="C565" t="s">
        <v>769</v>
      </c>
      <c r="D565" t="s">
        <v>23</v>
      </c>
      <c r="E565" t="s">
        <v>24</v>
      </c>
      <c r="F565" t="s">
        <v>36</v>
      </c>
      <c r="G565" t="s">
        <v>60</v>
      </c>
      <c r="H565">
        <v>74.510000000000005</v>
      </c>
      <c r="I565">
        <v>8</v>
      </c>
      <c r="J565">
        <v>29.803999999999998</v>
      </c>
      <c r="K565">
        <v>596.08000000000004</v>
      </c>
      <c r="L565" s="1">
        <v>43671</v>
      </c>
      <c r="M565" s="2">
        <v>0.63055555555555554</v>
      </c>
      <c r="N565" t="s">
        <v>27</v>
      </c>
      <c r="O565">
        <v>447.06</v>
      </c>
      <c r="P565">
        <v>4.7619047620000003</v>
      </c>
      <c r="Q565">
        <v>149.02000000000001</v>
      </c>
      <c r="R565">
        <v>5</v>
      </c>
      <c r="S565">
        <v>96.173500000000004</v>
      </c>
      <c r="T565">
        <v>16.840900000000001</v>
      </c>
    </row>
    <row r="566" spans="1:20" x14ac:dyDescent="0.3">
      <c r="A566" t="s">
        <v>953</v>
      </c>
      <c r="B566" t="s">
        <v>51</v>
      </c>
      <c r="C566" t="s">
        <v>954</v>
      </c>
      <c r="D566" t="s">
        <v>53</v>
      </c>
      <c r="E566" t="s">
        <v>32</v>
      </c>
      <c r="F566" t="s">
        <v>36</v>
      </c>
      <c r="G566" t="s">
        <v>100</v>
      </c>
      <c r="H566">
        <v>99.25</v>
      </c>
      <c r="I566">
        <v>3</v>
      </c>
      <c r="J566">
        <v>14.887499999999999</v>
      </c>
      <c r="K566">
        <v>297.75</v>
      </c>
      <c r="L566" s="1">
        <v>43754</v>
      </c>
      <c r="M566" s="2">
        <v>0.54305555555555551</v>
      </c>
      <c r="N566" t="s">
        <v>33</v>
      </c>
      <c r="O566">
        <v>198.5</v>
      </c>
      <c r="P566">
        <v>4.7619047620000003</v>
      </c>
      <c r="Q566">
        <v>99.25</v>
      </c>
      <c r="R566">
        <v>10</v>
      </c>
      <c r="S566">
        <v>96.089100000000002</v>
      </c>
      <c r="T566">
        <v>21.9588</v>
      </c>
    </row>
    <row r="567" spans="1:20" x14ac:dyDescent="0.3">
      <c r="A567" t="s">
        <v>955</v>
      </c>
      <c r="B567" t="s">
        <v>21</v>
      </c>
      <c r="C567" t="s">
        <v>526</v>
      </c>
      <c r="D567" t="s">
        <v>23</v>
      </c>
      <c r="E567" t="s">
        <v>32</v>
      </c>
      <c r="F567" t="s">
        <v>25</v>
      </c>
      <c r="G567" t="s">
        <v>63</v>
      </c>
      <c r="H567">
        <v>81.209999999999994</v>
      </c>
      <c r="I567">
        <v>10</v>
      </c>
      <c r="J567">
        <v>40.604999999999997</v>
      </c>
      <c r="K567">
        <v>812.1</v>
      </c>
      <c r="L567" s="1">
        <v>43564</v>
      </c>
      <c r="M567" s="2">
        <v>0.54236111111111107</v>
      </c>
      <c r="N567" t="s">
        <v>37</v>
      </c>
      <c r="O567">
        <v>812.1</v>
      </c>
      <c r="P567">
        <v>4.7619047620000003</v>
      </c>
      <c r="Q567">
        <v>0</v>
      </c>
      <c r="R567">
        <v>6.3</v>
      </c>
      <c r="S567">
        <v>96.173500000000004</v>
      </c>
      <c r="T567">
        <v>16.840900000000001</v>
      </c>
    </row>
    <row r="568" spans="1:20" x14ac:dyDescent="0.3">
      <c r="A568" t="s">
        <v>956</v>
      </c>
      <c r="B568" t="s">
        <v>29</v>
      </c>
      <c r="C568" t="s">
        <v>313</v>
      </c>
      <c r="D568" t="s">
        <v>31</v>
      </c>
      <c r="E568" t="s">
        <v>32</v>
      </c>
      <c r="F568" t="s">
        <v>25</v>
      </c>
      <c r="G568" t="s">
        <v>68</v>
      </c>
      <c r="H568">
        <v>49.33</v>
      </c>
      <c r="I568">
        <v>12</v>
      </c>
      <c r="J568">
        <v>29.597999999999999</v>
      </c>
      <c r="K568">
        <v>591.96</v>
      </c>
      <c r="L568" s="1">
        <v>43798</v>
      </c>
      <c r="M568" s="2">
        <v>0.69444444444444442</v>
      </c>
      <c r="N568" t="s">
        <v>37</v>
      </c>
      <c r="O568">
        <v>493.3</v>
      </c>
      <c r="P568">
        <v>4.7619047620000003</v>
      </c>
      <c r="Q568">
        <v>98.66</v>
      </c>
      <c r="R568">
        <v>9.8699999999999992</v>
      </c>
      <c r="S568">
        <v>96.078500000000005</v>
      </c>
      <c r="T568">
        <v>19.763300000000001</v>
      </c>
    </row>
    <row r="569" spans="1:20" x14ac:dyDescent="0.3">
      <c r="A569" t="s">
        <v>957</v>
      </c>
      <c r="B569" t="s">
        <v>21</v>
      </c>
      <c r="C569" t="s">
        <v>958</v>
      </c>
      <c r="D569" t="s">
        <v>23</v>
      </c>
      <c r="E569" t="s">
        <v>32</v>
      </c>
      <c r="F569" t="s">
        <v>25</v>
      </c>
      <c r="G569" t="s">
        <v>100</v>
      </c>
      <c r="H569">
        <v>65.739999999999995</v>
      </c>
      <c r="I569">
        <v>9</v>
      </c>
      <c r="J569">
        <v>29.582999999999998</v>
      </c>
      <c r="K569">
        <v>591.66</v>
      </c>
      <c r="L569" s="1">
        <v>43810</v>
      </c>
      <c r="M569" s="2">
        <v>0.57986111111111116</v>
      </c>
      <c r="N569" t="s">
        <v>33</v>
      </c>
      <c r="O569">
        <v>591.66</v>
      </c>
      <c r="P569">
        <v>4.7619047620000003</v>
      </c>
      <c r="Q569">
        <v>0</v>
      </c>
      <c r="R569">
        <v>7.7</v>
      </c>
      <c r="S569">
        <v>96.173500000000004</v>
      </c>
      <c r="T569">
        <v>16.840900000000001</v>
      </c>
    </row>
    <row r="570" spans="1:20" x14ac:dyDescent="0.3">
      <c r="A570" t="s">
        <v>959</v>
      </c>
      <c r="B570" t="s">
        <v>51</v>
      </c>
      <c r="C570" t="s">
        <v>333</v>
      </c>
      <c r="D570" t="s">
        <v>53</v>
      </c>
      <c r="E570" t="s">
        <v>32</v>
      </c>
      <c r="F570" t="s">
        <v>25</v>
      </c>
      <c r="G570" t="s">
        <v>100</v>
      </c>
      <c r="H570">
        <v>79.86</v>
      </c>
      <c r="I570">
        <v>10</v>
      </c>
      <c r="J570">
        <v>39.93</v>
      </c>
      <c r="K570">
        <v>798.6</v>
      </c>
      <c r="L570" s="1">
        <v>43575</v>
      </c>
      <c r="M570" s="2">
        <v>0.43958333333333333</v>
      </c>
      <c r="N570" t="s">
        <v>37</v>
      </c>
      <c r="O570">
        <v>559.02</v>
      </c>
      <c r="P570">
        <v>4.7619047620000003</v>
      </c>
      <c r="Q570">
        <v>239.58</v>
      </c>
      <c r="R570">
        <v>6.6</v>
      </c>
      <c r="S570">
        <v>96.089100000000002</v>
      </c>
      <c r="T570">
        <v>21.9588</v>
      </c>
    </row>
    <row r="571" spans="1:20" x14ac:dyDescent="0.3">
      <c r="A571" t="s">
        <v>960</v>
      </c>
      <c r="B571" t="s">
        <v>29</v>
      </c>
      <c r="C571" t="s">
        <v>190</v>
      </c>
      <c r="D571" t="s">
        <v>31</v>
      </c>
      <c r="E571" t="s">
        <v>32</v>
      </c>
      <c r="F571" t="s">
        <v>25</v>
      </c>
      <c r="G571" t="s">
        <v>68</v>
      </c>
      <c r="H571">
        <v>73.98</v>
      </c>
      <c r="I571">
        <v>8</v>
      </c>
      <c r="J571">
        <v>29.591999999999999</v>
      </c>
      <c r="K571">
        <v>591.84</v>
      </c>
      <c r="L571" s="1">
        <v>43614</v>
      </c>
      <c r="M571" s="2">
        <v>0.6958333333333333</v>
      </c>
      <c r="N571" t="s">
        <v>27</v>
      </c>
      <c r="O571">
        <v>517.86</v>
      </c>
      <c r="P571">
        <v>4.7619047620000003</v>
      </c>
      <c r="Q571">
        <v>73.98</v>
      </c>
      <c r="R571">
        <v>4.3049999999999997</v>
      </c>
      <c r="S571">
        <v>96.078500000000005</v>
      </c>
      <c r="T571">
        <v>19.763300000000001</v>
      </c>
    </row>
    <row r="572" spans="1:20" x14ac:dyDescent="0.3">
      <c r="A572" t="s">
        <v>961</v>
      </c>
      <c r="B572" t="s">
        <v>51</v>
      </c>
      <c r="C572" t="s">
        <v>859</v>
      </c>
      <c r="D572" t="s">
        <v>53</v>
      </c>
      <c r="E572" t="s">
        <v>24</v>
      </c>
      <c r="F572" t="s">
        <v>25</v>
      </c>
      <c r="G572" t="s">
        <v>77</v>
      </c>
      <c r="H572">
        <v>82.04</v>
      </c>
      <c r="I572">
        <v>10</v>
      </c>
      <c r="J572">
        <v>41.02</v>
      </c>
      <c r="K572">
        <v>820.4</v>
      </c>
      <c r="L572" s="1">
        <v>43721</v>
      </c>
      <c r="M572" s="2">
        <v>0.71944444444444444</v>
      </c>
      <c r="N572" t="s">
        <v>37</v>
      </c>
      <c r="O572">
        <v>410.2</v>
      </c>
      <c r="P572">
        <v>4.7619047620000003</v>
      </c>
      <c r="Q572">
        <v>410.2</v>
      </c>
      <c r="R572">
        <v>9.1199999999999992</v>
      </c>
      <c r="S572">
        <v>96.089100000000002</v>
      </c>
      <c r="T572">
        <v>21.9588</v>
      </c>
    </row>
    <row r="573" spans="1:20" x14ac:dyDescent="0.3">
      <c r="A573" t="s">
        <v>962</v>
      </c>
      <c r="B573" t="s">
        <v>51</v>
      </c>
      <c r="C573" t="s">
        <v>633</v>
      </c>
      <c r="D573" t="s">
        <v>53</v>
      </c>
      <c r="E573" t="s">
        <v>24</v>
      </c>
      <c r="F573" t="s">
        <v>36</v>
      </c>
      <c r="G573" t="s">
        <v>100</v>
      </c>
      <c r="H573">
        <v>26.67</v>
      </c>
      <c r="I573">
        <v>20</v>
      </c>
      <c r="J573">
        <v>26.67</v>
      </c>
      <c r="K573">
        <v>533.4</v>
      </c>
      <c r="L573" s="1">
        <v>43728</v>
      </c>
      <c r="M573" s="2">
        <v>0.49166666666666664</v>
      </c>
      <c r="N573" t="s">
        <v>33</v>
      </c>
      <c r="O573">
        <v>266.7</v>
      </c>
      <c r="P573">
        <v>4.7619047620000003</v>
      </c>
      <c r="Q573">
        <v>266.7</v>
      </c>
      <c r="R573">
        <v>10</v>
      </c>
      <c r="S573">
        <v>96.089100000000002</v>
      </c>
      <c r="T573">
        <v>21.9588</v>
      </c>
    </row>
    <row r="574" spans="1:20" x14ac:dyDescent="0.3">
      <c r="A574" t="s">
        <v>963</v>
      </c>
      <c r="B574" t="s">
        <v>21</v>
      </c>
      <c r="C574" t="s">
        <v>964</v>
      </c>
      <c r="D574" t="s">
        <v>23</v>
      </c>
      <c r="E574" t="s">
        <v>24</v>
      </c>
      <c r="F574" t="s">
        <v>36</v>
      </c>
      <c r="G574" t="s">
        <v>100</v>
      </c>
      <c r="H574">
        <v>10.130000000000001</v>
      </c>
      <c r="I574">
        <v>10</v>
      </c>
      <c r="J574">
        <v>5.0650000000000004</v>
      </c>
      <c r="K574">
        <v>101.3</v>
      </c>
      <c r="L574" s="1">
        <v>43681</v>
      </c>
      <c r="M574" s="2">
        <v>0.81597222222222221</v>
      </c>
      <c r="N574" t="s">
        <v>27</v>
      </c>
      <c r="O574">
        <v>70.91</v>
      </c>
      <c r="P574">
        <v>4.7619047620000003</v>
      </c>
      <c r="Q574">
        <v>30.39</v>
      </c>
      <c r="R574">
        <v>8.3000000000000007</v>
      </c>
      <c r="S574">
        <v>96.173500000000004</v>
      </c>
      <c r="T574">
        <v>16.840900000000001</v>
      </c>
    </row>
    <row r="575" spans="1:20" x14ac:dyDescent="0.3">
      <c r="A575" t="s">
        <v>965</v>
      </c>
      <c r="B575" t="s">
        <v>51</v>
      </c>
      <c r="C575" t="s">
        <v>791</v>
      </c>
      <c r="D575" t="s">
        <v>53</v>
      </c>
      <c r="E575" t="s">
        <v>32</v>
      </c>
      <c r="F575" t="s">
        <v>36</v>
      </c>
      <c r="G575" t="s">
        <v>100</v>
      </c>
      <c r="H575">
        <v>72.39</v>
      </c>
      <c r="I575">
        <v>3</v>
      </c>
      <c r="J575">
        <v>10.858499999999999</v>
      </c>
      <c r="K575">
        <v>217.17</v>
      </c>
      <c r="L575" s="1">
        <v>43580</v>
      </c>
      <c r="M575" s="2">
        <v>0.82986111111111116</v>
      </c>
      <c r="N575" t="s">
        <v>37</v>
      </c>
      <c r="O575">
        <v>144.78</v>
      </c>
      <c r="P575">
        <v>4.7619047620000003</v>
      </c>
      <c r="Q575">
        <v>72.39</v>
      </c>
      <c r="R575">
        <v>7.46</v>
      </c>
      <c r="S575">
        <v>96.089100000000002</v>
      </c>
      <c r="T575">
        <v>21.9588</v>
      </c>
    </row>
    <row r="576" spans="1:20" x14ac:dyDescent="0.3">
      <c r="A576" t="s">
        <v>966</v>
      </c>
      <c r="B576" t="s">
        <v>21</v>
      </c>
      <c r="C576" t="s">
        <v>504</v>
      </c>
      <c r="D576" t="s">
        <v>23</v>
      </c>
      <c r="E576" t="s">
        <v>32</v>
      </c>
      <c r="F576" t="s">
        <v>36</v>
      </c>
      <c r="G576" t="s">
        <v>100</v>
      </c>
      <c r="H576">
        <v>85.91</v>
      </c>
      <c r="I576">
        <v>5</v>
      </c>
      <c r="J576">
        <v>21.477499999999999</v>
      </c>
      <c r="K576">
        <v>429.55</v>
      </c>
      <c r="L576" s="1">
        <v>43486</v>
      </c>
      <c r="M576" s="2">
        <v>0.60624999999999996</v>
      </c>
      <c r="N576" t="s">
        <v>37</v>
      </c>
      <c r="O576">
        <v>429.55</v>
      </c>
      <c r="P576">
        <v>4.7619047620000003</v>
      </c>
      <c r="Q576">
        <v>0</v>
      </c>
      <c r="R576">
        <v>7.46</v>
      </c>
      <c r="S576">
        <v>96.173500000000004</v>
      </c>
      <c r="T576">
        <v>16.840900000000001</v>
      </c>
    </row>
    <row r="577" spans="1:20" x14ac:dyDescent="0.3">
      <c r="A577" t="s">
        <v>967</v>
      </c>
      <c r="B577" t="s">
        <v>51</v>
      </c>
      <c r="C577" t="s">
        <v>221</v>
      </c>
      <c r="D577" t="s">
        <v>53</v>
      </c>
      <c r="E577" t="s">
        <v>24</v>
      </c>
      <c r="F577" t="s">
        <v>36</v>
      </c>
      <c r="G577" t="s">
        <v>100</v>
      </c>
      <c r="H577">
        <v>81.31</v>
      </c>
      <c r="I577">
        <v>14</v>
      </c>
      <c r="J577">
        <v>56.917000000000002</v>
      </c>
      <c r="K577">
        <v>1138.3399999999999</v>
      </c>
      <c r="L577" s="1">
        <v>43815</v>
      </c>
      <c r="M577" s="2">
        <v>0.8256944444444444</v>
      </c>
      <c r="N577" t="s">
        <v>27</v>
      </c>
      <c r="O577">
        <v>569.16999999999996</v>
      </c>
      <c r="P577">
        <v>4.7619047620000003</v>
      </c>
      <c r="Q577">
        <v>569.16999999999996</v>
      </c>
      <c r="R577">
        <v>7.46</v>
      </c>
      <c r="S577">
        <v>96.089100000000002</v>
      </c>
      <c r="T577">
        <v>21.9588</v>
      </c>
    </row>
    <row r="578" spans="1:20" x14ac:dyDescent="0.3">
      <c r="A578" t="s">
        <v>968</v>
      </c>
      <c r="B578" t="s">
        <v>51</v>
      </c>
      <c r="C578" t="s">
        <v>751</v>
      </c>
      <c r="D578" t="s">
        <v>53</v>
      </c>
      <c r="E578" t="s">
        <v>32</v>
      </c>
      <c r="F578" t="s">
        <v>36</v>
      </c>
      <c r="G578" t="s">
        <v>100</v>
      </c>
      <c r="H578">
        <v>60.3</v>
      </c>
      <c r="I578">
        <v>6</v>
      </c>
      <c r="J578">
        <v>18.09</v>
      </c>
      <c r="K578">
        <v>361.8</v>
      </c>
      <c r="L578" s="1">
        <v>43635</v>
      </c>
      <c r="M578" s="2">
        <v>0.77986111111111112</v>
      </c>
      <c r="N578" t="s">
        <v>33</v>
      </c>
      <c r="O578">
        <v>241.2</v>
      </c>
      <c r="P578">
        <v>4.7619047620000003</v>
      </c>
      <c r="Q578">
        <v>120.6</v>
      </c>
      <c r="R578">
        <v>7.46</v>
      </c>
      <c r="S578">
        <v>96.089100000000002</v>
      </c>
      <c r="T578">
        <v>21.9588</v>
      </c>
    </row>
    <row r="579" spans="1:20" x14ac:dyDescent="0.3">
      <c r="A579" t="s">
        <v>969</v>
      </c>
      <c r="B579" t="s">
        <v>29</v>
      </c>
      <c r="C579" t="s">
        <v>209</v>
      </c>
      <c r="D579" t="s">
        <v>31</v>
      </c>
      <c r="E579" t="s">
        <v>32</v>
      </c>
      <c r="F579" t="s">
        <v>36</v>
      </c>
      <c r="G579" t="s">
        <v>100</v>
      </c>
      <c r="H579">
        <v>31.77</v>
      </c>
      <c r="I579">
        <v>5</v>
      </c>
      <c r="J579">
        <v>7.9424999999999999</v>
      </c>
      <c r="K579">
        <v>158.85</v>
      </c>
      <c r="L579" s="1">
        <v>43475</v>
      </c>
      <c r="M579" s="2">
        <v>0.61319444444444449</v>
      </c>
      <c r="N579" t="s">
        <v>27</v>
      </c>
      <c r="O579">
        <v>127.08</v>
      </c>
      <c r="P579">
        <v>4.7619047620000003</v>
      </c>
      <c r="Q579">
        <v>31.77</v>
      </c>
      <c r="R579">
        <v>7.46</v>
      </c>
      <c r="S579">
        <v>96.078500000000005</v>
      </c>
      <c r="T579">
        <v>19.763300000000001</v>
      </c>
    </row>
    <row r="580" spans="1:20" x14ac:dyDescent="0.3">
      <c r="A580" t="s">
        <v>970</v>
      </c>
      <c r="B580" t="s">
        <v>21</v>
      </c>
      <c r="C580" t="s">
        <v>971</v>
      </c>
      <c r="D580" t="s">
        <v>23</v>
      </c>
      <c r="E580" t="s">
        <v>32</v>
      </c>
      <c r="F580" t="s">
        <v>25</v>
      </c>
      <c r="G580" t="s">
        <v>100</v>
      </c>
      <c r="H580">
        <v>64.27</v>
      </c>
      <c r="I580">
        <v>4</v>
      </c>
      <c r="J580">
        <v>12.853999999999999</v>
      </c>
      <c r="K580">
        <v>257.08</v>
      </c>
      <c r="L580" s="1">
        <v>43811</v>
      </c>
      <c r="M580" s="2">
        <v>0.57916666666666672</v>
      </c>
      <c r="N580" t="s">
        <v>33</v>
      </c>
      <c r="O580">
        <v>257.08</v>
      </c>
      <c r="P580">
        <v>4.7619047620000003</v>
      </c>
      <c r="Q580">
        <v>0</v>
      </c>
      <c r="R580">
        <v>7.46</v>
      </c>
      <c r="S580">
        <v>96.173500000000004</v>
      </c>
      <c r="T580">
        <v>16.840900000000001</v>
      </c>
    </row>
    <row r="581" spans="1:20" x14ac:dyDescent="0.3">
      <c r="A581" t="s">
        <v>972</v>
      </c>
      <c r="B581" t="s">
        <v>51</v>
      </c>
      <c r="C581" t="s">
        <v>498</v>
      </c>
      <c r="D581" t="s">
        <v>53</v>
      </c>
      <c r="E581" t="s">
        <v>32</v>
      </c>
      <c r="F581" t="s">
        <v>36</v>
      </c>
      <c r="G581" t="s">
        <v>100</v>
      </c>
      <c r="H581">
        <v>69.510000000000005</v>
      </c>
      <c r="I581">
        <v>3</v>
      </c>
      <c r="J581">
        <v>10.426500000000001</v>
      </c>
      <c r="K581">
        <v>208.53</v>
      </c>
      <c r="L581" s="1">
        <v>43780</v>
      </c>
      <c r="M581" s="2">
        <v>0.51041666666666663</v>
      </c>
      <c r="N581" t="s">
        <v>27</v>
      </c>
      <c r="O581">
        <v>139.02000000000001</v>
      </c>
      <c r="P581">
        <v>4.7619047620000003</v>
      </c>
      <c r="Q581">
        <v>69.510000000000005</v>
      </c>
      <c r="R581">
        <v>7.46</v>
      </c>
      <c r="S581">
        <v>96.089100000000002</v>
      </c>
      <c r="T581">
        <v>21.9588</v>
      </c>
    </row>
    <row r="582" spans="1:20" x14ac:dyDescent="0.3">
      <c r="A582" t="s">
        <v>973</v>
      </c>
      <c r="B582" t="s">
        <v>29</v>
      </c>
      <c r="C582" t="s">
        <v>974</v>
      </c>
      <c r="D582" t="s">
        <v>31</v>
      </c>
      <c r="E582" t="s">
        <v>32</v>
      </c>
      <c r="F582" t="s">
        <v>36</v>
      </c>
      <c r="G582" t="s">
        <v>63</v>
      </c>
      <c r="H582">
        <v>27.22</v>
      </c>
      <c r="I582">
        <v>4</v>
      </c>
      <c r="J582">
        <v>5.444</v>
      </c>
      <c r="K582">
        <v>108.88</v>
      </c>
      <c r="L582" s="1">
        <v>43736</v>
      </c>
      <c r="M582" s="2">
        <v>0.52569444444444446</v>
      </c>
      <c r="N582" t="s">
        <v>33</v>
      </c>
      <c r="O582">
        <v>81.66</v>
      </c>
      <c r="P582">
        <v>4.7619047620000003</v>
      </c>
      <c r="Q582">
        <v>27.22</v>
      </c>
      <c r="R582">
        <v>7.46</v>
      </c>
      <c r="S582">
        <v>96.078500000000005</v>
      </c>
      <c r="T582">
        <v>19.763300000000001</v>
      </c>
    </row>
    <row r="583" spans="1:20" x14ac:dyDescent="0.3">
      <c r="A583" t="s">
        <v>975</v>
      </c>
      <c r="B583" t="s">
        <v>21</v>
      </c>
      <c r="C583" t="s">
        <v>976</v>
      </c>
      <c r="D583" t="s">
        <v>23</v>
      </c>
      <c r="E583" t="s">
        <v>24</v>
      </c>
      <c r="F583" t="s">
        <v>25</v>
      </c>
      <c r="G583" t="s">
        <v>26</v>
      </c>
      <c r="H583">
        <v>77.680000000000007</v>
      </c>
      <c r="I583">
        <v>6</v>
      </c>
      <c r="J583">
        <v>23.303999999999998</v>
      </c>
      <c r="K583">
        <v>466.08</v>
      </c>
      <c r="L583" s="1">
        <v>43602</v>
      </c>
      <c r="M583" s="2">
        <v>0.82916666666666672</v>
      </c>
      <c r="N583" t="s">
        <v>33</v>
      </c>
      <c r="O583">
        <v>310.72000000000003</v>
      </c>
      <c r="P583">
        <v>4.7619047620000003</v>
      </c>
      <c r="Q583">
        <v>155.36000000000001</v>
      </c>
      <c r="R583">
        <v>8.4</v>
      </c>
      <c r="S583">
        <v>96.173500000000004</v>
      </c>
      <c r="T583">
        <v>16.840900000000001</v>
      </c>
    </row>
    <row r="584" spans="1:20" x14ac:dyDescent="0.3">
      <c r="A584" t="s">
        <v>977</v>
      </c>
      <c r="B584" t="s">
        <v>29</v>
      </c>
      <c r="C584" t="s">
        <v>195</v>
      </c>
      <c r="D584" t="s">
        <v>31</v>
      </c>
      <c r="E584" t="s">
        <v>24</v>
      </c>
      <c r="F584" t="s">
        <v>25</v>
      </c>
      <c r="G584" t="s">
        <v>100</v>
      </c>
      <c r="H584">
        <v>92.98</v>
      </c>
      <c r="I584">
        <v>3</v>
      </c>
      <c r="J584">
        <v>13.946999999999999</v>
      </c>
      <c r="K584">
        <v>278.94</v>
      </c>
      <c r="L584" s="1">
        <v>43714</v>
      </c>
      <c r="M584" s="2">
        <v>0.62916666666666665</v>
      </c>
      <c r="N584" t="s">
        <v>37</v>
      </c>
      <c r="O584">
        <v>185.96</v>
      </c>
      <c r="P584">
        <v>4.7619047620000003</v>
      </c>
      <c r="Q584">
        <v>92.98</v>
      </c>
      <c r="R584">
        <v>8.4</v>
      </c>
      <c r="S584">
        <v>96.078500000000005</v>
      </c>
      <c r="T584">
        <v>19.763300000000001</v>
      </c>
    </row>
    <row r="585" spans="1:20" x14ac:dyDescent="0.3">
      <c r="A585" t="s">
        <v>978</v>
      </c>
      <c r="B585" t="s">
        <v>51</v>
      </c>
      <c r="C585" t="s">
        <v>132</v>
      </c>
      <c r="D585" t="s">
        <v>53</v>
      </c>
      <c r="E585" t="s">
        <v>24</v>
      </c>
      <c r="F585" t="s">
        <v>25</v>
      </c>
      <c r="G585" t="s">
        <v>68</v>
      </c>
      <c r="H585">
        <v>18.079999999999998</v>
      </c>
      <c r="I585">
        <v>8</v>
      </c>
      <c r="J585">
        <v>7.2320000000000002</v>
      </c>
      <c r="K585">
        <v>144.63999999999999</v>
      </c>
      <c r="L585" s="1">
        <v>43587</v>
      </c>
      <c r="M585" s="2">
        <v>0.75208333333333333</v>
      </c>
      <c r="N585" t="s">
        <v>37</v>
      </c>
      <c r="O585">
        <v>72.319999999999993</v>
      </c>
      <c r="P585">
        <v>4.7619047620000003</v>
      </c>
      <c r="Q585">
        <v>72.319999999999993</v>
      </c>
      <c r="R585">
        <v>10</v>
      </c>
      <c r="S585">
        <v>96.089100000000002</v>
      </c>
      <c r="T585">
        <v>21.9588</v>
      </c>
    </row>
    <row r="586" spans="1:20" x14ac:dyDescent="0.3">
      <c r="A586" t="s">
        <v>979</v>
      </c>
      <c r="B586" t="s">
        <v>51</v>
      </c>
      <c r="C586" t="s">
        <v>980</v>
      </c>
      <c r="D586" t="s">
        <v>53</v>
      </c>
      <c r="E586" t="s">
        <v>32</v>
      </c>
      <c r="F586" t="s">
        <v>36</v>
      </c>
      <c r="G586" t="s">
        <v>68</v>
      </c>
      <c r="H586">
        <v>63.06</v>
      </c>
      <c r="I586">
        <v>4</v>
      </c>
      <c r="J586">
        <v>12.612</v>
      </c>
      <c r="K586">
        <v>252.24</v>
      </c>
      <c r="L586" s="1">
        <v>43662</v>
      </c>
      <c r="M586" s="2">
        <v>0.66527777777777775</v>
      </c>
      <c r="N586" t="s">
        <v>27</v>
      </c>
      <c r="O586">
        <v>189.18</v>
      </c>
      <c r="P586">
        <v>4.7619047620000003</v>
      </c>
      <c r="Q586">
        <v>63.06</v>
      </c>
      <c r="R586">
        <v>8.4</v>
      </c>
      <c r="S586">
        <v>96.089100000000002</v>
      </c>
      <c r="T586">
        <v>21.9588</v>
      </c>
    </row>
    <row r="587" spans="1:20" x14ac:dyDescent="0.3">
      <c r="A587" t="s">
        <v>981</v>
      </c>
      <c r="B587" t="s">
        <v>21</v>
      </c>
      <c r="C587" t="s">
        <v>982</v>
      </c>
      <c r="D587" t="s">
        <v>23</v>
      </c>
      <c r="E587" t="s">
        <v>32</v>
      </c>
      <c r="F587" t="s">
        <v>36</v>
      </c>
      <c r="G587" t="s">
        <v>68</v>
      </c>
      <c r="H587">
        <v>51.71</v>
      </c>
      <c r="I587">
        <v>4</v>
      </c>
      <c r="J587">
        <v>10.342000000000001</v>
      </c>
      <c r="K587">
        <v>206.84</v>
      </c>
      <c r="L587" s="1">
        <v>43773</v>
      </c>
      <c r="M587" s="2">
        <v>0.57847222222222228</v>
      </c>
      <c r="N587" t="s">
        <v>37</v>
      </c>
      <c r="O587">
        <v>206.84</v>
      </c>
      <c r="P587">
        <v>4.7619047620000003</v>
      </c>
      <c r="Q587">
        <v>0</v>
      </c>
      <c r="R587">
        <v>9.8000000000000007</v>
      </c>
      <c r="S587">
        <v>96.173500000000004</v>
      </c>
      <c r="T587">
        <v>16.840900000000001</v>
      </c>
    </row>
    <row r="588" spans="1:20" x14ac:dyDescent="0.3">
      <c r="A588" t="s">
        <v>983</v>
      </c>
      <c r="B588" t="s">
        <v>21</v>
      </c>
      <c r="C588" t="s">
        <v>984</v>
      </c>
      <c r="D588" t="s">
        <v>23</v>
      </c>
      <c r="E588" t="s">
        <v>32</v>
      </c>
      <c r="F588" t="s">
        <v>25</v>
      </c>
      <c r="G588" t="s">
        <v>68</v>
      </c>
      <c r="H588">
        <v>52.34</v>
      </c>
      <c r="I588">
        <v>3</v>
      </c>
      <c r="J588">
        <v>7.851</v>
      </c>
      <c r="K588">
        <v>157.02000000000001</v>
      </c>
      <c r="L588" s="1">
        <v>43531</v>
      </c>
      <c r="M588" s="2">
        <v>0.5854166666666667</v>
      </c>
      <c r="N588" t="s">
        <v>33</v>
      </c>
      <c r="O588">
        <v>157.02000000000001</v>
      </c>
      <c r="P588">
        <v>4.7619047620000003</v>
      </c>
      <c r="Q588">
        <v>0</v>
      </c>
      <c r="R588">
        <v>9.1999999999999993</v>
      </c>
      <c r="S588">
        <v>96.173500000000004</v>
      </c>
      <c r="T588">
        <v>16.840900000000001</v>
      </c>
    </row>
    <row r="589" spans="1:20" x14ac:dyDescent="0.3">
      <c r="A589" t="s">
        <v>985</v>
      </c>
      <c r="B589" t="s">
        <v>21</v>
      </c>
      <c r="C589" t="s">
        <v>687</v>
      </c>
      <c r="D589" t="s">
        <v>23</v>
      </c>
      <c r="E589" t="s">
        <v>32</v>
      </c>
      <c r="F589" t="s">
        <v>25</v>
      </c>
      <c r="G589" t="s">
        <v>68</v>
      </c>
      <c r="H589">
        <v>43.06</v>
      </c>
      <c r="I589">
        <v>5</v>
      </c>
      <c r="J589">
        <v>10.765000000000001</v>
      </c>
      <c r="K589">
        <v>215.3</v>
      </c>
      <c r="L589" s="1">
        <v>43484</v>
      </c>
      <c r="M589" s="2">
        <v>0.69305555555555554</v>
      </c>
      <c r="N589" t="s">
        <v>27</v>
      </c>
      <c r="O589">
        <v>215.3</v>
      </c>
      <c r="P589">
        <v>4.7619047620000003</v>
      </c>
      <c r="Q589">
        <v>0</v>
      </c>
      <c r="R589">
        <v>7.7</v>
      </c>
      <c r="S589">
        <v>96.173500000000004</v>
      </c>
      <c r="T589">
        <v>16.840900000000001</v>
      </c>
    </row>
    <row r="590" spans="1:20" x14ac:dyDescent="0.3">
      <c r="A590" t="s">
        <v>986</v>
      </c>
      <c r="B590" t="s">
        <v>29</v>
      </c>
      <c r="C590" t="s">
        <v>506</v>
      </c>
      <c r="D590" t="s">
        <v>31</v>
      </c>
      <c r="E590" t="s">
        <v>32</v>
      </c>
      <c r="F590" t="s">
        <v>36</v>
      </c>
      <c r="G590" t="s">
        <v>68</v>
      </c>
      <c r="H590">
        <v>59.61</v>
      </c>
      <c r="I590">
        <v>12</v>
      </c>
      <c r="J590">
        <v>35.765999999999998</v>
      </c>
      <c r="K590">
        <v>715.32</v>
      </c>
      <c r="L590" s="1">
        <v>43542</v>
      </c>
      <c r="M590" s="2">
        <v>0.46319444444444446</v>
      </c>
      <c r="N590" t="s">
        <v>33</v>
      </c>
      <c r="O590">
        <v>596.1</v>
      </c>
      <c r="P590">
        <v>4.7619047620000003</v>
      </c>
      <c r="Q590">
        <v>119.22</v>
      </c>
      <c r="R590">
        <v>5.5650000000000004</v>
      </c>
      <c r="S590">
        <v>96.078500000000005</v>
      </c>
      <c r="T590">
        <v>19.763300000000001</v>
      </c>
    </row>
    <row r="591" spans="1:20" x14ac:dyDescent="0.3">
      <c r="A591" t="s">
        <v>987</v>
      </c>
      <c r="B591" t="s">
        <v>21</v>
      </c>
      <c r="C591" t="s">
        <v>988</v>
      </c>
      <c r="D591" t="s">
        <v>23</v>
      </c>
      <c r="E591" t="s">
        <v>32</v>
      </c>
      <c r="F591" t="s">
        <v>36</v>
      </c>
      <c r="G591" t="s">
        <v>68</v>
      </c>
      <c r="H591">
        <v>14.62</v>
      </c>
      <c r="I591">
        <v>5</v>
      </c>
      <c r="J591">
        <v>3.6549999999999998</v>
      </c>
      <c r="K591">
        <v>73.099999999999994</v>
      </c>
      <c r="L591" s="1">
        <v>43675</v>
      </c>
      <c r="M591" s="2">
        <v>0.51597222222222228</v>
      </c>
      <c r="N591" t="s">
        <v>33</v>
      </c>
      <c r="O591">
        <v>73.099999999999994</v>
      </c>
      <c r="P591">
        <v>4.7619047620000003</v>
      </c>
      <c r="Q591">
        <v>0</v>
      </c>
      <c r="R591">
        <v>4.4000000000000004</v>
      </c>
      <c r="S591">
        <v>96.173500000000004</v>
      </c>
      <c r="T591">
        <v>16.840900000000001</v>
      </c>
    </row>
    <row r="592" spans="1:20" x14ac:dyDescent="0.3">
      <c r="A592" t="s">
        <v>989</v>
      </c>
      <c r="B592" t="s">
        <v>29</v>
      </c>
      <c r="C592" t="s">
        <v>990</v>
      </c>
      <c r="D592" t="s">
        <v>31</v>
      </c>
      <c r="E592" t="s">
        <v>24</v>
      </c>
      <c r="F592" t="s">
        <v>36</v>
      </c>
      <c r="G592" t="s">
        <v>26</v>
      </c>
      <c r="H592">
        <v>46.53</v>
      </c>
      <c r="I592">
        <v>10</v>
      </c>
      <c r="J592">
        <v>23.265000000000001</v>
      </c>
      <c r="K592">
        <v>465.3</v>
      </c>
      <c r="L592" s="1">
        <v>43578</v>
      </c>
      <c r="M592" s="2">
        <v>0.45416666666666666</v>
      </c>
      <c r="N592" t="s">
        <v>37</v>
      </c>
      <c r="O592">
        <v>279.18</v>
      </c>
      <c r="P592">
        <v>4.7619047620000003</v>
      </c>
      <c r="Q592">
        <v>186.12</v>
      </c>
      <c r="R592">
        <v>4.5149999999999997</v>
      </c>
      <c r="S592">
        <v>96.078500000000005</v>
      </c>
      <c r="T592">
        <v>19.763300000000001</v>
      </c>
    </row>
    <row r="593" spans="1:20" x14ac:dyDescent="0.3">
      <c r="A593" t="s">
        <v>991</v>
      </c>
      <c r="B593" t="s">
        <v>29</v>
      </c>
      <c r="C593" t="s">
        <v>303</v>
      </c>
      <c r="D593" t="s">
        <v>31</v>
      </c>
      <c r="E593" t="s">
        <v>24</v>
      </c>
      <c r="F593" t="s">
        <v>25</v>
      </c>
      <c r="G593" t="s">
        <v>77</v>
      </c>
      <c r="H593">
        <v>24.24</v>
      </c>
      <c r="I593">
        <v>11</v>
      </c>
      <c r="J593">
        <v>13.332000000000001</v>
      </c>
      <c r="K593">
        <v>266.64</v>
      </c>
      <c r="L593" s="1">
        <v>43789</v>
      </c>
      <c r="M593" s="2">
        <v>0.73472222222222228</v>
      </c>
      <c r="N593" t="s">
        <v>27</v>
      </c>
      <c r="O593">
        <v>169.68</v>
      </c>
      <c r="P593">
        <v>4.7619047620000003</v>
      </c>
      <c r="Q593">
        <v>96.96</v>
      </c>
      <c r="R593">
        <v>9.8699999999999992</v>
      </c>
      <c r="S593">
        <v>96.078500000000005</v>
      </c>
      <c r="T593">
        <v>19.763300000000001</v>
      </c>
    </row>
    <row r="594" spans="1:20" x14ac:dyDescent="0.3">
      <c r="A594" t="s">
        <v>992</v>
      </c>
      <c r="B594" t="s">
        <v>21</v>
      </c>
      <c r="C594" t="s">
        <v>689</v>
      </c>
      <c r="D594" t="s">
        <v>23</v>
      </c>
      <c r="E594" t="s">
        <v>24</v>
      </c>
      <c r="F594" t="s">
        <v>25</v>
      </c>
      <c r="G594" t="s">
        <v>68</v>
      </c>
      <c r="H594">
        <v>45.58</v>
      </c>
      <c r="I594">
        <v>1</v>
      </c>
      <c r="J594">
        <v>2.2789999999999999</v>
      </c>
      <c r="K594">
        <v>45.58</v>
      </c>
      <c r="L594" s="1">
        <v>43672</v>
      </c>
      <c r="M594" s="2">
        <v>0.59236111111111112</v>
      </c>
      <c r="N594" t="s">
        <v>33</v>
      </c>
      <c r="O594">
        <v>45.58</v>
      </c>
      <c r="P594">
        <v>4.7619047620000003</v>
      </c>
      <c r="Q594">
        <v>0</v>
      </c>
      <c r="R594">
        <v>9.8000000000000007</v>
      </c>
      <c r="S594">
        <v>96.173500000000004</v>
      </c>
      <c r="T594">
        <v>16.840900000000001</v>
      </c>
    </row>
    <row r="595" spans="1:20" x14ac:dyDescent="0.3">
      <c r="A595" t="s">
        <v>993</v>
      </c>
      <c r="B595" t="s">
        <v>21</v>
      </c>
      <c r="C595" t="s">
        <v>994</v>
      </c>
      <c r="D595" t="s">
        <v>23</v>
      </c>
      <c r="E595" t="s">
        <v>24</v>
      </c>
      <c r="F595" t="s">
        <v>25</v>
      </c>
      <c r="G595" t="s">
        <v>68</v>
      </c>
      <c r="H595">
        <v>75.2</v>
      </c>
      <c r="I595">
        <v>4</v>
      </c>
      <c r="J595">
        <v>15.04</v>
      </c>
      <c r="K595">
        <v>300.8</v>
      </c>
      <c r="L595" s="1">
        <v>43536</v>
      </c>
      <c r="M595" s="2">
        <v>0.49375000000000002</v>
      </c>
      <c r="N595" t="s">
        <v>27</v>
      </c>
      <c r="O595">
        <v>225.6</v>
      </c>
      <c r="P595">
        <v>4.7619047620000003</v>
      </c>
      <c r="Q595">
        <v>75.2</v>
      </c>
      <c r="R595">
        <v>4.8</v>
      </c>
      <c r="S595">
        <v>96.173500000000004</v>
      </c>
      <c r="T595">
        <v>16.840900000000001</v>
      </c>
    </row>
    <row r="596" spans="1:20" x14ac:dyDescent="0.3">
      <c r="A596" t="s">
        <v>995</v>
      </c>
      <c r="B596" t="s">
        <v>51</v>
      </c>
      <c r="C596" t="s">
        <v>288</v>
      </c>
      <c r="D596" t="s">
        <v>53</v>
      </c>
      <c r="E596" t="s">
        <v>24</v>
      </c>
      <c r="F596" t="s">
        <v>36</v>
      </c>
      <c r="G596" t="s">
        <v>68</v>
      </c>
      <c r="H596">
        <v>96.8</v>
      </c>
      <c r="I596">
        <v>6</v>
      </c>
      <c r="J596">
        <v>29.04</v>
      </c>
      <c r="K596">
        <v>580.79999999999995</v>
      </c>
      <c r="L596" s="1">
        <v>43741</v>
      </c>
      <c r="M596" s="2">
        <v>0.54513888888888884</v>
      </c>
      <c r="N596" t="s">
        <v>33</v>
      </c>
      <c r="O596">
        <v>290.39999999999998</v>
      </c>
      <c r="P596">
        <v>4.7619047620000003</v>
      </c>
      <c r="Q596">
        <v>290.39999999999998</v>
      </c>
      <c r="R596">
        <v>6.36</v>
      </c>
      <c r="S596">
        <v>96.089100000000002</v>
      </c>
      <c r="T596">
        <v>21.9588</v>
      </c>
    </row>
    <row r="597" spans="1:20" x14ac:dyDescent="0.3">
      <c r="A597" t="s">
        <v>996</v>
      </c>
      <c r="B597" t="s">
        <v>51</v>
      </c>
      <c r="C597" t="s">
        <v>830</v>
      </c>
      <c r="D597" t="s">
        <v>53</v>
      </c>
      <c r="E597" t="s">
        <v>32</v>
      </c>
      <c r="F597" t="s">
        <v>36</v>
      </c>
      <c r="G597" t="s">
        <v>26</v>
      </c>
      <c r="H597">
        <v>14.82</v>
      </c>
      <c r="I597">
        <v>4</v>
      </c>
      <c r="J597">
        <v>2.964</v>
      </c>
      <c r="K597">
        <v>59.28</v>
      </c>
      <c r="L597" s="1">
        <v>43630</v>
      </c>
      <c r="M597" s="2">
        <v>0.47916666666666669</v>
      </c>
      <c r="N597" t="s">
        <v>37</v>
      </c>
      <c r="O597">
        <v>44.46</v>
      </c>
      <c r="P597">
        <v>4.7619047620000003</v>
      </c>
      <c r="Q597">
        <v>14.82</v>
      </c>
      <c r="R597">
        <v>10</v>
      </c>
      <c r="S597">
        <v>96.089100000000002</v>
      </c>
      <c r="T597">
        <v>21.9588</v>
      </c>
    </row>
    <row r="598" spans="1:20" x14ac:dyDescent="0.3">
      <c r="A598" t="s">
        <v>997</v>
      </c>
      <c r="B598" t="s">
        <v>21</v>
      </c>
      <c r="C598" t="s">
        <v>265</v>
      </c>
      <c r="D598" t="s">
        <v>23</v>
      </c>
      <c r="E598" t="s">
        <v>32</v>
      </c>
      <c r="F598" t="s">
        <v>36</v>
      </c>
      <c r="G598" t="s">
        <v>63</v>
      </c>
      <c r="H598">
        <v>52.2</v>
      </c>
      <c r="I598">
        <v>3</v>
      </c>
      <c r="J598">
        <v>7.83</v>
      </c>
      <c r="K598">
        <v>156.6</v>
      </c>
      <c r="L598" s="1">
        <v>43814</v>
      </c>
      <c r="M598" s="2">
        <v>0.5625</v>
      </c>
      <c r="N598" t="s">
        <v>37</v>
      </c>
      <c r="O598">
        <v>156.6</v>
      </c>
      <c r="P598">
        <v>4.7619047620000003</v>
      </c>
      <c r="Q598">
        <v>0</v>
      </c>
      <c r="R598">
        <v>9.5</v>
      </c>
      <c r="S598">
        <v>96.173500000000004</v>
      </c>
      <c r="T598">
        <v>16.840900000000001</v>
      </c>
    </row>
    <row r="599" spans="1:20" x14ac:dyDescent="0.3">
      <c r="A599" t="s">
        <v>998</v>
      </c>
      <c r="B599" t="s">
        <v>29</v>
      </c>
      <c r="C599" t="s">
        <v>999</v>
      </c>
      <c r="D599" t="s">
        <v>31</v>
      </c>
      <c r="E599" t="s">
        <v>32</v>
      </c>
      <c r="F599" t="s">
        <v>25</v>
      </c>
      <c r="G599" t="s">
        <v>68</v>
      </c>
      <c r="H599">
        <v>46.66</v>
      </c>
      <c r="I599">
        <v>11</v>
      </c>
      <c r="J599">
        <v>25.663</v>
      </c>
      <c r="K599">
        <v>513.26</v>
      </c>
      <c r="L599" s="1">
        <v>43738</v>
      </c>
      <c r="M599" s="2">
        <v>0.7993055555555556</v>
      </c>
      <c r="N599" t="s">
        <v>27</v>
      </c>
      <c r="O599">
        <v>419.94</v>
      </c>
      <c r="P599">
        <v>4.7619047620000003</v>
      </c>
      <c r="Q599">
        <v>93.32</v>
      </c>
      <c r="R599">
        <v>5.5650000000000004</v>
      </c>
      <c r="S599">
        <v>96.078500000000005</v>
      </c>
      <c r="T599">
        <v>19.763300000000001</v>
      </c>
    </row>
    <row r="600" spans="1:20" x14ac:dyDescent="0.3">
      <c r="A600" t="s">
        <v>1000</v>
      </c>
      <c r="B600" t="s">
        <v>29</v>
      </c>
      <c r="C600" t="s">
        <v>685</v>
      </c>
      <c r="D600" t="s">
        <v>31</v>
      </c>
      <c r="E600" t="s">
        <v>32</v>
      </c>
      <c r="F600" t="s">
        <v>25</v>
      </c>
      <c r="G600" t="s">
        <v>100</v>
      </c>
      <c r="H600">
        <v>36.85</v>
      </c>
      <c r="I600">
        <v>6</v>
      </c>
      <c r="J600">
        <v>11.055</v>
      </c>
      <c r="K600">
        <v>221.1</v>
      </c>
      <c r="L600" s="1">
        <v>43498</v>
      </c>
      <c r="M600" s="2">
        <v>0.78680555555555554</v>
      </c>
      <c r="N600" t="s">
        <v>33</v>
      </c>
      <c r="O600">
        <v>184.25</v>
      </c>
      <c r="P600">
        <v>4.7619047620000003</v>
      </c>
      <c r="Q600">
        <v>36.85</v>
      </c>
      <c r="R600">
        <v>9.66</v>
      </c>
      <c r="S600">
        <v>96.078500000000005</v>
      </c>
      <c r="T600">
        <v>19.763300000000001</v>
      </c>
    </row>
    <row r="601" spans="1:20" x14ac:dyDescent="0.3">
      <c r="A601" t="s">
        <v>1001</v>
      </c>
      <c r="B601" t="s">
        <v>21</v>
      </c>
      <c r="C601" t="s">
        <v>1002</v>
      </c>
      <c r="D601" t="s">
        <v>23</v>
      </c>
      <c r="E601" t="s">
        <v>24</v>
      </c>
      <c r="F601" t="s">
        <v>25</v>
      </c>
      <c r="G601" t="s">
        <v>77</v>
      </c>
      <c r="H601">
        <v>70.319999999999993</v>
      </c>
      <c r="I601">
        <v>3</v>
      </c>
      <c r="J601">
        <v>10.548</v>
      </c>
      <c r="K601">
        <v>210.96</v>
      </c>
      <c r="L601" s="1">
        <v>43613</v>
      </c>
      <c r="M601" s="2">
        <v>0.59861111111111109</v>
      </c>
      <c r="N601" t="s">
        <v>27</v>
      </c>
      <c r="O601">
        <v>140.63999999999999</v>
      </c>
      <c r="P601">
        <v>4.7619047620000003</v>
      </c>
      <c r="Q601">
        <v>70.319999999999993</v>
      </c>
      <c r="R601">
        <v>9.6</v>
      </c>
      <c r="S601">
        <v>96.173500000000004</v>
      </c>
      <c r="T601">
        <v>16.840900000000001</v>
      </c>
    </row>
    <row r="602" spans="1:20" x14ac:dyDescent="0.3">
      <c r="A602" t="s">
        <v>1003</v>
      </c>
      <c r="B602" t="s">
        <v>29</v>
      </c>
      <c r="C602" t="s">
        <v>1004</v>
      </c>
      <c r="D602" t="s">
        <v>31</v>
      </c>
      <c r="E602" t="s">
        <v>32</v>
      </c>
      <c r="F602" t="s">
        <v>36</v>
      </c>
      <c r="G602" t="s">
        <v>60</v>
      </c>
      <c r="H602">
        <v>83.08</v>
      </c>
      <c r="I602">
        <v>1</v>
      </c>
      <c r="J602">
        <v>4.1539999999999999</v>
      </c>
      <c r="K602">
        <v>83.08</v>
      </c>
      <c r="L602" s="1">
        <v>43537</v>
      </c>
      <c r="M602" s="2">
        <v>0.71944444444444444</v>
      </c>
      <c r="N602" t="s">
        <v>27</v>
      </c>
      <c r="O602">
        <v>83.08</v>
      </c>
      <c r="P602">
        <v>4.7619047620000003</v>
      </c>
      <c r="Q602">
        <v>0</v>
      </c>
      <c r="R602">
        <v>6.72</v>
      </c>
      <c r="S602">
        <v>96.078500000000005</v>
      </c>
      <c r="T602">
        <v>19.763300000000001</v>
      </c>
    </row>
    <row r="603" spans="1:20" x14ac:dyDescent="0.3">
      <c r="A603" t="s">
        <v>1005</v>
      </c>
      <c r="B603" t="s">
        <v>29</v>
      </c>
      <c r="C603" t="s">
        <v>1006</v>
      </c>
      <c r="D603" t="s">
        <v>31</v>
      </c>
      <c r="E603" t="s">
        <v>32</v>
      </c>
      <c r="F603" t="s">
        <v>25</v>
      </c>
      <c r="G603" t="s">
        <v>100</v>
      </c>
      <c r="H603">
        <v>64.989999999999995</v>
      </c>
      <c r="I603">
        <v>1</v>
      </c>
      <c r="J603">
        <v>3.2494999999999998</v>
      </c>
      <c r="K603">
        <v>64.989999999999995</v>
      </c>
      <c r="L603" s="1">
        <v>43673</v>
      </c>
      <c r="M603" s="2">
        <v>0.42083333333333334</v>
      </c>
      <c r="N603" t="s">
        <v>37</v>
      </c>
      <c r="O603">
        <v>64.989999999999995</v>
      </c>
      <c r="P603">
        <v>4.7619047620000003</v>
      </c>
      <c r="Q603">
        <v>0</v>
      </c>
      <c r="R603">
        <v>4.7249999999999996</v>
      </c>
      <c r="S603">
        <v>96.078500000000005</v>
      </c>
      <c r="T603">
        <v>19.763300000000001</v>
      </c>
    </row>
    <row r="604" spans="1:20" x14ac:dyDescent="0.3">
      <c r="A604" t="s">
        <v>1007</v>
      </c>
      <c r="B604" t="s">
        <v>29</v>
      </c>
      <c r="C604" t="s">
        <v>592</v>
      </c>
      <c r="D604" t="s">
        <v>31</v>
      </c>
      <c r="E604" t="s">
        <v>32</v>
      </c>
      <c r="F604" t="s">
        <v>36</v>
      </c>
      <c r="G604" t="s">
        <v>63</v>
      </c>
      <c r="H604">
        <v>77.56</v>
      </c>
      <c r="I604">
        <v>12</v>
      </c>
      <c r="J604">
        <v>46.536000000000001</v>
      </c>
      <c r="K604">
        <v>930.72</v>
      </c>
      <c r="L604" s="1">
        <v>43759</v>
      </c>
      <c r="M604" s="2">
        <v>0.85763888888888884</v>
      </c>
      <c r="N604" t="s">
        <v>27</v>
      </c>
      <c r="O604">
        <v>775.6</v>
      </c>
      <c r="P604">
        <v>4.7619047620000003</v>
      </c>
      <c r="Q604">
        <v>155.12</v>
      </c>
      <c r="R604">
        <v>7.2450000000000001</v>
      </c>
      <c r="S604">
        <v>96.078500000000005</v>
      </c>
      <c r="T604">
        <v>19.763300000000001</v>
      </c>
    </row>
    <row r="605" spans="1:20" x14ac:dyDescent="0.3">
      <c r="A605" t="s">
        <v>1008</v>
      </c>
      <c r="B605" t="s">
        <v>51</v>
      </c>
      <c r="C605" t="s">
        <v>119</v>
      </c>
      <c r="D605" t="s">
        <v>53</v>
      </c>
      <c r="E605" t="s">
        <v>32</v>
      </c>
      <c r="F605" t="s">
        <v>25</v>
      </c>
      <c r="G605" t="s">
        <v>68</v>
      </c>
      <c r="H605">
        <v>54.51</v>
      </c>
      <c r="I605">
        <v>8</v>
      </c>
      <c r="J605">
        <v>21.803999999999998</v>
      </c>
      <c r="K605">
        <v>436.08</v>
      </c>
      <c r="L605" s="1">
        <v>43724</v>
      </c>
      <c r="M605" s="2">
        <v>0.57916666666666672</v>
      </c>
      <c r="N605" t="s">
        <v>27</v>
      </c>
      <c r="O605">
        <v>327.06</v>
      </c>
      <c r="P605">
        <v>4.7619047620000003</v>
      </c>
      <c r="Q605">
        <v>109.02</v>
      </c>
      <c r="R605">
        <v>9.36</v>
      </c>
      <c r="S605">
        <v>96.089100000000002</v>
      </c>
      <c r="T605">
        <v>21.9588</v>
      </c>
    </row>
    <row r="606" spans="1:20" x14ac:dyDescent="0.3">
      <c r="A606" t="s">
        <v>1009</v>
      </c>
      <c r="B606" t="s">
        <v>29</v>
      </c>
      <c r="C606" t="s">
        <v>1010</v>
      </c>
      <c r="D606" t="s">
        <v>31</v>
      </c>
      <c r="E606" t="s">
        <v>24</v>
      </c>
      <c r="F606" t="s">
        <v>25</v>
      </c>
      <c r="G606" t="s">
        <v>100</v>
      </c>
      <c r="H606">
        <v>51.89</v>
      </c>
      <c r="I606">
        <v>11</v>
      </c>
      <c r="J606">
        <v>28.5395</v>
      </c>
      <c r="K606">
        <v>570.79</v>
      </c>
      <c r="L606" s="1">
        <v>43565</v>
      </c>
      <c r="M606" s="2">
        <v>0.83888888888888891</v>
      </c>
      <c r="N606" t="s">
        <v>33</v>
      </c>
      <c r="O606">
        <v>363.23</v>
      </c>
      <c r="P606">
        <v>4.7619047620000003</v>
      </c>
      <c r="Q606">
        <v>207.56</v>
      </c>
      <c r="R606">
        <v>4.7249999999999996</v>
      </c>
      <c r="S606">
        <v>96.078500000000005</v>
      </c>
      <c r="T606">
        <v>19.763300000000001</v>
      </c>
    </row>
    <row r="607" spans="1:20" x14ac:dyDescent="0.3">
      <c r="A607" t="s">
        <v>1011</v>
      </c>
      <c r="B607" t="s">
        <v>51</v>
      </c>
      <c r="C607" t="s">
        <v>104</v>
      </c>
      <c r="D607" t="s">
        <v>53</v>
      </c>
      <c r="E607" t="s">
        <v>32</v>
      </c>
      <c r="F607" t="s">
        <v>36</v>
      </c>
      <c r="G607" t="s">
        <v>77</v>
      </c>
      <c r="H607">
        <v>31.75</v>
      </c>
      <c r="I607">
        <v>6</v>
      </c>
      <c r="J607">
        <v>9.5250000000000004</v>
      </c>
      <c r="K607">
        <v>190.5</v>
      </c>
      <c r="L607" s="1">
        <v>43748</v>
      </c>
      <c r="M607" s="2">
        <v>0.6430555555555556</v>
      </c>
      <c r="N607" t="s">
        <v>33</v>
      </c>
      <c r="O607">
        <v>127</v>
      </c>
      <c r="P607">
        <v>4.7619047620000003</v>
      </c>
      <c r="Q607">
        <v>63.5</v>
      </c>
      <c r="R607">
        <v>10</v>
      </c>
      <c r="S607">
        <v>96.089100000000002</v>
      </c>
      <c r="T607">
        <v>21.9588</v>
      </c>
    </row>
    <row r="608" spans="1:20" x14ac:dyDescent="0.3">
      <c r="A608" t="s">
        <v>1012</v>
      </c>
      <c r="B608" t="s">
        <v>21</v>
      </c>
      <c r="C608" t="s">
        <v>1013</v>
      </c>
      <c r="D608" t="s">
        <v>23</v>
      </c>
      <c r="E608" t="s">
        <v>24</v>
      </c>
      <c r="F608" t="s">
        <v>25</v>
      </c>
      <c r="G608" t="s">
        <v>100</v>
      </c>
      <c r="H608">
        <v>53.65</v>
      </c>
      <c r="I608">
        <v>10</v>
      </c>
      <c r="J608">
        <v>26.824999999999999</v>
      </c>
      <c r="K608">
        <v>536.5</v>
      </c>
      <c r="L608" s="1">
        <v>43543</v>
      </c>
      <c r="M608" s="2">
        <v>0.53888888888888886</v>
      </c>
      <c r="N608" t="s">
        <v>27</v>
      </c>
      <c r="O608">
        <v>375.55</v>
      </c>
      <c r="P608">
        <v>4.7619047620000003</v>
      </c>
      <c r="Q608">
        <v>160.94999999999999</v>
      </c>
      <c r="R608">
        <v>5.2</v>
      </c>
      <c r="S608">
        <v>96.173500000000004</v>
      </c>
      <c r="T608">
        <v>16.840900000000001</v>
      </c>
    </row>
    <row r="609" spans="1:20" x14ac:dyDescent="0.3">
      <c r="A609" t="s">
        <v>1014</v>
      </c>
      <c r="B609" t="s">
        <v>29</v>
      </c>
      <c r="C609" t="s">
        <v>143</v>
      </c>
      <c r="D609" t="s">
        <v>31</v>
      </c>
      <c r="E609" t="s">
        <v>24</v>
      </c>
      <c r="F609" t="s">
        <v>25</v>
      </c>
      <c r="G609" t="s">
        <v>63</v>
      </c>
      <c r="H609">
        <v>49.79</v>
      </c>
      <c r="I609">
        <v>7</v>
      </c>
      <c r="J609">
        <v>17.426500000000001</v>
      </c>
      <c r="K609">
        <v>348.53</v>
      </c>
      <c r="L609" s="1">
        <v>43476</v>
      </c>
      <c r="M609" s="2">
        <v>0.80277777777777781</v>
      </c>
      <c r="N609" t="s">
        <v>37</v>
      </c>
      <c r="O609">
        <v>199.16</v>
      </c>
      <c r="P609">
        <v>4.7619047620000003</v>
      </c>
      <c r="Q609">
        <v>149.37</v>
      </c>
      <c r="R609">
        <v>6.72</v>
      </c>
      <c r="S609">
        <v>96.078500000000005</v>
      </c>
      <c r="T609">
        <v>19.763300000000001</v>
      </c>
    </row>
    <row r="610" spans="1:20" x14ac:dyDescent="0.3">
      <c r="A610" t="s">
        <v>1015</v>
      </c>
      <c r="B610" t="s">
        <v>21</v>
      </c>
      <c r="C610" t="s">
        <v>1016</v>
      </c>
      <c r="D610" t="s">
        <v>23</v>
      </c>
      <c r="E610" t="s">
        <v>32</v>
      </c>
      <c r="F610" t="s">
        <v>36</v>
      </c>
      <c r="G610" t="s">
        <v>100</v>
      </c>
      <c r="H610">
        <v>30.61</v>
      </c>
      <c r="I610">
        <v>1</v>
      </c>
      <c r="J610">
        <v>1.5305</v>
      </c>
      <c r="K610">
        <v>30.61</v>
      </c>
      <c r="L610" s="1">
        <v>43673</v>
      </c>
      <c r="M610" s="2">
        <v>0.51388888888888884</v>
      </c>
      <c r="N610" t="s">
        <v>27</v>
      </c>
      <c r="O610">
        <v>30.61</v>
      </c>
      <c r="P610">
        <v>4.7619047620000003</v>
      </c>
      <c r="Q610">
        <v>0</v>
      </c>
      <c r="R610">
        <v>5.2</v>
      </c>
      <c r="S610">
        <v>96.173500000000004</v>
      </c>
      <c r="T610">
        <v>16.840900000000001</v>
      </c>
    </row>
    <row r="611" spans="1:20" x14ac:dyDescent="0.3">
      <c r="A611" t="s">
        <v>1017</v>
      </c>
      <c r="B611" t="s">
        <v>51</v>
      </c>
      <c r="C611" t="s">
        <v>437</v>
      </c>
      <c r="D611" t="s">
        <v>53</v>
      </c>
      <c r="E611" t="s">
        <v>24</v>
      </c>
      <c r="F611" t="s">
        <v>36</v>
      </c>
      <c r="G611" t="s">
        <v>63</v>
      </c>
      <c r="H611">
        <v>57.89</v>
      </c>
      <c r="I611">
        <v>4</v>
      </c>
      <c r="J611">
        <v>11.577999999999999</v>
      </c>
      <c r="K611">
        <v>231.56</v>
      </c>
      <c r="L611" s="1">
        <v>43498</v>
      </c>
      <c r="M611" s="2">
        <v>0.44236111111111109</v>
      </c>
      <c r="N611" t="s">
        <v>27</v>
      </c>
      <c r="O611">
        <v>115.78</v>
      </c>
      <c r="P611">
        <v>4.7619047620000003</v>
      </c>
      <c r="Q611">
        <v>115.78</v>
      </c>
      <c r="R611">
        <v>10</v>
      </c>
      <c r="S611">
        <v>96.089100000000002</v>
      </c>
      <c r="T611">
        <v>21.9588</v>
      </c>
    </row>
    <row r="612" spans="1:20" x14ac:dyDescent="0.3">
      <c r="A612" t="s">
        <v>1018</v>
      </c>
      <c r="B612" t="s">
        <v>21</v>
      </c>
      <c r="C612" t="s">
        <v>1019</v>
      </c>
      <c r="D612" t="s">
        <v>23</v>
      </c>
      <c r="E612" t="s">
        <v>32</v>
      </c>
      <c r="F612" t="s">
        <v>25</v>
      </c>
      <c r="G612" t="s">
        <v>60</v>
      </c>
      <c r="H612">
        <v>28.96</v>
      </c>
      <c r="I612">
        <v>1</v>
      </c>
      <c r="J612">
        <v>1.448</v>
      </c>
      <c r="K612">
        <v>28.96</v>
      </c>
      <c r="L612" s="1">
        <v>43620</v>
      </c>
      <c r="M612" s="2">
        <v>0.42916666666666664</v>
      </c>
      <c r="N612" t="s">
        <v>37</v>
      </c>
      <c r="O612">
        <v>28.96</v>
      </c>
      <c r="P612">
        <v>4.7619047620000003</v>
      </c>
      <c r="Q612">
        <v>0</v>
      </c>
      <c r="R612">
        <v>6.2</v>
      </c>
      <c r="S612">
        <v>96.173500000000004</v>
      </c>
      <c r="T612">
        <v>16.840900000000001</v>
      </c>
    </row>
    <row r="613" spans="1:20" x14ac:dyDescent="0.3">
      <c r="A613" t="s">
        <v>1020</v>
      </c>
      <c r="B613" t="s">
        <v>29</v>
      </c>
      <c r="C613" t="s">
        <v>417</v>
      </c>
      <c r="D613" t="s">
        <v>31</v>
      </c>
      <c r="E613" t="s">
        <v>24</v>
      </c>
      <c r="F613" t="s">
        <v>25</v>
      </c>
      <c r="G613" t="s">
        <v>63</v>
      </c>
      <c r="H613">
        <v>98.97</v>
      </c>
      <c r="I613">
        <v>15</v>
      </c>
      <c r="J613">
        <v>74.227500000000006</v>
      </c>
      <c r="K613">
        <v>1484.55</v>
      </c>
      <c r="L613" s="1">
        <v>43655</v>
      </c>
      <c r="M613" s="2">
        <v>0.47430555555555554</v>
      </c>
      <c r="N613" t="s">
        <v>33</v>
      </c>
      <c r="O613">
        <v>890.73</v>
      </c>
      <c r="P613">
        <v>4.7619047620000003</v>
      </c>
      <c r="Q613">
        <v>593.82000000000005</v>
      </c>
      <c r="R613">
        <v>7.0350000000000001</v>
      </c>
      <c r="S613">
        <v>96.078500000000005</v>
      </c>
      <c r="T613">
        <v>19.763300000000001</v>
      </c>
    </row>
    <row r="614" spans="1:20" x14ac:dyDescent="0.3">
      <c r="A614" t="s">
        <v>1021</v>
      </c>
      <c r="B614" t="s">
        <v>51</v>
      </c>
      <c r="C614" t="s">
        <v>751</v>
      </c>
      <c r="D614" t="s">
        <v>53</v>
      </c>
      <c r="E614" t="s">
        <v>24</v>
      </c>
      <c r="F614" t="s">
        <v>36</v>
      </c>
      <c r="G614" t="s">
        <v>100</v>
      </c>
      <c r="H614">
        <v>93.22</v>
      </c>
      <c r="I614">
        <v>6</v>
      </c>
      <c r="J614">
        <v>27.966000000000001</v>
      </c>
      <c r="K614">
        <v>559.32000000000005</v>
      </c>
      <c r="L614" s="1">
        <v>43510</v>
      </c>
      <c r="M614" s="2">
        <v>0.48958333333333331</v>
      </c>
      <c r="N614" t="s">
        <v>33</v>
      </c>
      <c r="O614">
        <v>279.66000000000003</v>
      </c>
      <c r="P614">
        <v>4.7619047620000003</v>
      </c>
      <c r="Q614">
        <v>279.66000000000003</v>
      </c>
      <c r="R614">
        <v>8.64</v>
      </c>
      <c r="S614">
        <v>96.089100000000002</v>
      </c>
      <c r="T614">
        <v>21.9588</v>
      </c>
    </row>
    <row r="615" spans="1:20" x14ac:dyDescent="0.3">
      <c r="A615" t="s">
        <v>1022</v>
      </c>
      <c r="B615" t="s">
        <v>29</v>
      </c>
      <c r="C615" t="s">
        <v>243</v>
      </c>
      <c r="D615" t="s">
        <v>31</v>
      </c>
      <c r="E615" t="s">
        <v>24</v>
      </c>
      <c r="F615" t="s">
        <v>36</v>
      </c>
      <c r="G615" t="s">
        <v>68</v>
      </c>
      <c r="H615">
        <v>80.930000000000007</v>
      </c>
      <c r="I615">
        <v>1</v>
      </c>
      <c r="J615">
        <v>4.0465</v>
      </c>
      <c r="K615">
        <v>80.930000000000007</v>
      </c>
      <c r="L615" s="1">
        <v>43774</v>
      </c>
      <c r="M615" s="2">
        <v>0.67222222222222228</v>
      </c>
      <c r="N615" t="s">
        <v>37</v>
      </c>
      <c r="O615">
        <v>80.930000000000007</v>
      </c>
      <c r="P615">
        <v>4.7619047620000003</v>
      </c>
      <c r="Q615">
        <v>0</v>
      </c>
      <c r="R615">
        <v>9.4499999999999993</v>
      </c>
      <c r="S615">
        <v>96.078500000000005</v>
      </c>
      <c r="T615">
        <v>19.763300000000001</v>
      </c>
    </row>
    <row r="616" spans="1:20" x14ac:dyDescent="0.3">
      <c r="A616" t="s">
        <v>1023</v>
      </c>
      <c r="B616" t="s">
        <v>21</v>
      </c>
      <c r="C616" t="s">
        <v>1024</v>
      </c>
      <c r="D616" t="s">
        <v>23</v>
      </c>
      <c r="E616" t="s">
        <v>24</v>
      </c>
      <c r="F616" t="s">
        <v>36</v>
      </c>
      <c r="G616" t="s">
        <v>63</v>
      </c>
      <c r="H616">
        <v>67.45</v>
      </c>
      <c r="I616">
        <v>14</v>
      </c>
      <c r="J616">
        <v>47.215000000000003</v>
      </c>
      <c r="K616">
        <v>944.3</v>
      </c>
      <c r="L616" s="1">
        <v>43526</v>
      </c>
      <c r="M616" s="2">
        <v>0.47569444444444442</v>
      </c>
      <c r="N616" t="s">
        <v>27</v>
      </c>
      <c r="O616">
        <v>674.5</v>
      </c>
      <c r="P616">
        <v>4.7619047620000003</v>
      </c>
      <c r="Q616">
        <v>269.8</v>
      </c>
      <c r="R616">
        <v>4.2</v>
      </c>
      <c r="S616">
        <v>96.173500000000004</v>
      </c>
      <c r="T616">
        <v>16.840900000000001</v>
      </c>
    </row>
    <row r="617" spans="1:20" x14ac:dyDescent="0.3">
      <c r="A617" t="s">
        <v>1025</v>
      </c>
      <c r="B617" t="s">
        <v>21</v>
      </c>
      <c r="C617" t="s">
        <v>1026</v>
      </c>
      <c r="D617" t="s">
        <v>23</v>
      </c>
      <c r="E617" t="s">
        <v>24</v>
      </c>
      <c r="F617" t="s">
        <v>25</v>
      </c>
      <c r="G617" t="s">
        <v>68</v>
      </c>
      <c r="H617">
        <v>38.72</v>
      </c>
      <c r="I617">
        <v>13</v>
      </c>
      <c r="J617">
        <v>25.167999999999999</v>
      </c>
      <c r="K617">
        <v>503.36</v>
      </c>
      <c r="L617" s="1">
        <v>43486</v>
      </c>
      <c r="M617" s="2">
        <v>0.51666666666666672</v>
      </c>
      <c r="N617" t="s">
        <v>27</v>
      </c>
      <c r="O617">
        <v>348.48</v>
      </c>
      <c r="P617">
        <v>4.7619047620000003</v>
      </c>
      <c r="Q617">
        <v>154.88</v>
      </c>
      <c r="R617">
        <v>4.2</v>
      </c>
      <c r="S617">
        <v>96.173500000000004</v>
      </c>
      <c r="T617">
        <v>16.840900000000001</v>
      </c>
    </row>
    <row r="618" spans="1:20" x14ac:dyDescent="0.3">
      <c r="A618" t="s">
        <v>1027</v>
      </c>
      <c r="B618" t="s">
        <v>51</v>
      </c>
      <c r="C618" t="s">
        <v>286</v>
      </c>
      <c r="D618" t="s">
        <v>53</v>
      </c>
      <c r="E618" t="s">
        <v>24</v>
      </c>
      <c r="F618" t="s">
        <v>36</v>
      </c>
      <c r="G618" t="s">
        <v>68</v>
      </c>
      <c r="H618">
        <v>72.599999999999994</v>
      </c>
      <c r="I618">
        <v>11</v>
      </c>
      <c r="J618">
        <v>39.93</v>
      </c>
      <c r="K618">
        <v>798.6</v>
      </c>
      <c r="L618" s="1">
        <v>43711</v>
      </c>
      <c r="M618" s="2">
        <v>0.82708333333333328</v>
      </c>
      <c r="N618" t="s">
        <v>33</v>
      </c>
      <c r="O618">
        <v>435.6</v>
      </c>
      <c r="P618">
        <v>4.7619047620000003</v>
      </c>
      <c r="Q618">
        <v>363</v>
      </c>
      <c r="R618">
        <v>8.2799999999999994</v>
      </c>
      <c r="S618">
        <v>96.089100000000002</v>
      </c>
      <c r="T618">
        <v>21.9588</v>
      </c>
    </row>
    <row r="619" spans="1:20" x14ac:dyDescent="0.3">
      <c r="A619" t="s">
        <v>1028</v>
      </c>
      <c r="B619" t="s">
        <v>29</v>
      </c>
      <c r="C619" t="s">
        <v>1029</v>
      </c>
      <c r="D619" t="s">
        <v>31</v>
      </c>
      <c r="E619" t="s">
        <v>24</v>
      </c>
      <c r="F619" t="s">
        <v>36</v>
      </c>
      <c r="G619" t="s">
        <v>60</v>
      </c>
      <c r="H619">
        <v>87.91</v>
      </c>
      <c r="I619">
        <v>8</v>
      </c>
      <c r="J619">
        <v>35.164000000000001</v>
      </c>
      <c r="K619">
        <v>703.28</v>
      </c>
      <c r="L619" s="1">
        <v>43577</v>
      </c>
      <c r="M619" s="2">
        <v>0.75694444444444442</v>
      </c>
      <c r="N619" t="s">
        <v>27</v>
      </c>
      <c r="O619">
        <v>439.55</v>
      </c>
      <c r="P619">
        <v>4.7619047620000003</v>
      </c>
      <c r="Q619">
        <v>263.73</v>
      </c>
      <c r="R619">
        <v>4.62</v>
      </c>
      <c r="S619">
        <v>96.078500000000005</v>
      </c>
      <c r="T619">
        <v>19.763300000000001</v>
      </c>
    </row>
    <row r="620" spans="1:20" x14ac:dyDescent="0.3">
      <c r="A620" t="s">
        <v>1030</v>
      </c>
      <c r="B620" t="s">
        <v>21</v>
      </c>
      <c r="C620" t="s">
        <v>1031</v>
      </c>
      <c r="D620" t="s">
        <v>23</v>
      </c>
      <c r="E620" t="s">
        <v>24</v>
      </c>
      <c r="F620" t="s">
        <v>36</v>
      </c>
      <c r="G620" t="s">
        <v>63</v>
      </c>
      <c r="H620">
        <v>98.53</v>
      </c>
      <c r="I620">
        <v>8</v>
      </c>
      <c r="J620">
        <v>39.411999999999999</v>
      </c>
      <c r="K620">
        <v>788.24</v>
      </c>
      <c r="L620" s="1">
        <v>43761</v>
      </c>
      <c r="M620" s="2">
        <v>0.47361111111111109</v>
      </c>
      <c r="N620" t="s">
        <v>37</v>
      </c>
      <c r="O620">
        <v>591.17999999999995</v>
      </c>
      <c r="P620">
        <v>4.7619047620000003</v>
      </c>
      <c r="Q620">
        <v>197.06</v>
      </c>
      <c r="R620">
        <v>4</v>
      </c>
      <c r="S620">
        <v>96.173500000000004</v>
      </c>
      <c r="T620">
        <v>16.840900000000001</v>
      </c>
    </row>
    <row r="621" spans="1:20" x14ac:dyDescent="0.3">
      <c r="A621" t="s">
        <v>1032</v>
      </c>
      <c r="B621" t="s">
        <v>29</v>
      </c>
      <c r="C621" t="s">
        <v>125</v>
      </c>
      <c r="D621" t="s">
        <v>31</v>
      </c>
      <c r="E621" t="s">
        <v>24</v>
      </c>
      <c r="F621" t="s">
        <v>25</v>
      </c>
      <c r="G621" t="s">
        <v>100</v>
      </c>
      <c r="H621">
        <v>43.46</v>
      </c>
      <c r="I621">
        <v>10</v>
      </c>
      <c r="J621">
        <v>21.73</v>
      </c>
      <c r="K621">
        <v>434.6</v>
      </c>
      <c r="L621" s="1">
        <v>43817</v>
      </c>
      <c r="M621" s="2">
        <v>0.74652777777777779</v>
      </c>
      <c r="N621" t="s">
        <v>27</v>
      </c>
      <c r="O621">
        <v>260.76</v>
      </c>
      <c r="P621">
        <v>4.7619047620000003</v>
      </c>
      <c r="Q621">
        <v>173.84</v>
      </c>
      <c r="R621">
        <v>8.9250000000000007</v>
      </c>
      <c r="S621">
        <v>96.078500000000005</v>
      </c>
      <c r="T621">
        <v>19.763300000000001</v>
      </c>
    </row>
    <row r="622" spans="1:20" x14ac:dyDescent="0.3">
      <c r="A622" t="s">
        <v>1033</v>
      </c>
      <c r="B622" t="s">
        <v>21</v>
      </c>
      <c r="C622" t="s">
        <v>39</v>
      </c>
      <c r="D622" t="s">
        <v>23</v>
      </c>
      <c r="E622" t="s">
        <v>32</v>
      </c>
      <c r="F622" t="s">
        <v>25</v>
      </c>
      <c r="G622" t="s">
        <v>63</v>
      </c>
      <c r="H622">
        <v>71.680000000000007</v>
      </c>
      <c r="I622">
        <v>3</v>
      </c>
      <c r="J622">
        <v>10.752000000000001</v>
      </c>
      <c r="K622">
        <v>215.04</v>
      </c>
      <c r="L622" s="1">
        <v>43680</v>
      </c>
      <c r="M622" s="2">
        <v>0.64583333333333337</v>
      </c>
      <c r="N622" t="s">
        <v>37</v>
      </c>
      <c r="O622">
        <v>215.04</v>
      </c>
      <c r="P622">
        <v>4.7619047620000003</v>
      </c>
      <c r="Q622">
        <v>0</v>
      </c>
      <c r="R622">
        <v>9.1999999999999993</v>
      </c>
      <c r="S622">
        <v>96.173500000000004</v>
      </c>
      <c r="T622">
        <v>16.840900000000001</v>
      </c>
    </row>
    <row r="623" spans="1:20" x14ac:dyDescent="0.3">
      <c r="A623" t="s">
        <v>1034</v>
      </c>
      <c r="B623" t="s">
        <v>21</v>
      </c>
      <c r="C623" t="s">
        <v>1035</v>
      </c>
      <c r="D623" t="s">
        <v>23</v>
      </c>
      <c r="E623" t="s">
        <v>32</v>
      </c>
      <c r="F623" t="s">
        <v>25</v>
      </c>
      <c r="G623" t="s">
        <v>68</v>
      </c>
      <c r="H623">
        <v>91.61</v>
      </c>
      <c r="I623">
        <v>1</v>
      </c>
      <c r="J623">
        <v>4.5804999999999998</v>
      </c>
      <c r="K623">
        <v>91.61</v>
      </c>
      <c r="L623" s="1">
        <v>43478</v>
      </c>
      <c r="M623" s="2">
        <v>0.82222222222222219</v>
      </c>
      <c r="N623" t="s">
        <v>33</v>
      </c>
      <c r="O623">
        <v>91.61</v>
      </c>
      <c r="P623">
        <v>4.7619047620000003</v>
      </c>
      <c r="Q623">
        <v>0</v>
      </c>
      <c r="R623">
        <v>9.8000000000000007</v>
      </c>
      <c r="S623">
        <v>96.173500000000004</v>
      </c>
      <c r="T623">
        <v>16.840900000000001</v>
      </c>
    </row>
    <row r="624" spans="1:20" x14ac:dyDescent="0.3">
      <c r="A624" t="s">
        <v>1036</v>
      </c>
      <c r="B624" t="s">
        <v>51</v>
      </c>
      <c r="C624" t="s">
        <v>665</v>
      </c>
      <c r="D624" t="s">
        <v>53</v>
      </c>
      <c r="E624" t="s">
        <v>32</v>
      </c>
      <c r="F624" t="s">
        <v>25</v>
      </c>
      <c r="G624" t="s">
        <v>68</v>
      </c>
      <c r="H624">
        <v>94.59</v>
      </c>
      <c r="I624">
        <v>10</v>
      </c>
      <c r="J624">
        <v>47.295000000000002</v>
      </c>
      <c r="K624">
        <v>945.9</v>
      </c>
      <c r="L624" s="1">
        <v>43493</v>
      </c>
      <c r="M624" s="2">
        <v>0.64375000000000004</v>
      </c>
      <c r="N624" t="s">
        <v>37</v>
      </c>
      <c r="O624">
        <v>662.13</v>
      </c>
      <c r="P624">
        <v>4.7619047620000003</v>
      </c>
      <c r="Q624">
        <v>283.77</v>
      </c>
      <c r="R624">
        <v>5.88</v>
      </c>
      <c r="S624">
        <v>96.089100000000002</v>
      </c>
      <c r="T624">
        <v>21.9588</v>
      </c>
    </row>
    <row r="625" spans="1:20" x14ac:dyDescent="0.3">
      <c r="A625" t="s">
        <v>1037</v>
      </c>
      <c r="B625" t="s">
        <v>51</v>
      </c>
      <c r="C625" t="s">
        <v>440</v>
      </c>
      <c r="D625" t="s">
        <v>53</v>
      </c>
      <c r="E625" t="s">
        <v>32</v>
      </c>
      <c r="F625" t="s">
        <v>25</v>
      </c>
      <c r="G625" t="s">
        <v>68</v>
      </c>
      <c r="H625">
        <v>83.25</v>
      </c>
      <c r="I625">
        <v>14</v>
      </c>
      <c r="J625">
        <v>58.274999999999999</v>
      </c>
      <c r="K625">
        <v>1165.5</v>
      </c>
      <c r="L625" s="1">
        <v>43648</v>
      </c>
      <c r="M625" s="2">
        <v>0.47569444444444442</v>
      </c>
      <c r="N625" t="s">
        <v>37</v>
      </c>
      <c r="O625">
        <v>832.5</v>
      </c>
      <c r="P625">
        <v>4.7619047620000003</v>
      </c>
      <c r="Q625">
        <v>333</v>
      </c>
      <c r="R625">
        <v>5.28</v>
      </c>
      <c r="S625">
        <v>96.089100000000002</v>
      </c>
      <c r="T625">
        <v>21.9588</v>
      </c>
    </row>
    <row r="626" spans="1:20" x14ac:dyDescent="0.3">
      <c r="A626" t="s">
        <v>1038</v>
      </c>
      <c r="B626" t="s">
        <v>51</v>
      </c>
      <c r="C626" t="s">
        <v>980</v>
      </c>
      <c r="D626" t="s">
        <v>53</v>
      </c>
      <c r="E626" t="s">
        <v>32</v>
      </c>
      <c r="F626" t="s">
        <v>36</v>
      </c>
      <c r="G626" t="s">
        <v>68</v>
      </c>
      <c r="H626">
        <v>91.35</v>
      </c>
      <c r="I626">
        <v>1</v>
      </c>
      <c r="J626">
        <v>4.5674999999999999</v>
      </c>
      <c r="K626">
        <v>91.35</v>
      </c>
      <c r="L626" s="1">
        <v>43775</v>
      </c>
      <c r="M626" s="2">
        <v>0.65416666666666667</v>
      </c>
      <c r="N626" t="s">
        <v>33</v>
      </c>
      <c r="O626">
        <v>91.35</v>
      </c>
      <c r="P626">
        <v>4.7619047620000003</v>
      </c>
      <c r="Q626">
        <v>0</v>
      </c>
      <c r="R626">
        <v>8.16</v>
      </c>
      <c r="S626">
        <v>96.089100000000002</v>
      </c>
      <c r="T626">
        <v>21.9588</v>
      </c>
    </row>
    <row r="627" spans="1:20" x14ac:dyDescent="0.3">
      <c r="A627" t="s">
        <v>1039</v>
      </c>
      <c r="B627" t="s">
        <v>51</v>
      </c>
      <c r="C627" t="s">
        <v>458</v>
      </c>
      <c r="D627" t="s">
        <v>53</v>
      </c>
      <c r="E627" t="s">
        <v>32</v>
      </c>
      <c r="F627" t="s">
        <v>25</v>
      </c>
      <c r="G627" t="s">
        <v>68</v>
      </c>
      <c r="H627">
        <v>78.88</v>
      </c>
      <c r="I627">
        <v>3</v>
      </c>
      <c r="J627">
        <v>11.832000000000001</v>
      </c>
      <c r="K627">
        <v>236.64</v>
      </c>
      <c r="L627" s="1">
        <v>43616</v>
      </c>
      <c r="M627" s="2">
        <v>0.6694444444444444</v>
      </c>
      <c r="N627" t="s">
        <v>33</v>
      </c>
      <c r="O627">
        <v>157.76</v>
      </c>
      <c r="P627">
        <v>4.7619047620000003</v>
      </c>
      <c r="Q627">
        <v>78.88</v>
      </c>
      <c r="R627">
        <v>10</v>
      </c>
      <c r="S627">
        <v>96.089100000000002</v>
      </c>
      <c r="T627">
        <v>21.9588</v>
      </c>
    </row>
    <row r="628" spans="1:20" x14ac:dyDescent="0.3">
      <c r="A628" t="s">
        <v>1040</v>
      </c>
      <c r="B628" t="s">
        <v>21</v>
      </c>
      <c r="C628" t="s">
        <v>687</v>
      </c>
      <c r="D628" t="s">
        <v>23</v>
      </c>
      <c r="E628" t="s">
        <v>32</v>
      </c>
      <c r="F628" t="s">
        <v>36</v>
      </c>
      <c r="G628" t="s">
        <v>68</v>
      </c>
      <c r="H628">
        <v>60.87</v>
      </c>
      <c r="I628">
        <v>2</v>
      </c>
      <c r="J628">
        <v>6.0869999999999997</v>
      </c>
      <c r="K628">
        <v>121.74</v>
      </c>
      <c r="L628" s="1">
        <v>43649</v>
      </c>
      <c r="M628" s="2">
        <v>0.52569444444444446</v>
      </c>
      <c r="N628" t="s">
        <v>27</v>
      </c>
      <c r="O628">
        <v>121.74</v>
      </c>
      <c r="P628">
        <v>4.7619047620000003</v>
      </c>
      <c r="Q628">
        <v>0</v>
      </c>
      <c r="R628">
        <v>8.6999999999999993</v>
      </c>
      <c r="S628">
        <v>96.173500000000004</v>
      </c>
      <c r="T628">
        <v>16.840900000000001</v>
      </c>
    </row>
    <row r="629" spans="1:20" x14ac:dyDescent="0.3">
      <c r="A629" t="s">
        <v>1041</v>
      </c>
      <c r="B629" t="s">
        <v>51</v>
      </c>
      <c r="C629" t="s">
        <v>345</v>
      </c>
      <c r="D629" t="s">
        <v>53</v>
      </c>
      <c r="E629" t="s">
        <v>32</v>
      </c>
      <c r="F629" t="s">
        <v>36</v>
      </c>
      <c r="G629" t="s">
        <v>68</v>
      </c>
      <c r="H629">
        <v>82.58</v>
      </c>
      <c r="I629">
        <v>14</v>
      </c>
      <c r="J629">
        <v>57.805999999999997</v>
      </c>
      <c r="K629">
        <v>1156.1199999999999</v>
      </c>
      <c r="L629" s="1">
        <v>43476</v>
      </c>
      <c r="M629" s="2">
        <v>0.6118055555555556</v>
      </c>
      <c r="N629" t="s">
        <v>33</v>
      </c>
      <c r="O629">
        <v>825.8</v>
      </c>
      <c r="P629">
        <v>4.7619047620000003</v>
      </c>
      <c r="Q629">
        <v>330.32</v>
      </c>
      <c r="R629">
        <v>7.46</v>
      </c>
      <c r="S629">
        <v>96.089100000000002</v>
      </c>
      <c r="T629">
        <v>21.9588</v>
      </c>
    </row>
    <row r="630" spans="1:20" x14ac:dyDescent="0.3">
      <c r="A630" t="s">
        <v>1042</v>
      </c>
      <c r="B630" t="s">
        <v>21</v>
      </c>
      <c r="C630" t="s">
        <v>1043</v>
      </c>
      <c r="D630" t="s">
        <v>23</v>
      </c>
      <c r="E630" t="s">
        <v>32</v>
      </c>
      <c r="F630" t="s">
        <v>36</v>
      </c>
      <c r="G630" t="s">
        <v>68</v>
      </c>
      <c r="H630">
        <v>53.3</v>
      </c>
      <c r="I630">
        <v>3</v>
      </c>
      <c r="J630">
        <v>7.9950000000000001</v>
      </c>
      <c r="K630">
        <v>159.9</v>
      </c>
      <c r="L630" s="1">
        <v>43620</v>
      </c>
      <c r="M630" s="2">
        <v>0.59652777777777777</v>
      </c>
      <c r="N630" t="s">
        <v>27</v>
      </c>
      <c r="O630">
        <v>159.9</v>
      </c>
      <c r="P630">
        <v>4.7619047620000003</v>
      </c>
      <c r="Q630">
        <v>0</v>
      </c>
      <c r="R630">
        <v>7.46</v>
      </c>
      <c r="S630">
        <v>96.173500000000004</v>
      </c>
      <c r="T630">
        <v>16.840900000000001</v>
      </c>
    </row>
    <row r="631" spans="1:20" x14ac:dyDescent="0.3">
      <c r="A631" t="s">
        <v>1044</v>
      </c>
      <c r="B631" t="s">
        <v>21</v>
      </c>
      <c r="C631" t="s">
        <v>1045</v>
      </c>
      <c r="D631" t="s">
        <v>23</v>
      </c>
      <c r="E631" t="s">
        <v>32</v>
      </c>
      <c r="F631" t="s">
        <v>25</v>
      </c>
      <c r="G631" t="s">
        <v>68</v>
      </c>
      <c r="H631">
        <v>12.09</v>
      </c>
      <c r="I631">
        <v>1</v>
      </c>
      <c r="J631">
        <v>0.60450000000000004</v>
      </c>
      <c r="K631">
        <v>12.09</v>
      </c>
      <c r="L631" s="1">
        <v>43669</v>
      </c>
      <c r="M631" s="2">
        <v>0.7631944444444444</v>
      </c>
      <c r="N631" t="s">
        <v>37</v>
      </c>
      <c r="O631">
        <v>12.09</v>
      </c>
      <c r="P631">
        <v>4.7619047620000003</v>
      </c>
      <c r="Q631">
        <v>0</v>
      </c>
      <c r="R631">
        <v>7.46</v>
      </c>
      <c r="S631">
        <v>96.173500000000004</v>
      </c>
      <c r="T631">
        <v>16.840900000000001</v>
      </c>
    </row>
    <row r="632" spans="1:20" x14ac:dyDescent="0.3">
      <c r="A632" t="s">
        <v>1046</v>
      </c>
      <c r="B632" t="s">
        <v>21</v>
      </c>
      <c r="C632" t="s">
        <v>1047</v>
      </c>
      <c r="D632" t="s">
        <v>23</v>
      </c>
      <c r="E632" t="s">
        <v>32</v>
      </c>
      <c r="F632" t="s">
        <v>36</v>
      </c>
      <c r="G632" t="s">
        <v>68</v>
      </c>
      <c r="H632">
        <v>64.19</v>
      </c>
      <c r="I632">
        <v>10</v>
      </c>
      <c r="J632">
        <v>32.094999999999999</v>
      </c>
      <c r="K632">
        <v>641.9</v>
      </c>
      <c r="L632" s="1">
        <v>43536</v>
      </c>
      <c r="M632" s="2">
        <v>0.58888888888888891</v>
      </c>
      <c r="N632" t="s">
        <v>37</v>
      </c>
      <c r="O632">
        <v>641.9</v>
      </c>
      <c r="P632">
        <v>4.7619047620000003</v>
      </c>
      <c r="Q632">
        <v>0</v>
      </c>
      <c r="R632">
        <v>7.46</v>
      </c>
      <c r="S632">
        <v>96.173500000000004</v>
      </c>
      <c r="T632">
        <v>16.840900000000001</v>
      </c>
    </row>
    <row r="633" spans="1:20" x14ac:dyDescent="0.3">
      <c r="A633" t="s">
        <v>1048</v>
      </c>
      <c r="B633" t="s">
        <v>21</v>
      </c>
      <c r="C633" t="s">
        <v>354</v>
      </c>
      <c r="D633" t="s">
        <v>23</v>
      </c>
      <c r="E633" t="s">
        <v>32</v>
      </c>
      <c r="F633" t="s">
        <v>36</v>
      </c>
      <c r="G633" t="s">
        <v>60</v>
      </c>
      <c r="H633">
        <v>78.31</v>
      </c>
      <c r="I633">
        <v>3</v>
      </c>
      <c r="J633">
        <v>11.746499999999999</v>
      </c>
      <c r="K633">
        <v>234.93</v>
      </c>
      <c r="L633" s="1">
        <v>43679</v>
      </c>
      <c r="M633" s="2">
        <v>0.69305555555555554</v>
      </c>
      <c r="N633" t="s">
        <v>27</v>
      </c>
      <c r="O633">
        <v>234.93</v>
      </c>
      <c r="P633">
        <v>4.7619047620000003</v>
      </c>
      <c r="Q633">
        <v>0</v>
      </c>
      <c r="R633">
        <v>7.46</v>
      </c>
      <c r="S633">
        <v>96.173500000000004</v>
      </c>
      <c r="T633">
        <v>16.840900000000001</v>
      </c>
    </row>
    <row r="634" spans="1:20" x14ac:dyDescent="0.3">
      <c r="A634" t="s">
        <v>1049</v>
      </c>
      <c r="B634" t="s">
        <v>21</v>
      </c>
      <c r="C634" t="s">
        <v>1050</v>
      </c>
      <c r="D634" t="s">
        <v>23</v>
      </c>
      <c r="E634" t="s">
        <v>32</v>
      </c>
      <c r="F634" t="s">
        <v>36</v>
      </c>
      <c r="G634" t="s">
        <v>63</v>
      </c>
      <c r="H634">
        <v>83.77</v>
      </c>
      <c r="I634">
        <v>2</v>
      </c>
      <c r="J634">
        <v>8.3770000000000007</v>
      </c>
      <c r="K634">
        <v>167.54</v>
      </c>
      <c r="L634" s="1">
        <v>43489</v>
      </c>
      <c r="M634" s="2">
        <v>0.45416666666666666</v>
      </c>
      <c r="N634" t="s">
        <v>37</v>
      </c>
      <c r="O634">
        <v>167.54</v>
      </c>
      <c r="P634">
        <v>4.7619047620000003</v>
      </c>
      <c r="Q634">
        <v>0</v>
      </c>
      <c r="R634">
        <v>7</v>
      </c>
      <c r="S634">
        <v>96.173500000000004</v>
      </c>
      <c r="T634">
        <v>16.840900000000001</v>
      </c>
    </row>
    <row r="635" spans="1:20" x14ac:dyDescent="0.3">
      <c r="A635" t="s">
        <v>1051</v>
      </c>
      <c r="B635" t="s">
        <v>51</v>
      </c>
      <c r="C635" t="s">
        <v>1052</v>
      </c>
      <c r="D635" t="s">
        <v>53</v>
      </c>
      <c r="E635" t="s">
        <v>32</v>
      </c>
      <c r="F635" t="s">
        <v>36</v>
      </c>
      <c r="G635" t="s">
        <v>77</v>
      </c>
      <c r="H635">
        <v>99.7</v>
      </c>
      <c r="I635">
        <v>4</v>
      </c>
      <c r="J635">
        <v>19.940000000000001</v>
      </c>
      <c r="K635">
        <v>398.8</v>
      </c>
      <c r="L635" s="1">
        <v>43787</v>
      </c>
      <c r="M635" s="2">
        <v>0.47847222222222224</v>
      </c>
      <c r="N635" t="s">
        <v>27</v>
      </c>
      <c r="O635">
        <v>299.10000000000002</v>
      </c>
      <c r="P635">
        <v>4.7619047620000003</v>
      </c>
      <c r="Q635">
        <v>99.7</v>
      </c>
      <c r="R635">
        <v>5.64</v>
      </c>
      <c r="S635">
        <v>96.089100000000002</v>
      </c>
      <c r="T635">
        <v>21.9588</v>
      </c>
    </row>
    <row r="636" spans="1:20" x14ac:dyDescent="0.3">
      <c r="A636" t="s">
        <v>1053</v>
      </c>
      <c r="B636" t="s">
        <v>51</v>
      </c>
      <c r="C636" t="s">
        <v>268</v>
      </c>
      <c r="D636" t="s">
        <v>53</v>
      </c>
      <c r="E636" t="s">
        <v>32</v>
      </c>
      <c r="F636" t="s">
        <v>36</v>
      </c>
      <c r="G636" t="s">
        <v>63</v>
      </c>
      <c r="H636">
        <v>79.91</v>
      </c>
      <c r="I636">
        <v>4</v>
      </c>
      <c r="J636">
        <v>15.981999999999999</v>
      </c>
      <c r="K636">
        <v>319.64</v>
      </c>
      <c r="L636" s="1">
        <v>43781</v>
      </c>
      <c r="M636" s="2">
        <v>0.81111111111111112</v>
      </c>
      <c r="N636" t="s">
        <v>37</v>
      </c>
      <c r="O636">
        <v>239.73</v>
      </c>
      <c r="P636">
        <v>4.7619047620000003</v>
      </c>
      <c r="Q636">
        <v>79.91</v>
      </c>
      <c r="R636">
        <v>6</v>
      </c>
      <c r="S636">
        <v>96.089100000000002</v>
      </c>
      <c r="T636">
        <v>21.9588</v>
      </c>
    </row>
    <row r="637" spans="1:20" x14ac:dyDescent="0.3">
      <c r="A637" t="s">
        <v>1054</v>
      </c>
      <c r="B637" t="s">
        <v>51</v>
      </c>
      <c r="C637" t="s">
        <v>706</v>
      </c>
      <c r="D637" t="s">
        <v>53</v>
      </c>
      <c r="E637" t="s">
        <v>32</v>
      </c>
      <c r="F637" t="s">
        <v>36</v>
      </c>
      <c r="G637" t="s">
        <v>100</v>
      </c>
      <c r="H637">
        <v>66.47</v>
      </c>
      <c r="I637">
        <v>14</v>
      </c>
      <c r="J637">
        <v>46.529000000000003</v>
      </c>
      <c r="K637">
        <v>930.58</v>
      </c>
      <c r="L637" s="1">
        <v>43710</v>
      </c>
      <c r="M637" s="2">
        <v>0.62569444444444444</v>
      </c>
      <c r="N637" t="s">
        <v>37</v>
      </c>
      <c r="O637">
        <v>664.7</v>
      </c>
      <c r="P637">
        <v>4.7619047620000003</v>
      </c>
      <c r="Q637">
        <v>265.88</v>
      </c>
      <c r="R637">
        <v>6</v>
      </c>
      <c r="S637">
        <v>96.089100000000002</v>
      </c>
      <c r="T637">
        <v>21.9588</v>
      </c>
    </row>
    <row r="638" spans="1:20" x14ac:dyDescent="0.3">
      <c r="A638" t="s">
        <v>1055</v>
      </c>
      <c r="B638" t="s">
        <v>21</v>
      </c>
      <c r="C638" t="s">
        <v>150</v>
      </c>
      <c r="D638" t="s">
        <v>23</v>
      </c>
      <c r="E638" t="s">
        <v>32</v>
      </c>
      <c r="F638" t="s">
        <v>36</v>
      </c>
      <c r="G638" t="s">
        <v>100</v>
      </c>
      <c r="H638">
        <v>28.95</v>
      </c>
      <c r="I638">
        <v>7</v>
      </c>
      <c r="J638">
        <v>10.1325</v>
      </c>
      <c r="K638">
        <v>202.65</v>
      </c>
      <c r="L638" s="1">
        <v>43605</v>
      </c>
      <c r="M638" s="2">
        <v>0.85486111111111107</v>
      </c>
      <c r="N638" t="s">
        <v>37</v>
      </c>
      <c r="O638">
        <v>202.65</v>
      </c>
      <c r="P638">
        <v>4.7619047620000003</v>
      </c>
      <c r="Q638">
        <v>0</v>
      </c>
      <c r="R638">
        <v>6</v>
      </c>
      <c r="S638">
        <v>96.173500000000004</v>
      </c>
      <c r="T638">
        <v>16.840900000000001</v>
      </c>
    </row>
    <row r="639" spans="1:20" x14ac:dyDescent="0.3">
      <c r="A639" t="s">
        <v>1056</v>
      </c>
      <c r="B639" t="s">
        <v>29</v>
      </c>
      <c r="C639" t="s">
        <v>1057</v>
      </c>
      <c r="D639" t="s">
        <v>31</v>
      </c>
      <c r="E639" t="s">
        <v>32</v>
      </c>
      <c r="F639" t="s">
        <v>25</v>
      </c>
      <c r="G639" t="s">
        <v>100</v>
      </c>
      <c r="H639">
        <v>46.2</v>
      </c>
      <c r="I639">
        <v>1</v>
      </c>
      <c r="J639">
        <v>2.31</v>
      </c>
      <c r="K639">
        <v>46.2</v>
      </c>
      <c r="L639" s="1">
        <v>43615</v>
      </c>
      <c r="M639" s="2">
        <v>0.51111111111111107</v>
      </c>
      <c r="N639" t="s">
        <v>33</v>
      </c>
      <c r="O639">
        <v>46.2</v>
      </c>
      <c r="P639">
        <v>4.7619047620000003</v>
      </c>
      <c r="Q639">
        <v>0</v>
      </c>
      <c r="R639">
        <v>6.6150000000000002</v>
      </c>
      <c r="S639">
        <v>96.078500000000005</v>
      </c>
      <c r="T639">
        <v>19.763300000000001</v>
      </c>
    </row>
    <row r="640" spans="1:20" x14ac:dyDescent="0.3">
      <c r="A640" t="s">
        <v>1058</v>
      </c>
      <c r="B640" t="s">
        <v>51</v>
      </c>
      <c r="C640" t="s">
        <v>791</v>
      </c>
      <c r="D640" t="s">
        <v>53</v>
      </c>
      <c r="E640" t="s">
        <v>24</v>
      </c>
      <c r="F640" t="s">
        <v>25</v>
      </c>
      <c r="G640" t="s">
        <v>100</v>
      </c>
      <c r="H640">
        <v>17.63</v>
      </c>
      <c r="I640">
        <v>10</v>
      </c>
      <c r="J640">
        <v>8.8149999999999995</v>
      </c>
      <c r="K640">
        <v>176.3</v>
      </c>
      <c r="L640" s="1">
        <v>43587</v>
      </c>
      <c r="M640" s="2">
        <v>0.64375000000000004</v>
      </c>
      <c r="N640" t="s">
        <v>33</v>
      </c>
      <c r="O640">
        <v>88.15</v>
      </c>
      <c r="P640">
        <v>4.7619047620000003</v>
      </c>
      <c r="Q640">
        <v>88.15</v>
      </c>
      <c r="R640">
        <v>10</v>
      </c>
      <c r="S640">
        <v>96.089100000000002</v>
      </c>
      <c r="T640">
        <v>21.9588</v>
      </c>
    </row>
    <row r="641" spans="1:20" x14ac:dyDescent="0.3">
      <c r="A641" t="s">
        <v>1059</v>
      </c>
      <c r="B641" t="s">
        <v>51</v>
      </c>
      <c r="C641" t="s">
        <v>514</v>
      </c>
      <c r="D641" t="s">
        <v>53</v>
      </c>
      <c r="E641" t="s">
        <v>32</v>
      </c>
      <c r="F641" t="s">
        <v>36</v>
      </c>
      <c r="G641" t="s">
        <v>100</v>
      </c>
      <c r="H641">
        <v>52.42</v>
      </c>
      <c r="I641">
        <v>4</v>
      </c>
      <c r="J641">
        <v>10.484</v>
      </c>
      <c r="K641">
        <v>209.68</v>
      </c>
      <c r="L641" s="1">
        <v>43652</v>
      </c>
      <c r="M641" s="2">
        <v>0.73333333333333328</v>
      </c>
      <c r="N641" t="s">
        <v>27</v>
      </c>
      <c r="O641">
        <v>157.26</v>
      </c>
      <c r="P641">
        <v>4.7619047620000003</v>
      </c>
      <c r="Q641">
        <v>52.42</v>
      </c>
      <c r="R641">
        <v>9</v>
      </c>
      <c r="S641">
        <v>96.089100000000002</v>
      </c>
      <c r="T641">
        <v>21.9588</v>
      </c>
    </row>
    <row r="642" spans="1:20" x14ac:dyDescent="0.3">
      <c r="A642" t="s">
        <v>1060</v>
      </c>
      <c r="B642" t="s">
        <v>51</v>
      </c>
      <c r="C642" t="s">
        <v>895</v>
      </c>
      <c r="D642" t="s">
        <v>53</v>
      </c>
      <c r="E642" t="s">
        <v>24</v>
      </c>
      <c r="F642" t="s">
        <v>25</v>
      </c>
      <c r="G642" t="s">
        <v>100</v>
      </c>
      <c r="H642">
        <v>98.79</v>
      </c>
      <c r="I642">
        <v>6</v>
      </c>
      <c r="J642">
        <v>29.637</v>
      </c>
      <c r="K642">
        <v>592.74</v>
      </c>
      <c r="L642" s="1">
        <v>43579</v>
      </c>
      <c r="M642" s="2">
        <v>0.83333333333333337</v>
      </c>
      <c r="N642" t="s">
        <v>27</v>
      </c>
      <c r="O642">
        <v>296.37</v>
      </c>
      <c r="P642">
        <v>4.7619047620000003</v>
      </c>
      <c r="Q642">
        <v>296.37</v>
      </c>
      <c r="R642">
        <v>7.68</v>
      </c>
      <c r="S642">
        <v>96.089100000000002</v>
      </c>
      <c r="T642">
        <v>21.9588</v>
      </c>
    </row>
    <row r="643" spans="1:20" x14ac:dyDescent="0.3">
      <c r="A643" t="s">
        <v>1061</v>
      </c>
      <c r="B643" t="s">
        <v>29</v>
      </c>
      <c r="C643" t="s">
        <v>30</v>
      </c>
      <c r="D643" t="s">
        <v>31</v>
      </c>
      <c r="E643" t="s">
        <v>24</v>
      </c>
      <c r="F643" t="s">
        <v>25</v>
      </c>
      <c r="G643" t="s">
        <v>100</v>
      </c>
      <c r="H643">
        <v>88.55</v>
      </c>
      <c r="I643">
        <v>14</v>
      </c>
      <c r="J643">
        <v>61.984999999999999</v>
      </c>
      <c r="K643">
        <v>1239.7</v>
      </c>
      <c r="L643" s="1">
        <v>43698</v>
      </c>
      <c r="M643" s="2">
        <v>0.64513888888888893</v>
      </c>
      <c r="N643" t="s">
        <v>27</v>
      </c>
      <c r="O643">
        <v>708.4</v>
      </c>
      <c r="P643">
        <v>4.7619047620000003</v>
      </c>
      <c r="Q643">
        <v>531.29999999999995</v>
      </c>
      <c r="R643">
        <v>4.9349999999999996</v>
      </c>
      <c r="S643">
        <v>96.078500000000005</v>
      </c>
      <c r="T643">
        <v>19.763300000000001</v>
      </c>
    </row>
    <row r="644" spans="1:20" x14ac:dyDescent="0.3">
      <c r="A644" t="s">
        <v>1062</v>
      </c>
      <c r="B644" t="s">
        <v>51</v>
      </c>
      <c r="C644" t="s">
        <v>328</v>
      </c>
      <c r="D644" t="s">
        <v>53</v>
      </c>
      <c r="E644" t="s">
        <v>24</v>
      </c>
      <c r="F644" t="s">
        <v>36</v>
      </c>
      <c r="G644" t="s">
        <v>100</v>
      </c>
      <c r="H644">
        <v>55.67</v>
      </c>
      <c r="I644">
        <v>4</v>
      </c>
      <c r="J644">
        <v>11.134</v>
      </c>
      <c r="K644">
        <v>222.68</v>
      </c>
      <c r="L644" s="1">
        <v>43724</v>
      </c>
      <c r="M644" s="2">
        <v>0.63055555555555554</v>
      </c>
      <c r="N644" t="s">
        <v>27</v>
      </c>
      <c r="O644">
        <v>111.34</v>
      </c>
      <c r="P644">
        <v>4.7619047620000003</v>
      </c>
      <c r="Q644">
        <v>111.34</v>
      </c>
      <c r="R644">
        <v>7.2</v>
      </c>
      <c r="S644">
        <v>96.089100000000002</v>
      </c>
      <c r="T644">
        <v>21.9588</v>
      </c>
    </row>
    <row r="645" spans="1:20" x14ac:dyDescent="0.3">
      <c r="A645" t="s">
        <v>1063</v>
      </c>
      <c r="B645" t="s">
        <v>29</v>
      </c>
      <c r="C645" t="s">
        <v>1064</v>
      </c>
      <c r="D645" t="s">
        <v>31</v>
      </c>
      <c r="E645" t="s">
        <v>24</v>
      </c>
      <c r="F645" t="s">
        <v>25</v>
      </c>
      <c r="G645" t="s">
        <v>100</v>
      </c>
      <c r="H645">
        <v>72.52</v>
      </c>
      <c r="I645">
        <v>14</v>
      </c>
      <c r="J645">
        <v>50.764000000000003</v>
      </c>
      <c r="K645">
        <v>1015.28</v>
      </c>
      <c r="L645" s="1">
        <v>43780</v>
      </c>
      <c r="M645" s="2">
        <v>0.80972222222222223</v>
      </c>
      <c r="N645" t="s">
        <v>37</v>
      </c>
      <c r="O645">
        <v>580.16</v>
      </c>
      <c r="P645">
        <v>4.7619047620000003</v>
      </c>
      <c r="Q645">
        <v>435.12</v>
      </c>
      <c r="R645">
        <v>4.2</v>
      </c>
      <c r="S645">
        <v>96.078500000000005</v>
      </c>
      <c r="T645">
        <v>19.763300000000001</v>
      </c>
    </row>
    <row r="646" spans="1:20" x14ac:dyDescent="0.3">
      <c r="A646" t="s">
        <v>1065</v>
      </c>
      <c r="B646" t="s">
        <v>29</v>
      </c>
      <c r="C646" t="s">
        <v>248</v>
      </c>
      <c r="D646" t="s">
        <v>31</v>
      </c>
      <c r="E646" t="s">
        <v>24</v>
      </c>
      <c r="F646" t="s">
        <v>36</v>
      </c>
      <c r="G646" t="s">
        <v>60</v>
      </c>
      <c r="H646">
        <v>12.05</v>
      </c>
      <c r="I646">
        <v>8</v>
      </c>
      <c r="J646">
        <v>4.82</v>
      </c>
      <c r="K646">
        <v>96.4</v>
      </c>
      <c r="L646" s="1">
        <v>43599</v>
      </c>
      <c r="M646" s="2">
        <v>0.66180555555555554</v>
      </c>
      <c r="N646" t="s">
        <v>27</v>
      </c>
      <c r="O646">
        <v>60.25</v>
      </c>
      <c r="P646">
        <v>4.7619047620000003</v>
      </c>
      <c r="Q646">
        <v>36.15</v>
      </c>
      <c r="R646">
        <v>5.7750000000000004</v>
      </c>
      <c r="S646">
        <v>96.078500000000005</v>
      </c>
      <c r="T646">
        <v>19.763300000000001</v>
      </c>
    </row>
    <row r="647" spans="1:20" x14ac:dyDescent="0.3">
      <c r="A647" t="s">
        <v>1066</v>
      </c>
      <c r="B647" t="s">
        <v>21</v>
      </c>
      <c r="C647" t="s">
        <v>512</v>
      </c>
      <c r="D647" t="s">
        <v>23</v>
      </c>
      <c r="E647" t="s">
        <v>24</v>
      </c>
      <c r="F647" t="s">
        <v>36</v>
      </c>
      <c r="G647" t="s">
        <v>77</v>
      </c>
      <c r="H647">
        <v>19.36</v>
      </c>
      <c r="I647">
        <v>13</v>
      </c>
      <c r="J647">
        <v>12.584</v>
      </c>
      <c r="K647">
        <v>251.68</v>
      </c>
      <c r="L647" s="1">
        <v>43707</v>
      </c>
      <c r="M647" s="2">
        <v>0.77986111111111112</v>
      </c>
      <c r="N647" t="s">
        <v>27</v>
      </c>
      <c r="O647">
        <v>174.24</v>
      </c>
      <c r="P647">
        <v>4.7619047620000003</v>
      </c>
      <c r="Q647">
        <v>77.44</v>
      </c>
      <c r="R647">
        <v>8.6999999999999993</v>
      </c>
      <c r="S647">
        <v>96.173500000000004</v>
      </c>
      <c r="T647">
        <v>16.840900000000001</v>
      </c>
    </row>
    <row r="648" spans="1:20" x14ac:dyDescent="0.3">
      <c r="A648" t="s">
        <v>1067</v>
      </c>
      <c r="B648" t="s">
        <v>29</v>
      </c>
      <c r="C648" t="s">
        <v>254</v>
      </c>
      <c r="D648" t="s">
        <v>31</v>
      </c>
      <c r="E648" t="s">
        <v>32</v>
      </c>
      <c r="F648" t="s">
        <v>36</v>
      </c>
      <c r="G648" t="s">
        <v>26</v>
      </c>
      <c r="H648">
        <v>70.209999999999994</v>
      </c>
      <c r="I648">
        <v>7</v>
      </c>
      <c r="J648">
        <v>24.573499999999999</v>
      </c>
      <c r="K648">
        <v>491.47</v>
      </c>
      <c r="L648" s="1">
        <v>43717</v>
      </c>
      <c r="M648" s="2">
        <v>0.62361111111111112</v>
      </c>
      <c r="N648" t="s">
        <v>33</v>
      </c>
      <c r="O648">
        <v>421.26</v>
      </c>
      <c r="P648">
        <v>4.7619047620000003</v>
      </c>
      <c r="Q648">
        <v>70.209999999999994</v>
      </c>
      <c r="R648">
        <v>7.77</v>
      </c>
      <c r="S648">
        <v>96.078500000000005</v>
      </c>
      <c r="T648">
        <v>19.763300000000001</v>
      </c>
    </row>
    <row r="649" spans="1:20" x14ac:dyDescent="0.3">
      <c r="A649" t="s">
        <v>1068</v>
      </c>
      <c r="B649" t="s">
        <v>51</v>
      </c>
      <c r="C649" t="s">
        <v>469</v>
      </c>
      <c r="D649" t="s">
        <v>53</v>
      </c>
      <c r="E649" t="s">
        <v>24</v>
      </c>
      <c r="F649" t="s">
        <v>36</v>
      </c>
      <c r="G649" t="s">
        <v>100</v>
      </c>
      <c r="H649">
        <v>33.630000000000003</v>
      </c>
      <c r="I649">
        <v>1</v>
      </c>
      <c r="J649">
        <v>1.6815</v>
      </c>
      <c r="K649">
        <v>33.630000000000003</v>
      </c>
      <c r="L649" s="1">
        <v>43514</v>
      </c>
      <c r="M649" s="2">
        <v>0.82986111111111116</v>
      </c>
      <c r="N649" t="s">
        <v>33</v>
      </c>
      <c r="O649">
        <v>33.630000000000003</v>
      </c>
      <c r="P649">
        <v>4.7619047620000003</v>
      </c>
      <c r="Q649">
        <v>0</v>
      </c>
      <c r="R649">
        <v>6.72</v>
      </c>
      <c r="S649">
        <v>96.089100000000002</v>
      </c>
      <c r="T649">
        <v>21.9588</v>
      </c>
    </row>
    <row r="650" spans="1:20" x14ac:dyDescent="0.3">
      <c r="A650" t="s">
        <v>1069</v>
      </c>
      <c r="B650" t="s">
        <v>29</v>
      </c>
      <c r="C650" t="s">
        <v>675</v>
      </c>
      <c r="D650" t="s">
        <v>31</v>
      </c>
      <c r="E650" t="s">
        <v>24</v>
      </c>
      <c r="F650" t="s">
        <v>25</v>
      </c>
      <c r="G650" t="s">
        <v>68</v>
      </c>
      <c r="H650">
        <v>15.49</v>
      </c>
      <c r="I650">
        <v>3</v>
      </c>
      <c r="J650">
        <v>2.3235000000000001</v>
      </c>
      <c r="K650">
        <v>46.47</v>
      </c>
      <c r="L650" s="1">
        <v>43788</v>
      </c>
      <c r="M650" s="2">
        <v>0.63194444444444442</v>
      </c>
      <c r="N650" t="s">
        <v>33</v>
      </c>
      <c r="O650">
        <v>30.98</v>
      </c>
      <c r="P650">
        <v>4.7619047620000003</v>
      </c>
      <c r="Q650">
        <v>15.49</v>
      </c>
      <c r="R650">
        <v>6.6150000000000002</v>
      </c>
      <c r="S650">
        <v>96.078500000000005</v>
      </c>
      <c r="T650">
        <v>19.763300000000001</v>
      </c>
    </row>
    <row r="651" spans="1:20" x14ac:dyDescent="0.3">
      <c r="A651" t="s">
        <v>1070</v>
      </c>
      <c r="B651" t="s">
        <v>29</v>
      </c>
      <c r="C651" t="s">
        <v>1071</v>
      </c>
      <c r="D651" t="s">
        <v>31</v>
      </c>
      <c r="E651" t="s">
        <v>32</v>
      </c>
      <c r="F651" t="s">
        <v>36</v>
      </c>
      <c r="G651" t="s">
        <v>60</v>
      </c>
      <c r="H651">
        <v>24.74</v>
      </c>
      <c r="I651">
        <v>12</v>
      </c>
      <c r="J651">
        <v>14.843999999999999</v>
      </c>
      <c r="K651">
        <v>296.88</v>
      </c>
      <c r="L651" s="1">
        <v>43590</v>
      </c>
      <c r="M651" s="2">
        <v>0.69722222222222219</v>
      </c>
      <c r="N651" t="s">
        <v>33</v>
      </c>
      <c r="O651">
        <v>247.4</v>
      </c>
      <c r="P651">
        <v>4.7619047620000003</v>
      </c>
      <c r="Q651">
        <v>49.48</v>
      </c>
      <c r="R651">
        <v>7.4550000000000001</v>
      </c>
      <c r="S651">
        <v>96.078500000000005</v>
      </c>
      <c r="T651">
        <v>19.763300000000001</v>
      </c>
    </row>
    <row r="652" spans="1:20" x14ac:dyDescent="0.3">
      <c r="A652" t="s">
        <v>1072</v>
      </c>
      <c r="B652" t="s">
        <v>51</v>
      </c>
      <c r="C652" t="s">
        <v>454</v>
      </c>
      <c r="D652" t="s">
        <v>53</v>
      </c>
      <c r="E652" t="s">
        <v>32</v>
      </c>
      <c r="F652" t="s">
        <v>36</v>
      </c>
      <c r="G652" t="s">
        <v>60</v>
      </c>
      <c r="H652">
        <v>75.66</v>
      </c>
      <c r="I652">
        <v>7</v>
      </c>
      <c r="J652">
        <v>26.481000000000002</v>
      </c>
      <c r="K652">
        <v>529.62</v>
      </c>
      <c r="L652" s="1">
        <v>43521</v>
      </c>
      <c r="M652" s="2">
        <v>0.76527777777777772</v>
      </c>
      <c r="N652" t="s">
        <v>27</v>
      </c>
      <c r="O652">
        <v>378.3</v>
      </c>
      <c r="P652">
        <v>4.7619047620000003</v>
      </c>
      <c r="Q652">
        <v>151.32</v>
      </c>
      <c r="R652">
        <v>9.36</v>
      </c>
      <c r="S652">
        <v>96.089100000000002</v>
      </c>
      <c r="T652">
        <v>21.9588</v>
      </c>
    </row>
    <row r="653" spans="1:20" x14ac:dyDescent="0.3">
      <c r="A653" t="s">
        <v>1073</v>
      </c>
      <c r="B653" t="s">
        <v>51</v>
      </c>
      <c r="C653" t="s">
        <v>830</v>
      </c>
      <c r="D653" t="s">
        <v>53</v>
      </c>
      <c r="E653" t="s">
        <v>32</v>
      </c>
      <c r="F653" t="s">
        <v>25</v>
      </c>
      <c r="G653" t="s">
        <v>26</v>
      </c>
      <c r="H653">
        <v>55.81</v>
      </c>
      <c r="I653">
        <v>8</v>
      </c>
      <c r="J653">
        <v>22.324000000000002</v>
      </c>
      <c r="K653">
        <v>446.48</v>
      </c>
      <c r="L653" s="1">
        <v>43695</v>
      </c>
      <c r="M653" s="2">
        <v>0.49444444444444446</v>
      </c>
      <c r="N653" t="s">
        <v>33</v>
      </c>
      <c r="O653">
        <v>334.86</v>
      </c>
      <c r="P653">
        <v>4.7619047620000003</v>
      </c>
      <c r="Q653">
        <v>111.62</v>
      </c>
      <c r="R653">
        <v>10</v>
      </c>
      <c r="S653">
        <v>96.089100000000002</v>
      </c>
      <c r="T653">
        <v>21.9588</v>
      </c>
    </row>
    <row r="654" spans="1:20" x14ac:dyDescent="0.3">
      <c r="A654" t="s">
        <v>1074</v>
      </c>
      <c r="B654" t="s">
        <v>21</v>
      </c>
      <c r="C654" t="s">
        <v>35</v>
      </c>
      <c r="D654" t="s">
        <v>23</v>
      </c>
      <c r="E654" t="s">
        <v>24</v>
      </c>
      <c r="F654" t="s">
        <v>36</v>
      </c>
      <c r="G654" t="s">
        <v>77</v>
      </c>
      <c r="H654">
        <v>72.78</v>
      </c>
      <c r="I654">
        <v>14</v>
      </c>
      <c r="J654">
        <v>50.945999999999998</v>
      </c>
      <c r="K654">
        <v>1018.92</v>
      </c>
      <c r="L654" s="1">
        <v>43531</v>
      </c>
      <c r="M654" s="2">
        <v>0.72499999999999998</v>
      </c>
      <c r="N654" t="s">
        <v>33</v>
      </c>
      <c r="O654">
        <v>727.8</v>
      </c>
      <c r="P654">
        <v>4.7619047620000003</v>
      </c>
      <c r="Q654">
        <v>291.12</v>
      </c>
      <c r="R654">
        <v>7.3</v>
      </c>
      <c r="S654">
        <v>96.173500000000004</v>
      </c>
      <c r="T654">
        <v>16.840900000000001</v>
      </c>
    </row>
    <row r="655" spans="1:20" x14ac:dyDescent="0.3">
      <c r="A655" t="s">
        <v>1075</v>
      </c>
      <c r="B655" t="s">
        <v>51</v>
      </c>
      <c r="C655" t="s">
        <v>948</v>
      </c>
      <c r="D655" t="s">
        <v>53</v>
      </c>
      <c r="E655" t="s">
        <v>24</v>
      </c>
      <c r="F655" t="s">
        <v>36</v>
      </c>
      <c r="G655" t="s">
        <v>68</v>
      </c>
      <c r="H655">
        <v>37.32</v>
      </c>
      <c r="I655">
        <v>18</v>
      </c>
      <c r="J655">
        <v>33.588000000000001</v>
      </c>
      <c r="K655">
        <v>671.76</v>
      </c>
      <c r="L655" s="1">
        <v>43643</v>
      </c>
      <c r="M655" s="2">
        <v>0.64652777777777781</v>
      </c>
      <c r="N655" t="s">
        <v>27</v>
      </c>
      <c r="O655">
        <v>335.88</v>
      </c>
      <c r="P655">
        <v>4.7619047620000003</v>
      </c>
      <c r="Q655">
        <v>335.88</v>
      </c>
      <c r="R655">
        <v>6.12</v>
      </c>
      <c r="S655">
        <v>96.089100000000002</v>
      </c>
      <c r="T655">
        <v>21.9588</v>
      </c>
    </row>
    <row r="656" spans="1:20" x14ac:dyDescent="0.3">
      <c r="A656" t="s">
        <v>1076</v>
      </c>
      <c r="B656" t="s">
        <v>51</v>
      </c>
      <c r="C656" t="s">
        <v>250</v>
      </c>
      <c r="D656" t="s">
        <v>53</v>
      </c>
      <c r="E656" t="s">
        <v>24</v>
      </c>
      <c r="F656" t="s">
        <v>36</v>
      </c>
      <c r="G656" t="s">
        <v>100</v>
      </c>
      <c r="H656">
        <v>60.18</v>
      </c>
      <c r="I656">
        <v>8</v>
      </c>
      <c r="J656">
        <v>24.071999999999999</v>
      </c>
      <c r="K656">
        <v>481.44</v>
      </c>
      <c r="L656" s="1">
        <v>43772</v>
      </c>
      <c r="M656" s="2">
        <v>0.75277777777777777</v>
      </c>
      <c r="N656" t="s">
        <v>37</v>
      </c>
      <c r="O656">
        <v>240.72</v>
      </c>
      <c r="P656">
        <v>4.7619047620000003</v>
      </c>
      <c r="Q656">
        <v>240.72</v>
      </c>
      <c r="R656">
        <v>10</v>
      </c>
      <c r="S656">
        <v>96.089100000000002</v>
      </c>
      <c r="T656">
        <v>21.9588</v>
      </c>
    </row>
    <row r="657" spans="1:20" x14ac:dyDescent="0.3">
      <c r="A657" t="s">
        <v>1077</v>
      </c>
      <c r="B657" t="s">
        <v>21</v>
      </c>
      <c r="C657" t="s">
        <v>1078</v>
      </c>
      <c r="D657" t="s">
        <v>23</v>
      </c>
      <c r="E657" t="s">
        <v>32</v>
      </c>
      <c r="F657" t="s">
        <v>25</v>
      </c>
      <c r="G657" t="s">
        <v>68</v>
      </c>
      <c r="H657">
        <v>15.69</v>
      </c>
      <c r="I657">
        <v>3</v>
      </c>
      <c r="J657">
        <v>2.3534999999999999</v>
      </c>
      <c r="K657">
        <v>47.07</v>
      </c>
      <c r="L657" s="1">
        <v>43584</v>
      </c>
      <c r="M657" s="2">
        <v>0.59236111111111112</v>
      </c>
      <c r="N657" t="s">
        <v>37</v>
      </c>
      <c r="O657">
        <v>47.07</v>
      </c>
      <c r="P657">
        <v>4.7619047620000003</v>
      </c>
      <c r="Q657">
        <v>0</v>
      </c>
      <c r="R657">
        <v>5.8</v>
      </c>
      <c r="S657">
        <v>96.173500000000004</v>
      </c>
      <c r="T657">
        <v>16.840900000000001</v>
      </c>
    </row>
    <row r="658" spans="1:20" x14ac:dyDescent="0.3">
      <c r="A658" t="s">
        <v>1079</v>
      </c>
      <c r="B658" t="s">
        <v>29</v>
      </c>
      <c r="C658" t="s">
        <v>524</v>
      </c>
      <c r="D658" t="s">
        <v>31</v>
      </c>
      <c r="E658" t="s">
        <v>32</v>
      </c>
      <c r="F658" t="s">
        <v>25</v>
      </c>
      <c r="G658" t="s">
        <v>68</v>
      </c>
      <c r="H658">
        <v>99.69</v>
      </c>
      <c r="I658">
        <v>1</v>
      </c>
      <c r="J658">
        <v>4.9844999999999997</v>
      </c>
      <c r="K658">
        <v>99.69</v>
      </c>
      <c r="L658" s="1">
        <v>43681</v>
      </c>
      <c r="M658" s="2">
        <v>0.43263888888888891</v>
      </c>
      <c r="N658" t="s">
        <v>37</v>
      </c>
      <c r="O658">
        <v>99.69</v>
      </c>
      <c r="P658">
        <v>4.7619047620000003</v>
      </c>
      <c r="Q658">
        <v>0</v>
      </c>
      <c r="R658">
        <v>8.4</v>
      </c>
      <c r="S658">
        <v>96.078500000000005</v>
      </c>
      <c r="T658">
        <v>19.763300000000001</v>
      </c>
    </row>
    <row r="659" spans="1:20" x14ac:dyDescent="0.3">
      <c r="A659" t="s">
        <v>1080</v>
      </c>
      <c r="B659" t="s">
        <v>21</v>
      </c>
      <c r="C659" t="s">
        <v>1081</v>
      </c>
      <c r="D659" t="s">
        <v>23</v>
      </c>
      <c r="E659" t="s">
        <v>24</v>
      </c>
      <c r="F659" t="s">
        <v>25</v>
      </c>
      <c r="G659" t="s">
        <v>68</v>
      </c>
      <c r="H659">
        <v>88.15</v>
      </c>
      <c r="I659">
        <v>4</v>
      </c>
      <c r="J659">
        <v>17.63</v>
      </c>
      <c r="K659">
        <v>352.6</v>
      </c>
      <c r="L659" s="1">
        <v>43498</v>
      </c>
      <c r="M659" s="2">
        <v>0.42430555555555555</v>
      </c>
      <c r="N659" t="s">
        <v>27</v>
      </c>
      <c r="O659">
        <v>264.45</v>
      </c>
      <c r="P659">
        <v>4.7619047620000003</v>
      </c>
      <c r="Q659">
        <v>88.15</v>
      </c>
      <c r="R659">
        <v>7.9</v>
      </c>
      <c r="S659">
        <v>96.173500000000004</v>
      </c>
      <c r="T659">
        <v>16.840900000000001</v>
      </c>
    </row>
    <row r="660" spans="1:20" x14ac:dyDescent="0.3">
      <c r="A660" t="s">
        <v>1082</v>
      </c>
      <c r="B660" t="s">
        <v>21</v>
      </c>
      <c r="C660" t="s">
        <v>337</v>
      </c>
      <c r="D660" t="s">
        <v>23</v>
      </c>
      <c r="E660" t="s">
        <v>24</v>
      </c>
      <c r="F660" t="s">
        <v>25</v>
      </c>
      <c r="G660" t="s">
        <v>68</v>
      </c>
      <c r="H660">
        <v>27.93</v>
      </c>
      <c r="I660">
        <v>7</v>
      </c>
      <c r="J660">
        <v>9.7754999999999992</v>
      </c>
      <c r="K660">
        <v>195.51</v>
      </c>
      <c r="L660" s="1">
        <v>43626</v>
      </c>
      <c r="M660" s="2">
        <v>0.65833333333333333</v>
      </c>
      <c r="N660" t="s">
        <v>33</v>
      </c>
      <c r="O660">
        <v>139.65</v>
      </c>
      <c r="P660">
        <v>4.7619047620000003</v>
      </c>
      <c r="Q660">
        <v>55.86</v>
      </c>
      <c r="R660">
        <v>5.9</v>
      </c>
      <c r="S660">
        <v>96.173500000000004</v>
      </c>
      <c r="T660">
        <v>16.840900000000001</v>
      </c>
    </row>
    <row r="661" spans="1:20" x14ac:dyDescent="0.3">
      <c r="A661" t="s">
        <v>1083</v>
      </c>
      <c r="B661" t="s">
        <v>21</v>
      </c>
      <c r="C661" t="s">
        <v>1084</v>
      </c>
      <c r="D661" t="s">
        <v>23</v>
      </c>
      <c r="E661" t="s">
        <v>24</v>
      </c>
      <c r="F661" t="s">
        <v>36</v>
      </c>
      <c r="G661" t="s">
        <v>100</v>
      </c>
      <c r="H661">
        <v>55.45</v>
      </c>
      <c r="I661">
        <v>1</v>
      </c>
      <c r="J661">
        <v>2.7725</v>
      </c>
      <c r="K661">
        <v>55.45</v>
      </c>
      <c r="L661" s="1">
        <v>43664</v>
      </c>
      <c r="M661" s="2">
        <v>0.74027777777777781</v>
      </c>
      <c r="N661" t="s">
        <v>37</v>
      </c>
      <c r="O661">
        <v>55.45</v>
      </c>
      <c r="P661">
        <v>4.7619047620000003</v>
      </c>
      <c r="Q661">
        <v>0</v>
      </c>
      <c r="R661">
        <v>4.9000000000000004</v>
      </c>
      <c r="S661">
        <v>96.173500000000004</v>
      </c>
      <c r="T661">
        <v>16.840900000000001</v>
      </c>
    </row>
    <row r="662" spans="1:20" x14ac:dyDescent="0.3">
      <c r="A662" t="s">
        <v>1085</v>
      </c>
      <c r="B662" t="s">
        <v>21</v>
      </c>
      <c r="C662" t="s">
        <v>99</v>
      </c>
      <c r="D662" t="s">
        <v>53</v>
      </c>
      <c r="E662" t="s">
        <v>32</v>
      </c>
      <c r="F662" t="s">
        <v>25</v>
      </c>
      <c r="G662" t="s">
        <v>68</v>
      </c>
      <c r="H662">
        <v>42.97</v>
      </c>
      <c r="I662">
        <v>4</v>
      </c>
      <c r="J662">
        <v>8.5939999999999994</v>
      </c>
      <c r="K662">
        <v>171.88</v>
      </c>
      <c r="L662" s="1">
        <v>43587</v>
      </c>
      <c r="M662" s="2">
        <v>0.49027777777777776</v>
      </c>
      <c r="N662" t="s">
        <v>33</v>
      </c>
      <c r="O662">
        <v>128.91</v>
      </c>
      <c r="P662">
        <v>4.7619047620000003</v>
      </c>
      <c r="Q662">
        <v>42.97</v>
      </c>
      <c r="R662">
        <v>10</v>
      </c>
      <c r="S662">
        <v>96.089100000000002</v>
      </c>
      <c r="T662">
        <v>21.9588</v>
      </c>
    </row>
    <row r="663" spans="1:20" x14ac:dyDescent="0.3">
      <c r="A663" t="s">
        <v>1086</v>
      </c>
      <c r="B663" t="s">
        <v>21</v>
      </c>
      <c r="C663" t="s">
        <v>868</v>
      </c>
      <c r="D663" t="s">
        <v>31</v>
      </c>
      <c r="E663" t="s">
        <v>24</v>
      </c>
      <c r="F663" t="s">
        <v>36</v>
      </c>
      <c r="G663" t="s">
        <v>68</v>
      </c>
      <c r="H663">
        <v>17.14</v>
      </c>
      <c r="I663">
        <v>11</v>
      </c>
      <c r="J663">
        <v>9.4269999999999996</v>
      </c>
      <c r="K663">
        <v>188.54</v>
      </c>
      <c r="L663" s="1">
        <v>43605</v>
      </c>
      <c r="M663" s="2">
        <v>0.50486111111111109</v>
      </c>
      <c r="N663" t="s">
        <v>37</v>
      </c>
      <c r="O663">
        <v>119.98</v>
      </c>
      <c r="P663">
        <v>4.7619047620000003</v>
      </c>
      <c r="Q663">
        <v>68.56</v>
      </c>
      <c r="R663">
        <v>8.2949999999999999</v>
      </c>
      <c r="S663">
        <v>96.078500000000005</v>
      </c>
      <c r="T663">
        <v>19.763300000000001</v>
      </c>
    </row>
    <row r="664" spans="1:20" x14ac:dyDescent="0.3">
      <c r="A664" t="s">
        <v>1087</v>
      </c>
      <c r="B664" t="s">
        <v>21</v>
      </c>
      <c r="C664" t="s">
        <v>830</v>
      </c>
      <c r="D664" t="s">
        <v>53</v>
      </c>
      <c r="E664" t="s">
        <v>24</v>
      </c>
      <c r="F664" t="s">
        <v>25</v>
      </c>
      <c r="G664" t="s">
        <v>100</v>
      </c>
      <c r="H664">
        <v>58.75</v>
      </c>
      <c r="I664">
        <v>11</v>
      </c>
      <c r="J664">
        <v>32.3125</v>
      </c>
      <c r="K664">
        <v>646.25</v>
      </c>
      <c r="L664" s="1">
        <v>43510</v>
      </c>
      <c r="M664" s="2">
        <v>0.75972222222222219</v>
      </c>
      <c r="N664" t="s">
        <v>37</v>
      </c>
      <c r="O664">
        <v>352.5</v>
      </c>
      <c r="P664">
        <v>4.7619047620000003</v>
      </c>
      <c r="Q664">
        <v>293.75</v>
      </c>
      <c r="R664">
        <v>7.08</v>
      </c>
      <c r="S664">
        <v>96.089100000000002</v>
      </c>
      <c r="T664">
        <v>21.9588</v>
      </c>
    </row>
    <row r="665" spans="1:20" x14ac:dyDescent="0.3">
      <c r="A665" t="s">
        <v>1088</v>
      </c>
      <c r="B665" t="s">
        <v>29</v>
      </c>
      <c r="C665" t="s">
        <v>30</v>
      </c>
      <c r="D665" t="s">
        <v>31</v>
      </c>
      <c r="E665" t="s">
        <v>24</v>
      </c>
      <c r="F665" t="s">
        <v>25</v>
      </c>
      <c r="G665" t="s">
        <v>63</v>
      </c>
      <c r="H665">
        <v>87.1</v>
      </c>
      <c r="I665">
        <v>17</v>
      </c>
      <c r="J665">
        <v>74.034999999999997</v>
      </c>
      <c r="K665">
        <v>1480.7</v>
      </c>
      <c r="L665" s="1">
        <v>43635</v>
      </c>
      <c r="M665" s="2">
        <v>0.61458333333333337</v>
      </c>
      <c r="N665" t="s">
        <v>37</v>
      </c>
      <c r="O665">
        <v>871</v>
      </c>
      <c r="P665">
        <v>4.7619047620000003</v>
      </c>
      <c r="Q665">
        <v>609.70000000000005</v>
      </c>
      <c r="R665">
        <v>10</v>
      </c>
      <c r="S665">
        <v>96.078500000000005</v>
      </c>
      <c r="T665">
        <v>19.763300000000001</v>
      </c>
    </row>
    <row r="666" spans="1:20" x14ac:dyDescent="0.3">
      <c r="A666" t="s">
        <v>1089</v>
      </c>
      <c r="B666" t="s">
        <v>29</v>
      </c>
      <c r="C666" t="s">
        <v>1090</v>
      </c>
      <c r="D666" t="s">
        <v>31</v>
      </c>
      <c r="E666" t="s">
        <v>32</v>
      </c>
      <c r="F666" t="s">
        <v>25</v>
      </c>
      <c r="G666" t="s">
        <v>68</v>
      </c>
      <c r="H666">
        <v>98.8</v>
      </c>
      <c r="I666">
        <v>2</v>
      </c>
      <c r="J666">
        <v>9.8800000000000008</v>
      </c>
      <c r="K666">
        <v>197.6</v>
      </c>
      <c r="L666" s="1">
        <v>43531</v>
      </c>
      <c r="M666" s="2">
        <v>0.48541666666666666</v>
      </c>
      <c r="N666" t="s">
        <v>33</v>
      </c>
      <c r="O666">
        <v>197.6</v>
      </c>
      <c r="P666">
        <v>4.7619047620000003</v>
      </c>
      <c r="Q666">
        <v>0</v>
      </c>
      <c r="R666">
        <v>8.0850000000000009</v>
      </c>
      <c r="S666">
        <v>96.078500000000005</v>
      </c>
      <c r="T666">
        <v>19.763300000000001</v>
      </c>
    </row>
    <row r="667" spans="1:20" x14ac:dyDescent="0.3">
      <c r="A667" t="s">
        <v>1091</v>
      </c>
      <c r="B667" t="s">
        <v>21</v>
      </c>
      <c r="C667" t="s">
        <v>885</v>
      </c>
      <c r="D667" t="s">
        <v>23</v>
      </c>
      <c r="E667" t="s">
        <v>32</v>
      </c>
      <c r="F667" t="s">
        <v>25</v>
      </c>
      <c r="G667" t="s">
        <v>100</v>
      </c>
      <c r="H667">
        <v>48.63</v>
      </c>
      <c r="I667">
        <v>4</v>
      </c>
      <c r="J667">
        <v>9.7260000000000009</v>
      </c>
      <c r="K667">
        <v>194.52</v>
      </c>
      <c r="L667" s="1">
        <v>43559</v>
      </c>
      <c r="M667" s="2">
        <v>0.65555555555555556</v>
      </c>
      <c r="N667" t="s">
        <v>27</v>
      </c>
      <c r="O667">
        <v>194.52</v>
      </c>
      <c r="P667">
        <v>4.7619047620000003</v>
      </c>
      <c r="Q667">
        <v>0</v>
      </c>
      <c r="R667">
        <v>7.6</v>
      </c>
      <c r="S667">
        <v>96.173500000000004</v>
      </c>
      <c r="T667">
        <v>16.840900000000001</v>
      </c>
    </row>
    <row r="668" spans="1:20" x14ac:dyDescent="0.3">
      <c r="A668" t="s">
        <v>1092</v>
      </c>
      <c r="B668" t="s">
        <v>51</v>
      </c>
      <c r="C668" t="s">
        <v>123</v>
      </c>
      <c r="D668" t="s">
        <v>53</v>
      </c>
      <c r="E668" t="s">
        <v>24</v>
      </c>
      <c r="F668" t="s">
        <v>36</v>
      </c>
      <c r="G668" t="s">
        <v>63</v>
      </c>
      <c r="H668">
        <v>57.74</v>
      </c>
      <c r="I668">
        <v>6</v>
      </c>
      <c r="J668">
        <v>17.321999999999999</v>
      </c>
      <c r="K668">
        <v>346.44</v>
      </c>
      <c r="L668" s="1">
        <v>43815</v>
      </c>
      <c r="M668" s="2">
        <v>0.54583333333333328</v>
      </c>
      <c r="N668" t="s">
        <v>27</v>
      </c>
      <c r="O668">
        <v>173.22</v>
      </c>
      <c r="P668">
        <v>4.7619047620000003</v>
      </c>
      <c r="Q668">
        <v>173.22</v>
      </c>
      <c r="R668">
        <v>9.24</v>
      </c>
      <c r="S668">
        <v>96.089100000000002</v>
      </c>
      <c r="T668">
        <v>21.9588</v>
      </c>
    </row>
    <row r="669" spans="1:20" x14ac:dyDescent="0.3">
      <c r="A669" t="s">
        <v>1093</v>
      </c>
      <c r="B669" t="s">
        <v>51</v>
      </c>
      <c r="C669" t="s">
        <v>859</v>
      </c>
      <c r="D669" t="s">
        <v>53</v>
      </c>
      <c r="E669" t="s">
        <v>32</v>
      </c>
      <c r="F669" t="s">
        <v>25</v>
      </c>
      <c r="G669" t="s">
        <v>100</v>
      </c>
      <c r="H669">
        <v>17.97</v>
      </c>
      <c r="I669">
        <v>6</v>
      </c>
      <c r="J669">
        <v>5.391</v>
      </c>
      <c r="K669">
        <v>107.82</v>
      </c>
      <c r="L669" s="1">
        <v>43748</v>
      </c>
      <c r="M669" s="2">
        <v>0.86319444444444449</v>
      </c>
      <c r="N669" t="s">
        <v>27</v>
      </c>
      <c r="O669">
        <v>71.88</v>
      </c>
      <c r="P669">
        <v>4.7619047620000003</v>
      </c>
      <c r="Q669">
        <v>35.94</v>
      </c>
      <c r="R669">
        <v>7.68</v>
      </c>
      <c r="S669">
        <v>96.089100000000002</v>
      </c>
      <c r="T669">
        <v>21.9588</v>
      </c>
    </row>
    <row r="670" spans="1:20" x14ac:dyDescent="0.3">
      <c r="A670" t="s">
        <v>1094</v>
      </c>
      <c r="B670" t="s">
        <v>29</v>
      </c>
      <c r="C670" t="s">
        <v>301</v>
      </c>
      <c r="D670" t="s">
        <v>31</v>
      </c>
      <c r="E670" t="s">
        <v>24</v>
      </c>
      <c r="F670" t="s">
        <v>25</v>
      </c>
      <c r="G670" t="s">
        <v>100</v>
      </c>
      <c r="H670">
        <v>47.71</v>
      </c>
      <c r="I670">
        <v>10</v>
      </c>
      <c r="J670">
        <v>23.855</v>
      </c>
      <c r="K670">
        <v>477.1</v>
      </c>
      <c r="L670" s="1">
        <v>43588</v>
      </c>
      <c r="M670" s="2">
        <v>0.59652777777777777</v>
      </c>
      <c r="N670" t="s">
        <v>27</v>
      </c>
      <c r="O670">
        <v>286.26</v>
      </c>
      <c r="P670">
        <v>4.7619047620000003</v>
      </c>
      <c r="Q670">
        <v>190.84</v>
      </c>
      <c r="R670">
        <v>4.62</v>
      </c>
      <c r="S670">
        <v>96.078500000000005</v>
      </c>
      <c r="T670">
        <v>19.763300000000001</v>
      </c>
    </row>
    <row r="671" spans="1:20" x14ac:dyDescent="0.3">
      <c r="A671" t="s">
        <v>1095</v>
      </c>
      <c r="B671" t="s">
        <v>51</v>
      </c>
      <c r="C671" t="s">
        <v>343</v>
      </c>
      <c r="D671" t="s">
        <v>53</v>
      </c>
      <c r="E671" t="s">
        <v>32</v>
      </c>
      <c r="F671" t="s">
        <v>25</v>
      </c>
      <c r="G671" t="s">
        <v>100</v>
      </c>
      <c r="H671">
        <v>40.619999999999997</v>
      </c>
      <c r="I671">
        <v>3</v>
      </c>
      <c r="J671">
        <v>6.093</v>
      </c>
      <c r="K671">
        <v>121.86</v>
      </c>
      <c r="L671" s="1">
        <v>43568</v>
      </c>
      <c r="M671" s="2">
        <v>0.41736111111111113</v>
      </c>
      <c r="N671" t="s">
        <v>37</v>
      </c>
      <c r="O671">
        <v>81.239999999999995</v>
      </c>
      <c r="P671">
        <v>4.7619047620000003</v>
      </c>
      <c r="Q671">
        <v>40.619999999999997</v>
      </c>
      <c r="R671">
        <v>4.92</v>
      </c>
      <c r="S671">
        <v>96.089100000000002</v>
      </c>
      <c r="T671">
        <v>21.9588</v>
      </c>
    </row>
    <row r="672" spans="1:20" x14ac:dyDescent="0.3">
      <c r="A672" t="s">
        <v>1096</v>
      </c>
      <c r="B672" t="s">
        <v>21</v>
      </c>
      <c r="C672" t="s">
        <v>1081</v>
      </c>
      <c r="D672" t="s">
        <v>23</v>
      </c>
      <c r="E672" t="s">
        <v>24</v>
      </c>
      <c r="F672" t="s">
        <v>36</v>
      </c>
      <c r="G672" t="s">
        <v>100</v>
      </c>
      <c r="H672">
        <v>56.04</v>
      </c>
      <c r="I672">
        <v>14</v>
      </c>
      <c r="J672">
        <v>39.228000000000002</v>
      </c>
      <c r="K672">
        <v>784.56</v>
      </c>
      <c r="L672" s="1">
        <v>43807</v>
      </c>
      <c r="M672" s="2">
        <v>0.8125</v>
      </c>
      <c r="N672" t="s">
        <v>27</v>
      </c>
      <c r="O672">
        <v>560.4</v>
      </c>
      <c r="P672">
        <v>4.7619047620000003</v>
      </c>
      <c r="Q672">
        <v>224.16</v>
      </c>
      <c r="R672">
        <v>4.4000000000000004</v>
      </c>
      <c r="S672">
        <v>96.173500000000004</v>
      </c>
      <c r="T672">
        <v>16.840900000000001</v>
      </c>
    </row>
    <row r="673" spans="1:20" x14ac:dyDescent="0.3">
      <c r="A673" t="s">
        <v>1097</v>
      </c>
      <c r="B673" t="s">
        <v>51</v>
      </c>
      <c r="C673" t="s">
        <v>805</v>
      </c>
      <c r="D673" t="s">
        <v>53</v>
      </c>
      <c r="E673" t="s">
        <v>24</v>
      </c>
      <c r="F673" t="s">
        <v>36</v>
      </c>
      <c r="G673" t="s">
        <v>100</v>
      </c>
      <c r="H673">
        <v>93.4</v>
      </c>
      <c r="I673">
        <v>4</v>
      </c>
      <c r="J673">
        <v>18.68</v>
      </c>
      <c r="K673">
        <v>373.6</v>
      </c>
      <c r="L673" s="1">
        <v>43758</v>
      </c>
      <c r="M673" s="2">
        <v>0.69027777777777777</v>
      </c>
      <c r="N673" t="s">
        <v>33</v>
      </c>
      <c r="O673">
        <v>186.8</v>
      </c>
      <c r="P673">
        <v>4.7619047620000003</v>
      </c>
      <c r="Q673">
        <v>186.8</v>
      </c>
      <c r="R673">
        <v>6.6</v>
      </c>
      <c r="S673">
        <v>96.089100000000002</v>
      </c>
      <c r="T673">
        <v>21.9588</v>
      </c>
    </row>
    <row r="674" spans="1:20" x14ac:dyDescent="0.3">
      <c r="A674" t="s">
        <v>1098</v>
      </c>
      <c r="B674" t="s">
        <v>51</v>
      </c>
      <c r="C674" t="s">
        <v>498</v>
      </c>
      <c r="D674" t="s">
        <v>53</v>
      </c>
      <c r="E674" t="s">
        <v>32</v>
      </c>
      <c r="F674" t="s">
        <v>25</v>
      </c>
      <c r="G674" t="s">
        <v>100</v>
      </c>
      <c r="H674">
        <v>73.41</v>
      </c>
      <c r="I674">
        <v>4</v>
      </c>
      <c r="J674">
        <v>14.682</v>
      </c>
      <c r="K674">
        <v>293.64</v>
      </c>
      <c r="L674" s="1">
        <v>43537</v>
      </c>
      <c r="M674" s="2">
        <v>0.54861111111111116</v>
      </c>
      <c r="N674" t="s">
        <v>27</v>
      </c>
      <c r="O674">
        <v>220.23</v>
      </c>
      <c r="P674">
        <v>4.7619047620000003</v>
      </c>
      <c r="Q674">
        <v>73.41</v>
      </c>
      <c r="R674">
        <v>4.8</v>
      </c>
      <c r="S674">
        <v>96.089100000000002</v>
      </c>
      <c r="T674">
        <v>21.9588</v>
      </c>
    </row>
    <row r="675" spans="1:20" x14ac:dyDescent="0.3">
      <c r="A675" t="s">
        <v>1099</v>
      </c>
      <c r="B675" t="s">
        <v>29</v>
      </c>
      <c r="C675" t="s">
        <v>506</v>
      </c>
      <c r="D675" t="s">
        <v>31</v>
      </c>
      <c r="E675" t="s">
        <v>32</v>
      </c>
      <c r="F675" t="s">
        <v>36</v>
      </c>
      <c r="G675" t="s">
        <v>26</v>
      </c>
      <c r="H675">
        <v>33.64</v>
      </c>
      <c r="I675">
        <v>10</v>
      </c>
      <c r="J675">
        <v>16.82</v>
      </c>
      <c r="K675">
        <v>336.4</v>
      </c>
      <c r="L675" s="1">
        <v>43511</v>
      </c>
      <c r="M675" s="2">
        <v>0.71527777777777779</v>
      </c>
      <c r="N675" t="s">
        <v>37</v>
      </c>
      <c r="O675">
        <v>269.12</v>
      </c>
      <c r="P675">
        <v>4.7619047620000003</v>
      </c>
      <c r="Q675">
        <v>67.28</v>
      </c>
      <c r="R675">
        <v>9.7650000000000006</v>
      </c>
      <c r="S675">
        <v>96.078500000000005</v>
      </c>
      <c r="T675">
        <v>19.763300000000001</v>
      </c>
    </row>
    <row r="676" spans="1:20" x14ac:dyDescent="0.3">
      <c r="A676" t="s">
        <v>1100</v>
      </c>
      <c r="B676" t="s">
        <v>21</v>
      </c>
      <c r="C676" t="s">
        <v>1101</v>
      </c>
      <c r="D676" t="s">
        <v>23</v>
      </c>
      <c r="E676" t="s">
        <v>32</v>
      </c>
      <c r="F676" t="s">
        <v>25</v>
      </c>
      <c r="G676" t="s">
        <v>60</v>
      </c>
      <c r="H676">
        <v>45.48</v>
      </c>
      <c r="I676">
        <v>10</v>
      </c>
      <c r="J676">
        <v>22.74</v>
      </c>
      <c r="K676">
        <v>454.8</v>
      </c>
      <c r="L676" s="1">
        <v>43730</v>
      </c>
      <c r="M676" s="2">
        <v>0.43194444444444446</v>
      </c>
      <c r="N676" t="s">
        <v>37</v>
      </c>
      <c r="O676">
        <v>454.8</v>
      </c>
      <c r="P676">
        <v>4.7619047620000003</v>
      </c>
      <c r="Q676">
        <v>0</v>
      </c>
      <c r="R676">
        <v>4.8</v>
      </c>
      <c r="S676">
        <v>96.173500000000004</v>
      </c>
      <c r="T676">
        <v>16.840900000000001</v>
      </c>
    </row>
    <row r="677" spans="1:20" x14ac:dyDescent="0.3">
      <c r="A677" t="s">
        <v>1102</v>
      </c>
      <c r="B677" t="s">
        <v>51</v>
      </c>
      <c r="C677" t="s">
        <v>636</v>
      </c>
      <c r="D677" t="s">
        <v>53</v>
      </c>
      <c r="E677" t="s">
        <v>24</v>
      </c>
      <c r="F677" t="s">
        <v>36</v>
      </c>
      <c r="G677" t="s">
        <v>100</v>
      </c>
      <c r="H677">
        <v>83.77</v>
      </c>
      <c r="I677">
        <v>4</v>
      </c>
      <c r="J677">
        <v>16.754000000000001</v>
      </c>
      <c r="K677">
        <v>335.08</v>
      </c>
      <c r="L677" s="1">
        <v>43494</v>
      </c>
      <c r="M677" s="2">
        <v>0.83125000000000004</v>
      </c>
      <c r="N677" t="s">
        <v>33</v>
      </c>
      <c r="O677">
        <v>167.54</v>
      </c>
      <c r="P677">
        <v>4.7619047620000003</v>
      </c>
      <c r="Q677">
        <v>167.54</v>
      </c>
      <c r="R677">
        <v>7.46</v>
      </c>
      <c r="S677">
        <v>96.089100000000002</v>
      </c>
      <c r="T677">
        <v>21.9588</v>
      </c>
    </row>
    <row r="678" spans="1:20" x14ac:dyDescent="0.3">
      <c r="A678" t="s">
        <v>1103</v>
      </c>
      <c r="B678" t="s">
        <v>51</v>
      </c>
      <c r="C678" t="s">
        <v>328</v>
      </c>
      <c r="D678" t="s">
        <v>53</v>
      </c>
      <c r="E678" t="s">
        <v>24</v>
      </c>
      <c r="F678" t="s">
        <v>25</v>
      </c>
      <c r="G678" t="s">
        <v>68</v>
      </c>
      <c r="H678">
        <v>64.08</v>
      </c>
      <c r="I678">
        <v>14</v>
      </c>
      <c r="J678">
        <v>44.856000000000002</v>
      </c>
      <c r="K678">
        <v>897.12</v>
      </c>
      <c r="L678" s="1">
        <v>43748</v>
      </c>
      <c r="M678" s="2">
        <v>0.81180555555555556</v>
      </c>
      <c r="N678" t="s">
        <v>37</v>
      </c>
      <c r="O678">
        <v>448.56</v>
      </c>
      <c r="P678">
        <v>4.7619047620000003</v>
      </c>
      <c r="Q678">
        <v>448.56</v>
      </c>
      <c r="R678">
        <v>7.46</v>
      </c>
      <c r="S678">
        <v>96.089100000000002</v>
      </c>
      <c r="T678">
        <v>21.9588</v>
      </c>
    </row>
    <row r="679" spans="1:20" x14ac:dyDescent="0.3">
      <c r="A679" t="s">
        <v>1104</v>
      </c>
      <c r="B679" t="s">
        <v>21</v>
      </c>
      <c r="C679" t="s">
        <v>1105</v>
      </c>
      <c r="D679" t="s">
        <v>23</v>
      </c>
      <c r="E679" t="s">
        <v>24</v>
      </c>
      <c r="F679" t="s">
        <v>25</v>
      </c>
      <c r="G679" t="s">
        <v>63</v>
      </c>
      <c r="H679">
        <v>73.47</v>
      </c>
      <c r="I679">
        <v>6</v>
      </c>
      <c r="J679">
        <v>22.041</v>
      </c>
      <c r="K679">
        <v>440.82</v>
      </c>
      <c r="L679" s="1">
        <v>43585</v>
      </c>
      <c r="M679" s="2">
        <v>0.77083333333333337</v>
      </c>
      <c r="N679" t="s">
        <v>33</v>
      </c>
      <c r="O679">
        <v>293.88</v>
      </c>
      <c r="P679">
        <v>4.7619047620000003</v>
      </c>
      <c r="Q679">
        <v>146.94</v>
      </c>
      <c r="R679">
        <v>7.46</v>
      </c>
      <c r="S679">
        <v>96.173500000000004</v>
      </c>
      <c r="T679">
        <v>16.840900000000001</v>
      </c>
    </row>
    <row r="680" spans="1:20" x14ac:dyDescent="0.3">
      <c r="A680" t="s">
        <v>1106</v>
      </c>
      <c r="B680" t="s">
        <v>29</v>
      </c>
      <c r="C680" t="s">
        <v>594</v>
      </c>
      <c r="D680" t="s">
        <v>31</v>
      </c>
      <c r="E680" t="s">
        <v>32</v>
      </c>
      <c r="F680" t="s">
        <v>36</v>
      </c>
      <c r="G680" t="s">
        <v>26</v>
      </c>
      <c r="H680">
        <v>58.95</v>
      </c>
      <c r="I680">
        <v>12</v>
      </c>
      <c r="J680">
        <v>35.369999999999997</v>
      </c>
      <c r="K680">
        <v>707.4</v>
      </c>
      <c r="L680" s="1">
        <v>43510</v>
      </c>
      <c r="M680" s="2">
        <v>0.6020833333333333</v>
      </c>
      <c r="N680" t="s">
        <v>27</v>
      </c>
      <c r="O680">
        <v>589.5</v>
      </c>
      <c r="P680">
        <v>4.7619047620000003</v>
      </c>
      <c r="Q680">
        <v>117.9</v>
      </c>
      <c r="R680">
        <v>7.46</v>
      </c>
      <c r="S680">
        <v>96.078500000000005</v>
      </c>
      <c r="T680">
        <v>19.763300000000001</v>
      </c>
    </row>
    <row r="681" spans="1:20" x14ac:dyDescent="0.3">
      <c r="A681" t="s">
        <v>1107</v>
      </c>
      <c r="B681" t="s">
        <v>21</v>
      </c>
      <c r="C681" t="s">
        <v>1108</v>
      </c>
      <c r="D681" t="s">
        <v>23</v>
      </c>
      <c r="E681" t="s">
        <v>24</v>
      </c>
      <c r="F681" t="s">
        <v>36</v>
      </c>
      <c r="G681" t="s">
        <v>63</v>
      </c>
      <c r="H681">
        <v>48.5</v>
      </c>
      <c r="I681">
        <v>8</v>
      </c>
      <c r="J681">
        <v>19.399999999999999</v>
      </c>
      <c r="K681">
        <v>388</v>
      </c>
      <c r="L681" s="1">
        <v>43692</v>
      </c>
      <c r="M681" s="2">
        <v>0.58125000000000004</v>
      </c>
      <c r="N681" t="s">
        <v>27</v>
      </c>
      <c r="O681">
        <v>291</v>
      </c>
      <c r="P681">
        <v>4.7619047620000003</v>
      </c>
      <c r="Q681">
        <v>97</v>
      </c>
      <c r="R681">
        <v>7.46</v>
      </c>
      <c r="S681">
        <v>96.173500000000004</v>
      </c>
      <c r="T681">
        <v>16.840900000000001</v>
      </c>
    </row>
    <row r="682" spans="1:20" x14ac:dyDescent="0.3">
      <c r="A682" t="s">
        <v>1109</v>
      </c>
      <c r="B682" t="s">
        <v>51</v>
      </c>
      <c r="C682" t="s">
        <v>145</v>
      </c>
      <c r="D682" t="s">
        <v>53</v>
      </c>
      <c r="E682" t="s">
        <v>24</v>
      </c>
      <c r="F682" t="s">
        <v>25</v>
      </c>
      <c r="G682" t="s">
        <v>60</v>
      </c>
      <c r="H682">
        <v>39.479999999999997</v>
      </c>
      <c r="I682">
        <v>1</v>
      </c>
      <c r="J682">
        <v>1.974</v>
      </c>
      <c r="K682">
        <v>39.479999999999997</v>
      </c>
      <c r="L682" s="1">
        <v>43515</v>
      </c>
      <c r="M682" s="2">
        <v>0.82152777777777775</v>
      </c>
      <c r="N682" t="s">
        <v>33</v>
      </c>
      <c r="O682">
        <v>39.479999999999997</v>
      </c>
      <c r="P682">
        <v>4.7619047620000003</v>
      </c>
      <c r="Q682">
        <v>0</v>
      </c>
      <c r="R682">
        <v>7.46</v>
      </c>
      <c r="S682">
        <v>96.089100000000002</v>
      </c>
      <c r="T682">
        <v>21.9588</v>
      </c>
    </row>
    <row r="683" spans="1:20" x14ac:dyDescent="0.3">
      <c r="A683" t="s">
        <v>1110</v>
      </c>
      <c r="B683" t="s">
        <v>51</v>
      </c>
      <c r="C683" t="s">
        <v>129</v>
      </c>
      <c r="D683" t="s">
        <v>53</v>
      </c>
      <c r="E683" t="s">
        <v>32</v>
      </c>
      <c r="F683" t="s">
        <v>25</v>
      </c>
      <c r="G683" t="s">
        <v>68</v>
      </c>
      <c r="H683">
        <v>34.81</v>
      </c>
      <c r="I683">
        <v>1</v>
      </c>
      <c r="J683">
        <v>1.7404999999999999</v>
      </c>
      <c r="K683">
        <v>34.81</v>
      </c>
      <c r="L683" s="1">
        <v>43828</v>
      </c>
      <c r="M683" s="2">
        <v>0.42430555555555555</v>
      </c>
      <c r="N683" t="s">
        <v>37</v>
      </c>
      <c r="O683">
        <v>34.81</v>
      </c>
      <c r="P683">
        <v>4.7619047620000003</v>
      </c>
      <c r="Q683">
        <v>0</v>
      </c>
      <c r="R683">
        <v>7.46</v>
      </c>
      <c r="S683">
        <v>96.089100000000002</v>
      </c>
      <c r="T683">
        <v>21.9588</v>
      </c>
    </row>
    <row r="684" spans="1:20" x14ac:dyDescent="0.3">
      <c r="A684" t="s">
        <v>1111</v>
      </c>
      <c r="B684" t="s">
        <v>29</v>
      </c>
      <c r="C684" t="s">
        <v>79</v>
      </c>
      <c r="D684" t="s">
        <v>31</v>
      </c>
      <c r="E684" t="s">
        <v>32</v>
      </c>
      <c r="F684" t="s">
        <v>25</v>
      </c>
      <c r="G684" t="s">
        <v>100</v>
      </c>
      <c r="H684">
        <v>49.32</v>
      </c>
      <c r="I684">
        <v>7</v>
      </c>
      <c r="J684">
        <v>17.262</v>
      </c>
      <c r="K684">
        <v>345.24</v>
      </c>
      <c r="L684" s="1">
        <v>43817</v>
      </c>
      <c r="M684" s="2">
        <v>0.57361111111111107</v>
      </c>
      <c r="N684" t="s">
        <v>27</v>
      </c>
      <c r="O684">
        <v>295.92</v>
      </c>
      <c r="P684">
        <v>4.7619047620000003</v>
      </c>
      <c r="Q684">
        <v>49.32</v>
      </c>
      <c r="R684">
        <v>7.4550000000000001</v>
      </c>
      <c r="S684">
        <v>96.078500000000005</v>
      </c>
      <c r="T684">
        <v>19.763300000000001</v>
      </c>
    </row>
    <row r="685" spans="1:20" x14ac:dyDescent="0.3">
      <c r="A685" t="s">
        <v>1112</v>
      </c>
      <c r="B685" t="s">
        <v>21</v>
      </c>
      <c r="C685" t="s">
        <v>179</v>
      </c>
      <c r="D685" t="s">
        <v>23</v>
      </c>
      <c r="E685" t="s">
        <v>24</v>
      </c>
      <c r="F685" t="s">
        <v>36</v>
      </c>
      <c r="G685" t="s">
        <v>100</v>
      </c>
      <c r="H685">
        <v>21.48</v>
      </c>
      <c r="I685">
        <v>3</v>
      </c>
      <c r="J685">
        <v>3.222</v>
      </c>
      <c r="K685">
        <v>64.44</v>
      </c>
      <c r="L685" s="1">
        <v>43468</v>
      </c>
      <c r="M685" s="2">
        <v>0.51527777777777772</v>
      </c>
      <c r="N685" t="s">
        <v>27</v>
      </c>
      <c r="O685">
        <v>42.96</v>
      </c>
      <c r="P685">
        <v>4.7619047620000003</v>
      </c>
      <c r="Q685">
        <v>21.48</v>
      </c>
      <c r="R685">
        <v>6.6</v>
      </c>
      <c r="S685">
        <v>96.173500000000004</v>
      </c>
      <c r="T685">
        <v>16.840900000000001</v>
      </c>
    </row>
    <row r="686" spans="1:20" x14ac:dyDescent="0.3">
      <c r="A686" t="s">
        <v>1113</v>
      </c>
      <c r="B686" t="s">
        <v>51</v>
      </c>
      <c r="C686" t="s">
        <v>649</v>
      </c>
      <c r="D686" t="s">
        <v>53</v>
      </c>
      <c r="E686" t="s">
        <v>24</v>
      </c>
      <c r="F686" t="s">
        <v>25</v>
      </c>
      <c r="G686" t="s">
        <v>68</v>
      </c>
      <c r="H686">
        <v>23.08</v>
      </c>
      <c r="I686">
        <v>11</v>
      </c>
      <c r="J686">
        <v>12.694000000000001</v>
      </c>
      <c r="K686">
        <v>253.88</v>
      </c>
      <c r="L686" s="1">
        <v>43681</v>
      </c>
      <c r="M686" s="2">
        <v>0.80555555555555558</v>
      </c>
      <c r="N686" t="s">
        <v>27</v>
      </c>
      <c r="O686">
        <v>138.47999999999999</v>
      </c>
      <c r="P686">
        <v>4.7619047620000003</v>
      </c>
      <c r="Q686">
        <v>115.4</v>
      </c>
      <c r="R686">
        <v>5.88</v>
      </c>
      <c r="S686">
        <v>96.089100000000002</v>
      </c>
      <c r="T686">
        <v>21.9588</v>
      </c>
    </row>
    <row r="687" spans="1:20" x14ac:dyDescent="0.3">
      <c r="A687" t="s">
        <v>1114</v>
      </c>
      <c r="B687" t="s">
        <v>51</v>
      </c>
      <c r="C687" t="s">
        <v>227</v>
      </c>
      <c r="D687" t="s">
        <v>53</v>
      </c>
      <c r="E687" t="s">
        <v>24</v>
      </c>
      <c r="F687" t="s">
        <v>25</v>
      </c>
      <c r="G687" t="s">
        <v>77</v>
      </c>
      <c r="H687">
        <v>49.1</v>
      </c>
      <c r="I687">
        <v>4</v>
      </c>
      <c r="J687">
        <v>9.82</v>
      </c>
      <c r="K687">
        <v>196.4</v>
      </c>
      <c r="L687" s="1">
        <v>43801</v>
      </c>
      <c r="M687" s="2">
        <v>0.54027777777777775</v>
      </c>
      <c r="N687" t="s">
        <v>37</v>
      </c>
      <c r="O687">
        <v>98.2</v>
      </c>
      <c r="P687">
        <v>4.7619047620000003</v>
      </c>
      <c r="Q687">
        <v>98.2</v>
      </c>
      <c r="R687">
        <v>7.68</v>
      </c>
      <c r="S687">
        <v>96.089100000000002</v>
      </c>
      <c r="T687">
        <v>21.9588</v>
      </c>
    </row>
    <row r="688" spans="1:20" x14ac:dyDescent="0.3">
      <c r="A688" t="s">
        <v>1115</v>
      </c>
      <c r="B688" t="s">
        <v>51</v>
      </c>
      <c r="C688" t="s">
        <v>649</v>
      </c>
      <c r="D688" t="s">
        <v>53</v>
      </c>
      <c r="E688" t="s">
        <v>24</v>
      </c>
      <c r="F688" t="s">
        <v>25</v>
      </c>
      <c r="G688" t="s">
        <v>68</v>
      </c>
      <c r="H688">
        <v>64.83</v>
      </c>
      <c r="I688">
        <v>4</v>
      </c>
      <c r="J688">
        <v>12.965999999999999</v>
      </c>
      <c r="K688">
        <v>259.32</v>
      </c>
      <c r="L688" s="1">
        <v>43622</v>
      </c>
      <c r="M688" s="2">
        <v>0.49930555555555556</v>
      </c>
      <c r="N688" t="s">
        <v>37</v>
      </c>
      <c r="O688">
        <v>129.66</v>
      </c>
      <c r="P688">
        <v>4.7619047620000003</v>
      </c>
      <c r="Q688">
        <v>129.66</v>
      </c>
      <c r="R688">
        <v>9.6</v>
      </c>
      <c r="S688">
        <v>96.089100000000002</v>
      </c>
      <c r="T688">
        <v>21.9588</v>
      </c>
    </row>
    <row r="689" spans="1:20" x14ac:dyDescent="0.3">
      <c r="A689" t="s">
        <v>1116</v>
      </c>
      <c r="B689" t="s">
        <v>21</v>
      </c>
      <c r="C689" t="s">
        <v>557</v>
      </c>
      <c r="D689" t="s">
        <v>23</v>
      </c>
      <c r="E689" t="s">
        <v>24</v>
      </c>
      <c r="F689" t="s">
        <v>36</v>
      </c>
      <c r="G689" t="s">
        <v>68</v>
      </c>
      <c r="H689">
        <v>63.56</v>
      </c>
      <c r="I689">
        <v>14</v>
      </c>
      <c r="J689">
        <v>44.491999999999997</v>
      </c>
      <c r="K689">
        <v>889.84</v>
      </c>
      <c r="L689" s="1">
        <v>43522</v>
      </c>
      <c r="M689" s="2">
        <v>0.74930555555555556</v>
      </c>
      <c r="N689" t="s">
        <v>33</v>
      </c>
      <c r="O689">
        <v>635.6</v>
      </c>
      <c r="P689">
        <v>4.7619047620000003</v>
      </c>
      <c r="Q689">
        <v>254.24</v>
      </c>
      <c r="R689">
        <v>4.3</v>
      </c>
      <c r="S689">
        <v>96.173500000000004</v>
      </c>
      <c r="T689">
        <v>16.840900000000001</v>
      </c>
    </row>
    <row r="690" spans="1:20" x14ac:dyDescent="0.3">
      <c r="A690" t="s">
        <v>1117</v>
      </c>
      <c r="B690" t="s">
        <v>29</v>
      </c>
      <c r="C690" t="s">
        <v>1118</v>
      </c>
      <c r="D690" t="s">
        <v>31</v>
      </c>
      <c r="E690" t="s">
        <v>24</v>
      </c>
      <c r="F690" t="s">
        <v>36</v>
      </c>
      <c r="G690" t="s">
        <v>68</v>
      </c>
      <c r="H690">
        <v>72.88</v>
      </c>
      <c r="I690">
        <v>3</v>
      </c>
      <c r="J690">
        <v>10.932</v>
      </c>
      <c r="K690">
        <v>218.64</v>
      </c>
      <c r="L690" s="1">
        <v>43564</v>
      </c>
      <c r="M690" s="2">
        <v>0.53541666666666665</v>
      </c>
      <c r="N690" t="s">
        <v>33</v>
      </c>
      <c r="O690">
        <v>145.76</v>
      </c>
      <c r="P690">
        <v>4.7619047620000003</v>
      </c>
      <c r="Q690">
        <v>72.88</v>
      </c>
      <c r="R690">
        <v>6.4050000000000002</v>
      </c>
      <c r="S690">
        <v>96.078500000000005</v>
      </c>
      <c r="T690">
        <v>19.763300000000001</v>
      </c>
    </row>
    <row r="691" spans="1:20" x14ac:dyDescent="0.3">
      <c r="A691" t="s">
        <v>1119</v>
      </c>
      <c r="B691" t="s">
        <v>21</v>
      </c>
      <c r="C691" t="s">
        <v>1026</v>
      </c>
      <c r="D691" t="s">
        <v>23</v>
      </c>
      <c r="E691" t="s">
        <v>32</v>
      </c>
      <c r="F691" t="s">
        <v>25</v>
      </c>
      <c r="G691" t="s">
        <v>68</v>
      </c>
      <c r="H691">
        <v>67.099999999999994</v>
      </c>
      <c r="I691">
        <v>3</v>
      </c>
      <c r="J691">
        <v>10.065</v>
      </c>
      <c r="K691">
        <v>201.3</v>
      </c>
      <c r="L691" s="1">
        <v>43810</v>
      </c>
      <c r="M691" s="2">
        <v>0.44166666666666665</v>
      </c>
      <c r="N691" t="s">
        <v>33</v>
      </c>
      <c r="O691">
        <v>201.3</v>
      </c>
      <c r="P691">
        <v>4.7619047620000003</v>
      </c>
      <c r="Q691">
        <v>0</v>
      </c>
      <c r="R691">
        <v>7.5</v>
      </c>
      <c r="S691">
        <v>96.173500000000004</v>
      </c>
      <c r="T691">
        <v>16.840900000000001</v>
      </c>
    </row>
    <row r="692" spans="1:20" x14ac:dyDescent="0.3">
      <c r="A692" t="s">
        <v>1120</v>
      </c>
      <c r="B692" t="s">
        <v>29</v>
      </c>
      <c r="C692" t="s">
        <v>181</v>
      </c>
      <c r="D692" t="s">
        <v>31</v>
      </c>
      <c r="E692" t="s">
        <v>24</v>
      </c>
      <c r="F692" t="s">
        <v>25</v>
      </c>
      <c r="G692" t="s">
        <v>68</v>
      </c>
      <c r="H692">
        <v>70.19</v>
      </c>
      <c r="I692">
        <v>15</v>
      </c>
      <c r="J692">
        <v>52.642499999999998</v>
      </c>
      <c r="K692">
        <v>1052.8499999999999</v>
      </c>
      <c r="L692" s="1">
        <v>43710</v>
      </c>
      <c r="M692" s="2">
        <v>0.56805555555555554</v>
      </c>
      <c r="N692" t="s">
        <v>33</v>
      </c>
      <c r="O692">
        <v>631.71</v>
      </c>
      <c r="P692">
        <v>4.7619047620000003</v>
      </c>
      <c r="Q692">
        <v>421.14</v>
      </c>
      <c r="R692">
        <v>7.0350000000000001</v>
      </c>
      <c r="S692">
        <v>96.078500000000005</v>
      </c>
      <c r="T692">
        <v>19.763300000000001</v>
      </c>
    </row>
    <row r="693" spans="1:20" x14ac:dyDescent="0.3">
      <c r="A693" t="s">
        <v>1121</v>
      </c>
      <c r="B693" t="s">
        <v>29</v>
      </c>
      <c r="C693" t="s">
        <v>1122</v>
      </c>
      <c r="D693" t="s">
        <v>31</v>
      </c>
      <c r="E693" t="s">
        <v>24</v>
      </c>
      <c r="F693" t="s">
        <v>36</v>
      </c>
      <c r="G693" t="s">
        <v>68</v>
      </c>
      <c r="H693">
        <v>55.04</v>
      </c>
      <c r="I693">
        <v>11</v>
      </c>
      <c r="J693">
        <v>30.271999999999998</v>
      </c>
      <c r="K693">
        <v>605.44000000000005</v>
      </c>
      <c r="L693" s="1">
        <v>43732</v>
      </c>
      <c r="M693" s="2">
        <v>0.81874999999999998</v>
      </c>
      <c r="N693" t="s">
        <v>27</v>
      </c>
      <c r="O693">
        <v>385.28</v>
      </c>
      <c r="P693">
        <v>4.7619047620000003</v>
      </c>
      <c r="Q693">
        <v>220.16</v>
      </c>
      <c r="R693">
        <v>5.46</v>
      </c>
      <c r="S693">
        <v>96.078500000000005</v>
      </c>
      <c r="T693">
        <v>19.763300000000001</v>
      </c>
    </row>
    <row r="694" spans="1:20" x14ac:dyDescent="0.3">
      <c r="A694" t="s">
        <v>1123</v>
      </c>
      <c r="B694" t="s">
        <v>21</v>
      </c>
      <c r="C694" t="s">
        <v>958</v>
      </c>
      <c r="D694" t="s">
        <v>23</v>
      </c>
      <c r="E694" t="s">
        <v>24</v>
      </c>
      <c r="F694" t="s">
        <v>36</v>
      </c>
      <c r="G694" t="s">
        <v>68</v>
      </c>
      <c r="H694">
        <v>48.63</v>
      </c>
      <c r="I694">
        <v>14</v>
      </c>
      <c r="J694">
        <v>34.040999999999997</v>
      </c>
      <c r="K694">
        <v>680.82</v>
      </c>
      <c r="L694" s="1">
        <v>43817</v>
      </c>
      <c r="M694" s="2">
        <v>0.53055555555555556</v>
      </c>
      <c r="N694" t="s">
        <v>33</v>
      </c>
      <c r="O694">
        <v>486.3</v>
      </c>
      <c r="P694">
        <v>4.7619047620000003</v>
      </c>
      <c r="Q694">
        <v>194.52</v>
      </c>
      <c r="R694">
        <v>8.8000000000000007</v>
      </c>
      <c r="S694">
        <v>96.173500000000004</v>
      </c>
      <c r="T694">
        <v>16.840900000000001</v>
      </c>
    </row>
    <row r="695" spans="1:20" x14ac:dyDescent="0.3">
      <c r="A695" t="s">
        <v>1124</v>
      </c>
      <c r="B695" t="s">
        <v>29</v>
      </c>
      <c r="C695" t="s">
        <v>1125</v>
      </c>
      <c r="D695" t="s">
        <v>31</v>
      </c>
      <c r="E695" t="s">
        <v>24</v>
      </c>
      <c r="F695" t="s">
        <v>25</v>
      </c>
      <c r="G695" t="s">
        <v>100</v>
      </c>
      <c r="H695">
        <v>73.38</v>
      </c>
      <c r="I695">
        <v>11</v>
      </c>
      <c r="J695">
        <v>40.359000000000002</v>
      </c>
      <c r="K695">
        <v>807.18</v>
      </c>
      <c r="L695" s="1">
        <v>43560</v>
      </c>
      <c r="M695" s="2">
        <v>0.5805555555555556</v>
      </c>
      <c r="N695" t="s">
        <v>33</v>
      </c>
      <c r="O695">
        <v>513.66</v>
      </c>
      <c r="P695">
        <v>4.7619047620000003</v>
      </c>
      <c r="Q695">
        <v>293.52</v>
      </c>
      <c r="R695">
        <v>9.9749999999999996</v>
      </c>
      <c r="S695">
        <v>96.078500000000005</v>
      </c>
      <c r="T695">
        <v>19.763300000000001</v>
      </c>
    </row>
    <row r="696" spans="1:20" x14ac:dyDescent="0.3">
      <c r="A696" t="s">
        <v>1126</v>
      </c>
      <c r="B696" t="s">
        <v>29</v>
      </c>
      <c r="C696" t="s">
        <v>389</v>
      </c>
      <c r="D696" t="s">
        <v>31</v>
      </c>
      <c r="E696" t="s">
        <v>32</v>
      </c>
      <c r="F696" t="s">
        <v>25</v>
      </c>
      <c r="G696" t="s">
        <v>63</v>
      </c>
      <c r="H696">
        <v>52.6</v>
      </c>
      <c r="I696">
        <v>11</v>
      </c>
      <c r="J696">
        <v>28.93</v>
      </c>
      <c r="K696">
        <v>578.6</v>
      </c>
      <c r="L696" s="1">
        <v>43605</v>
      </c>
      <c r="M696" s="2">
        <v>0.61250000000000004</v>
      </c>
      <c r="N696" t="s">
        <v>33</v>
      </c>
      <c r="O696">
        <v>473.4</v>
      </c>
      <c r="P696">
        <v>4.7619047620000003</v>
      </c>
      <c r="Q696">
        <v>105.2</v>
      </c>
      <c r="R696">
        <v>7.98</v>
      </c>
      <c r="S696">
        <v>96.078500000000005</v>
      </c>
      <c r="T696">
        <v>19.763300000000001</v>
      </c>
    </row>
    <row r="697" spans="1:20" x14ac:dyDescent="0.3">
      <c r="A697" t="s">
        <v>1127</v>
      </c>
      <c r="B697" t="s">
        <v>21</v>
      </c>
      <c r="C697" t="s">
        <v>185</v>
      </c>
      <c r="D697" t="s">
        <v>23</v>
      </c>
      <c r="E697" t="s">
        <v>24</v>
      </c>
      <c r="F697" t="s">
        <v>25</v>
      </c>
      <c r="G697" t="s">
        <v>77</v>
      </c>
      <c r="H697">
        <v>87.37</v>
      </c>
      <c r="I697">
        <v>7</v>
      </c>
      <c r="J697">
        <v>30.579499999999999</v>
      </c>
      <c r="K697">
        <v>611.59</v>
      </c>
      <c r="L697" s="1">
        <v>43646</v>
      </c>
      <c r="M697" s="2">
        <v>0.82291666666666663</v>
      </c>
      <c r="N697" t="s">
        <v>33</v>
      </c>
      <c r="O697">
        <v>436.85</v>
      </c>
      <c r="P697">
        <v>4.7619047620000003</v>
      </c>
      <c r="Q697">
        <v>174.74</v>
      </c>
      <c r="R697">
        <v>6.6</v>
      </c>
      <c r="S697">
        <v>96.173500000000004</v>
      </c>
      <c r="T697">
        <v>16.840900000000001</v>
      </c>
    </row>
    <row r="698" spans="1:20" x14ac:dyDescent="0.3">
      <c r="A698" t="s">
        <v>1128</v>
      </c>
      <c r="B698" t="s">
        <v>21</v>
      </c>
      <c r="C698" t="s">
        <v>1129</v>
      </c>
      <c r="D698" t="s">
        <v>23</v>
      </c>
      <c r="E698" t="s">
        <v>24</v>
      </c>
      <c r="F698" t="s">
        <v>25</v>
      </c>
      <c r="G698" t="s">
        <v>68</v>
      </c>
      <c r="H698">
        <v>27.04</v>
      </c>
      <c r="I698">
        <v>6</v>
      </c>
      <c r="J698">
        <v>8.1120000000000001</v>
      </c>
      <c r="K698">
        <v>162.24</v>
      </c>
      <c r="L698" s="1">
        <v>43790</v>
      </c>
      <c r="M698" s="2">
        <v>0.85138888888888886</v>
      </c>
      <c r="N698" t="s">
        <v>27</v>
      </c>
      <c r="O698">
        <v>108.16</v>
      </c>
      <c r="P698">
        <v>4.7619047620000003</v>
      </c>
      <c r="Q698">
        <v>54.08</v>
      </c>
      <c r="R698">
        <v>6.9</v>
      </c>
      <c r="S698">
        <v>96.173500000000004</v>
      </c>
      <c r="T698">
        <v>16.840900000000001</v>
      </c>
    </row>
    <row r="699" spans="1:20" x14ac:dyDescent="0.3">
      <c r="A699" t="s">
        <v>1130</v>
      </c>
      <c r="B699" t="s">
        <v>51</v>
      </c>
      <c r="C699" t="s">
        <v>853</v>
      </c>
      <c r="D699" t="s">
        <v>53</v>
      </c>
      <c r="E699" t="s">
        <v>32</v>
      </c>
      <c r="F699" t="s">
        <v>36</v>
      </c>
      <c r="G699" t="s">
        <v>77</v>
      </c>
      <c r="H699">
        <v>62.19</v>
      </c>
      <c r="I699">
        <v>6</v>
      </c>
      <c r="J699">
        <v>18.657</v>
      </c>
      <c r="K699">
        <v>373.14</v>
      </c>
      <c r="L699" s="1">
        <v>43783</v>
      </c>
      <c r="M699" s="2">
        <v>0.82361111111111107</v>
      </c>
      <c r="N699" t="s">
        <v>27</v>
      </c>
      <c r="O699">
        <v>248.76</v>
      </c>
      <c r="P699">
        <v>4.7619047620000003</v>
      </c>
      <c r="Q699">
        <v>124.38</v>
      </c>
      <c r="R699">
        <v>5.16</v>
      </c>
      <c r="S699">
        <v>96.089100000000002</v>
      </c>
      <c r="T699">
        <v>21.9588</v>
      </c>
    </row>
    <row r="700" spans="1:20" x14ac:dyDescent="0.3">
      <c r="A700" t="s">
        <v>1131</v>
      </c>
      <c r="B700" t="s">
        <v>21</v>
      </c>
      <c r="C700" t="s">
        <v>1132</v>
      </c>
      <c r="D700" t="s">
        <v>23</v>
      </c>
      <c r="E700" t="s">
        <v>24</v>
      </c>
      <c r="F700" t="s">
        <v>36</v>
      </c>
      <c r="G700" t="s">
        <v>60</v>
      </c>
      <c r="H700">
        <v>69.58</v>
      </c>
      <c r="I700">
        <v>13</v>
      </c>
      <c r="J700">
        <v>45.226999999999997</v>
      </c>
      <c r="K700">
        <v>904.54</v>
      </c>
      <c r="L700" s="1">
        <v>43753</v>
      </c>
      <c r="M700" s="2">
        <v>0.81805555555555554</v>
      </c>
      <c r="N700" t="s">
        <v>37</v>
      </c>
      <c r="O700">
        <v>626.22</v>
      </c>
      <c r="P700">
        <v>4.7619047620000003</v>
      </c>
      <c r="Q700">
        <v>278.32</v>
      </c>
      <c r="R700">
        <v>7.8</v>
      </c>
      <c r="S700">
        <v>96.173500000000004</v>
      </c>
      <c r="T700">
        <v>16.840900000000001</v>
      </c>
    </row>
    <row r="701" spans="1:20" x14ac:dyDescent="0.3">
      <c r="A701" t="s">
        <v>1133</v>
      </c>
      <c r="B701" t="s">
        <v>29</v>
      </c>
      <c r="C701" t="s">
        <v>466</v>
      </c>
      <c r="D701" t="s">
        <v>31</v>
      </c>
      <c r="E701" t="s">
        <v>32</v>
      </c>
      <c r="F701" t="s">
        <v>36</v>
      </c>
      <c r="G701" t="s">
        <v>77</v>
      </c>
      <c r="H701">
        <v>97.5</v>
      </c>
      <c r="I701">
        <v>12</v>
      </c>
      <c r="J701">
        <v>58.5</v>
      </c>
      <c r="K701">
        <v>1170</v>
      </c>
      <c r="L701" s="1">
        <v>43613</v>
      </c>
      <c r="M701" s="2">
        <v>0.6791666666666667</v>
      </c>
      <c r="N701" t="s">
        <v>27</v>
      </c>
      <c r="O701">
        <v>975</v>
      </c>
      <c r="P701">
        <v>4.7619047620000003</v>
      </c>
      <c r="Q701">
        <v>195</v>
      </c>
      <c r="R701">
        <v>8.4</v>
      </c>
      <c r="S701">
        <v>96.078500000000005</v>
      </c>
      <c r="T701">
        <v>19.763300000000001</v>
      </c>
    </row>
    <row r="702" spans="1:20" x14ac:dyDescent="0.3">
      <c r="A702" t="s">
        <v>1134</v>
      </c>
      <c r="B702" t="s">
        <v>29</v>
      </c>
      <c r="C702" t="s">
        <v>1135</v>
      </c>
      <c r="D702" t="s">
        <v>31</v>
      </c>
      <c r="E702" t="s">
        <v>32</v>
      </c>
      <c r="F702" t="s">
        <v>25</v>
      </c>
      <c r="G702" t="s">
        <v>100</v>
      </c>
      <c r="H702">
        <v>60.41</v>
      </c>
      <c r="I702">
        <v>10</v>
      </c>
      <c r="J702">
        <v>30.204999999999998</v>
      </c>
      <c r="K702">
        <v>604.1</v>
      </c>
      <c r="L702" s="1">
        <v>43708</v>
      </c>
      <c r="M702" s="2">
        <v>0.51597222222222228</v>
      </c>
      <c r="N702" t="s">
        <v>27</v>
      </c>
      <c r="O702">
        <v>483.28</v>
      </c>
      <c r="P702">
        <v>4.7619047620000003</v>
      </c>
      <c r="Q702">
        <v>120.82</v>
      </c>
      <c r="R702">
        <v>10</v>
      </c>
      <c r="S702">
        <v>96.078500000000005</v>
      </c>
      <c r="T702">
        <v>19.763300000000001</v>
      </c>
    </row>
    <row r="703" spans="1:20" x14ac:dyDescent="0.3">
      <c r="A703" t="s">
        <v>1136</v>
      </c>
      <c r="B703" t="s">
        <v>51</v>
      </c>
      <c r="C703" t="s">
        <v>280</v>
      </c>
      <c r="D703" t="s">
        <v>53</v>
      </c>
      <c r="E703" t="s">
        <v>32</v>
      </c>
      <c r="F703" t="s">
        <v>36</v>
      </c>
      <c r="G703" t="s">
        <v>63</v>
      </c>
      <c r="H703">
        <v>32.32</v>
      </c>
      <c r="I703">
        <v>4</v>
      </c>
      <c r="J703">
        <v>6.4640000000000004</v>
      </c>
      <c r="K703">
        <v>129.28</v>
      </c>
      <c r="L703" s="1">
        <v>43508</v>
      </c>
      <c r="M703" s="2">
        <v>0.7993055555555556</v>
      </c>
      <c r="N703" t="s">
        <v>37</v>
      </c>
      <c r="O703">
        <v>96.96</v>
      </c>
      <c r="P703">
        <v>4.7619047620000003</v>
      </c>
      <c r="Q703">
        <v>32.32</v>
      </c>
      <c r="R703">
        <v>5.16</v>
      </c>
      <c r="S703">
        <v>96.089100000000002</v>
      </c>
      <c r="T703">
        <v>21.9588</v>
      </c>
    </row>
    <row r="704" spans="1:20" x14ac:dyDescent="0.3">
      <c r="A704" t="s">
        <v>1137</v>
      </c>
      <c r="B704" t="s">
        <v>51</v>
      </c>
      <c r="C704" t="s">
        <v>258</v>
      </c>
      <c r="D704" t="s">
        <v>53</v>
      </c>
      <c r="E704" t="s">
        <v>24</v>
      </c>
      <c r="F704" t="s">
        <v>25</v>
      </c>
      <c r="G704" t="s">
        <v>100</v>
      </c>
      <c r="H704">
        <v>19.77</v>
      </c>
      <c r="I704">
        <v>20</v>
      </c>
      <c r="J704">
        <v>19.77</v>
      </c>
      <c r="K704">
        <v>395.4</v>
      </c>
      <c r="L704" s="1">
        <v>43709</v>
      </c>
      <c r="M704" s="2">
        <v>0.7895833333333333</v>
      </c>
      <c r="N704" t="s">
        <v>37</v>
      </c>
      <c r="O704">
        <v>197.7</v>
      </c>
      <c r="P704">
        <v>4.7619047620000003</v>
      </c>
      <c r="Q704">
        <v>197.7</v>
      </c>
      <c r="R704">
        <v>6</v>
      </c>
      <c r="S704">
        <v>96.089100000000002</v>
      </c>
      <c r="T704">
        <v>21.9588</v>
      </c>
    </row>
    <row r="705" spans="1:20" x14ac:dyDescent="0.3">
      <c r="A705" t="s">
        <v>1138</v>
      </c>
      <c r="B705" t="s">
        <v>51</v>
      </c>
      <c r="C705" t="s">
        <v>382</v>
      </c>
      <c r="D705" t="s">
        <v>53</v>
      </c>
      <c r="E705" t="s">
        <v>24</v>
      </c>
      <c r="F705" t="s">
        <v>36</v>
      </c>
      <c r="G705" t="s">
        <v>26</v>
      </c>
      <c r="H705">
        <v>80.47</v>
      </c>
      <c r="I705">
        <v>18</v>
      </c>
      <c r="J705">
        <v>72.423000000000002</v>
      </c>
      <c r="K705">
        <v>1448.46</v>
      </c>
      <c r="L705" s="1">
        <v>43501</v>
      </c>
      <c r="M705" s="2">
        <v>0.47083333333333333</v>
      </c>
      <c r="N705" t="s">
        <v>33</v>
      </c>
      <c r="O705">
        <v>724.23</v>
      </c>
      <c r="P705">
        <v>4.7619047620000003</v>
      </c>
      <c r="Q705">
        <v>724.23</v>
      </c>
      <c r="R705">
        <v>10</v>
      </c>
      <c r="S705">
        <v>96.089100000000002</v>
      </c>
      <c r="T705">
        <v>21.9588</v>
      </c>
    </row>
    <row r="706" spans="1:20" x14ac:dyDescent="0.3">
      <c r="A706" t="s">
        <v>1139</v>
      </c>
      <c r="B706" t="s">
        <v>51</v>
      </c>
      <c r="C706" t="s">
        <v>771</v>
      </c>
      <c r="D706" t="s">
        <v>53</v>
      </c>
      <c r="E706" t="s">
        <v>24</v>
      </c>
      <c r="F706" t="s">
        <v>25</v>
      </c>
      <c r="G706" t="s">
        <v>77</v>
      </c>
      <c r="H706">
        <v>88.39</v>
      </c>
      <c r="I706">
        <v>18</v>
      </c>
      <c r="J706">
        <v>79.551000000000002</v>
      </c>
      <c r="K706">
        <v>1591.02</v>
      </c>
      <c r="L706" s="1">
        <v>43666</v>
      </c>
      <c r="M706" s="2">
        <v>0.52777777777777779</v>
      </c>
      <c r="N706" t="s">
        <v>33</v>
      </c>
      <c r="O706">
        <v>795.51</v>
      </c>
      <c r="P706">
        <v>4.7619047620000003</v>
      </c>
      <c r="Q706">
        <v>795.51</v>
      </c>
      <c r="R706">
        <v>7.56</v>
      </c>
      <c r="S706">
        <v>96.089100000000002</v>
      </c>
      <c r="T706">
        <v>21.9588</v>
      </c>
    </row>
    <row r="707" spans="1:20" x14ac:dyDescent="0.3">
      <c r="A707" t="s">
        <v>1140</v>
      </c>
      <c r="B707" t="s">
        <v>51</v>
      </c>
      <c r="C707" t="s">
        <v>67</v>
      </c>
      <c r="D707" t="s">
        <v>53</v>
      </c>
      <c r="E707" t="s">
        <v>32</v>
      </c>
      <c r="F707" t="s">
        <v>36</v>
      </c>
      <c r="G707" t="s">
        <v>26</v>
      </c>
      <c r="H707">
        <v>71.77</v>
      </c>
      <c r="I707">
        <v>10</v>
      </c>
      <c r="J707">
        <v>35.884999999999998</v>
      </c>
      <c r="K707">
        <v>717.7</v>
      </c>
      <c r="L707" s="1">
        <v>43487</v>
      </c>
      <c r="M707" s="2">
        <v>0.58750000000000002</v>
      </c>
      <c r="N707" t="s">
        <v>33</v>
      </c>
      <c r="O707">
        <v>502.39</v>
      </c>
      <c r="P707">
        <v>4.7619047620000003</v>
      </c>
      <c r="Q707">
        <v>215.31</v>
      </c>
      <c r="R707">
        <v>10</v>
      </c>
      <c r="S707">
        <v>96.089100000000002</v>
      </c>
      <c r="T707">
        <v>21.9588</v>
      </c>
    </row>
    <row r="708" spans="1:20" x14ac:dyDescent="0.3">
      <c r="A708" t="s">
        <v>1141</v>
      </c>
      <c r="B708" t="s">
        <v>51</v>
      </c>
      <c r="C708" t="s">
        <v>458</v>
      </c>
      <c r="D708" t="s">
        <v>53</v>
      </c>
      <c r="E708" t="s">
        <v>32</v>
      </c>
      <c r="F708" t="s">
        <v>25</v>
      </c>
      <c r="G708" t="s">
        <v>60</v>
      </c>
      <c r="H708">
        <v>43</v>
      </c>
      <c r="I708">
        <v>6</v>
      </c>
      <c r="J708">
        <v>12.9</v>
      </c>
      <c r="K708">
        <v>258</v>
      </c>
      <c r="L708" s="1">
        <v>43727</v>
      </c>
      <c r="M708" s="2">
        <v>0.8666666666666667</v>
      </c>
      <c r="N708" t="s">
        <v>27</v>
      </c>
      <c r="O708">
        <v>172</v>
      </c>
      <c r="P708">
        <v>4.7619047620000003</v>
      </c>
      <c r="Q708">
        <v>86</v>
      </c>
      <c r="R708">
        <v>9.1199999999999992</v>
      </c>
      <c r="S708">
        <v>96.089100000000002</v>
      </c>
      <c r="T708">
        <v>21.9588</v>
      </c>
    </row>
    <row r="709" spans="1:20" x14ac:dyDescent="0.3">
      <c r="A709" t="s">
        <v>1142</v>
      </c>
      <c r="B709" t="s">
        <v>29</v>
      </c>
      <c r="C709" t="s">
        <v>1006</v>
      </c>
      <c r="D709" t="s">
        <v>31</v>
      </c>
      <c r="E709" t="s">
        <v>24</v>
      </c>
      <c r="F709" t="s">
        <v>36</v>
      </c>
      <c r="G709" t="s">
        <v>100</v>
      </c>
      <c r="H709">
        <v>68.98</v>
      </c>
      <c r="I709">
        <v>1</v>
      </c>
      <c r="J709">
        <v>3.4489999999999998</v>
      </c>
      <c r="K709">
        <v>68.98</v>
      </c>
      <c r="L709" s="1">
        <v>43529</v>
      </c>
      <c r="M709" s="2">
        <v>0.84236111111111112</v>
      </c>
      <c r="N709" t="s">
        <v>33</v>
      </c>
      <c r="O709">
        <v>68.98</v>
      </c>
      <c r="P709">
        <v>4.7619047620000003</v>
      </c>
      <c r="Q709">
        <v>0</v>
      </c>
      <c r="R709">
        <v>5.04</v>
      </c>
      <c r="S709">
        <v>96.078500000000005</v>
      </c>
      <c r="T709">
        <v>19.763300000000001</v>
      </c>
    </row>
    <row r="710" spans="1:20" x14ac:dyDescent="0.3">
      <c r="A710" t="s">
        <v>1143</v>
      </c>
      <c r="B710" t="s">
        <v>29</v>
      </c>
      <c r="C710" t="s">
        <v>1144</v>
      </c>
      <c r="D710" t="s">
        <v>31</v>
      </c>
      <c r="E710" t="s">
        <v>32</v>
      </c>
      <c r="F710" t="s">
        <v>36</v>
      </c>
      <c r="G710" t="s">
        <v>100</v>
      </c>
      <c r="H710">
        <v>15.62</v>
      </c>
      <c r="I710">
        <v>10</v>
      </c>
      <c r="J710">
        <v>7.81</v>
      </c>
      <c r="K710">
        <v>156.19999999999999</v>
      </c>
      <c r="L710" s="1">
        <v>43667</v>
      </c>
      <c r="M710" s="2">
        <v>0.85902777777777772</v>
      </c>
      <c r="N710" t="s">
        <v>27</v>
      </c>
      <c r="O710">
        <v>124.96</v>
      </c>
      <c r="P710">
        <v>4.7619047620000003</v>
      </c>
      <c r="Q710">
        <v>31.24</v>
      </c>
      <c r="R710">
        <v>9.5549999999999997</v>
      </c>
      <c r="S710">
        <v>96.078500000000005</v>
      </c>
      <c r="T710">
        <v>19.763300000000001</v>
      </c>
    </row>
    <row r="711" spans="1:20" x14ac:dyDescent="0.3">
      <c r="A711" t="s">
        <v>1145</v>
      </c>
      <c r="B711" t="s">
        <v>21</v>
      </c>
      <c r="C711" t="s">
        <v>1146</v>
      </c>
      <c r="D711" t="s">
        <v>23</v>
      </c>
      <c r="E711" t="s">
        <v>32</v>
      </c>
      <c r="F711" t="s">
        <v>36</v>
      </c>
      <c r="G711" t="s">
        <v>100</v>
      </c>
      <c r="H711">
        <v>25.7</v>
      </c>
      <c r="I711">
        <v>3</v>
      </c>
      <c r="J711">
        <v>3.855</v>
      </c>
      <c r="K711">
        <v>77.099999999999994</v>
      </c>
      <c r="L711" s="1">
        <v>43788</v>
      </c>
      <c r="M711" s="2">
        <v>0.74930555555555556</v>
      </c>
      <c r="N711" t="s">
        <v>27</v>
      </c>
      <c r="O711">
        <v>77.099999999999994</v>
      </c>
      <c r="P711">
        <v>4.7619047620000003</v>
      </c>
      <c r="Q711">
        <v>0</v>
      </c>
      <c r="R711">
        <v>6.1</v>
      </c>
      <c r="S711">
        <v>96.173500000000004</v>
      </c>
      <c r="T711">
        <v>16.840900000000001</v>
      </c>
    </row>
    <row r="712" spans="1:20" x14ac:dyDescent="0.3">
      <c r="A712" t="s">
        <v>1147</v>
      </c>
      <c r="B712" t="s">
        <v>21</v>
      </c>
      <c r="C712" t="s">
        <v>1148</v>
      </c>
      <c r="D712" t="s">
        <v>23</v>
      </c>
      <c r="E712" t="s">
        <v>24</v>
      </c>
      <c r="F712" t="s">
        <v>36</v>
      </c>
      <c r="G712" t="s">
        <v>100</v>
      </c>
      <c r="H712">
        <v>80.62</v>
      </c>
      <c r="I712">
        <v>8</v>
      </c>
      <c r="J712">
        <v>32.247999999999998</v>
      </c>
      <c r="K712">
        <v>644.96</v>
      </c>
      <c r="L712" s="1">
        <v>43753</v>
      </c>
      <c r="M712" s="2">
        <v>0.84583333333333333</v>
      </c>
      <c r="N712" t="s">
        <v>33</v>
      </c>
      <c r="O712">
        <v>483.72</v>
      </c>
      <c r="P712">
        <v>4.7619047620000003</v>
      </c>
      <c r="Q712">
        <v>161.24</v>
      </c>
      <c r="R712">
        <v>9.1</v>
      </c>
      <c r="S712">
        <v>96.173500000000004</v>
      </c>
      <c r="T712">
        <v>16.840900000000001</v>
      </c>
    </row>
    <row r="713" spans="1:20" x14ac:dyDescent="0.3">
      <c r="A713" t="s">
        <v>1149</v>
      </c>
      <c r="B713" t="s">
        <v>29</v>
      </c>
      <c r="C713" t="s">
        <v>1150</v>
      </c>
      <c r="D713" t="s">
        <v>31</v>
      </c>
      <c r="E713" t="s">
        <v>24</v>
      </c>
      <c r="F713" t="s">
        <v>25</v>
      </c>
      <c r="G713" t="s">
        <v>100</v>
      </c>
      <c r="H713">
        <v>75.53</v>
      </c>
      <c r="I713">
        <v>7</v>
      </c>
      <c r="J713">
        <v>26.435500000000001</v>
      </c>
      <c r="K713">
        <v>528.71</v>
      </c>
      <c r="L713" s="1">
        <v>43822</v>
      </c>
      <c r="M713" s="2">
        <v>0.66111111111111109</v>
      </c>
      <c r="N713" t="s">
        <v>27</v>
      </c>
      <c r="O713">
        <v>302.12</v>
      </c>
      <c r="P713">
        <v>4.7619047620000003</v>
      </c>
      <c r="Q713">
        <v>226.59</v>
      </c>
      <c r="R713">
        <v>8.7149999999999999</v>
      </c>
      <c r="S713">
        <v>96.078500000000005</v>
      </c>
      <c r="T713">
        <v>19.763300000000001</v>
      </c>
    </row>
    <row r="714" spans="1:20" x14ac:dyDescent="0.3">
      <c r="A714" t="s">
        <v>1151</v>
      </c>
      <c r="B714" t="s">
        <v>29</v>
      </c>
      <c r="C714" t="s">
        <v>323</v>
      </c>
      <c r="D714" t="s">
        <v>31</v>
      </c>
      <c r="E714" t="s">
        <v>32</v>
      </c>
      <c r="F714" t="s">
        <v>25</v>
      </c>
      <c r="G714" t="s">
        <v>100</v>
      </c>
      <c r="H714">
        <v>77.63</v>
      </c>
      <c r="I714">
        <v>11</v>
      </c>
      <c r="J714">
        <v>42.6965</v>
      </c>
      <c r="K714">
        <v>853.93</v>
      </c>
      <c r="L714" s="1">
        <v>43537</v>
      </c>
      <c r="M714" s="2">
        <v>0.63472222222222219</v>
      </c>
      <c r="N714" t="s">
        <v>27</v>
      </c>
      <c r="O714">
        <v>698.67</v>
      </c>
      <c r="P714">
        <v>4.7619047620000003</v>
      </c>
      <c r="Q714">
        <v>155.26</v>
      </c>
      <c r="R714">
        <v>7.56</v>
      </c>
      <c r="S714">
        <v>96.078500000000005</v>
      </c>
      <c r="T714">
        <v>19.763300000000001</v>
      </c>
    </row>
    <row r="715" spans="1:20" x14ac:dyDescent="0.3">
      <c r="A715" t="s">
        <v>1152</v>
      </c>
      <c r="B715" t="s">
        <v>29</v>
      </c>
      <c r="C715" t="s">
        <v>276</v>
      </c>
      <c r="D715" t="s">
        <v>31</v>
      </c>
      <c r="E715" t="s">
        <v>32</v>
      </c>
      <c r="F715" t="s">
        <v>25</v>
      </c>
      <c r="G715" t="s">
        <v>100</v>
      </c>
      <c r="H715">
        <v>13.85</v>
      </c>
      <c r="I715">
        <v>11</v>
      </c>
      <c r="J715">
        <v>7.6174999999999997</v>
      </c>
      <c r="K715">
        <v>152.35</v>
      </c>
      <c r="L715" s="1">
        <v>43645</v>
      </c>
      <c r="M715" s="2">
        <v>0.53472222222222221</v>
      </c>
      <c r="N715" t="s">
        <v>27</v>
      </c>
      <c r="O715">
        <v>124.65</v>
      </c>
      <c r="P715">
        <v>4.7619047620000003</v>
      </c>
      <c r="Q715">
        <v>27.7</v>
      </c>
      <c r="R715">
        <v>6.3</v>
      </c>
      <c r="S715">
        <v>96.078500000000005</v>
      </c>
      <c r="T715">
        <v>19.763300000000001</v>
      </c>
    </row>
    <row r="716" spans="1:20" x14ac:dyDescent="0.3">
      <c r="A716" t="s">
        <v>1153</v>
      </c>
      <c r="B716" t="s">
        <v>29</v>
      </c>
      <c r="C716" t="s">
        <v>358</v>
      </c>
      <c r="D716" t="s">
        <v>31</v>
      </c>
      <c r="E716" t="s">
        <v>24</v>
      </c>
      <c r="F716" t="s">
        <v>36</v>
      </c>
      <c r="G716" t="s">
        <v>100</v>
      </c>
      <c r="H716">
        <v>98.7</v>
      </c>
      <c r="I716">
        <v>14</v>
      </c>
      <c r="J716">
        <v>69.09</v>
      </c>
      <c r="K716">
        <v>1381.8</v>
      </c>
      <c r="L716" s="1">
        <v>43543</v>
      </c>
      <c r="M716" s="2">
        <v>0.44166666666666665</v>
      </c>
      <c r="N716" t="s">
        <v>27</v>
      </c>
      <c r="O716">
        <v>789.6</v>
      </c>
      <c r="P716">
        <v>4.7619047620000003</v>
      </c>
      <c r="Q716">
        <v>592.20000000000005</v>
      </c>
      <c r="R716">
        <v>8.9250000000000007</v>
      </c>
      <c r="S716">
        <v>96.078500000000005</v>
      </c>
      <c r="T716">
        <v>19.763300000000001</v>
      </c>
    </row>
    <row r="717" spans="1:20" x14ac:dyDescent="0.3">
      <c r="A717" t="s">
        <v>1154</v>
      </c>
      <c r="B717" t="s">
        <v>21</v>
      </c>
      <c r="C717" t="s">
        <v>799</v>
      </c>
      <c r="D717" t="s">
        <v>23</v>
      </c>
      <c r="E717" t="s">
        <v>32</v>
      </c>
      <c r="F717" t="s">
        <v>25</v>
      </c>
      <c r="G717" t="s">
        <v>100</v>
      </c>
      <c r="H717">
        <v>35.68</v>
      </c>
      <c r="I717">
        <v>5</v>
      </c>
      <c r="J717">
        <v>8.92</v>
      </c>
      <c r="K717">
        <v>178.4</v>
      </c>
      <c r="L717" s="1">
        <v>43529</v>
      </c>
      <c r="M717" s="2">
        <v>0.7729166666666667</v>
      </c>
      <c r="N717" t="s">
        <v>37</v>
      </c>
      <c r="O717">
        <v>178.4</v>
      </c>
      <c r="P717">
        <v>4.7619047620000003</v>
      </c>
      <c r="Q717">
        <v>0</v>
      </c>
      <c r="R717">
        <v>6.6</v>
      </c>
      <c r="S717">
        <v>96.173500000000004</v>
      </c>
      <c r="T717">
        <v>16.840900000000001</v>
      </c>
    </row>
    <row r="718" spans="1:20" x14ac:dyDescent="0.3">
      <c r="A718" t="s">
        <v>1155</v>
      </c>
      <c r="B718" t="s">
        <v>21</v>
      </c>
      <c r="C718" t="s">
        <v>387</v>
      </c>
      <c r="D718" t="s">
        <v>23</v>
      </c>
      <c r="E718" t="s">
        <v>24</v>
      </c>
      <c r="F718" t="s">
        <v>25</v>
      </c>
      <c r="G718" t="s">
        <v>100</v>
      </c>
      <c r="H718">
        <v>71.459999999999994</v>
      </c>
      <c r="I718">
        <v>10</v>
      </c>
      <c r="J718">
        <v>35.729999999999997</v>
      </c>
      <c r="K718">
        <v>714.6</v>
      </c>
      <c r="L718" s="1">
        <v>43664</v>
      </c>
      <c r="M718" s="2">
        <v>0.67083333333333328</v>
      </c>
      <c r="N718" t="s">
        <v>27</v>
      </c>
      <c r="O718">
        <v>500.22</v>
      </c>
      <c r="P718">
        <v>4.7619047620000003</v>
      </c>
      <c r="Q718">
        <v>214.38</v>
      </c>
      <c r="R718">
        <v>4.5</v>
      </c>
      <c r="S718">
        <v>96.173500000000004</v>
      </c>
      <c r="T718">
        <v>16.840900000000001</v>
      </c>
    </row>
    <row r="719" spans="1:20" x14ac:dyDescent="0.3">
      <c r="A719" t="s">
        <v>1156</v>
      </c>
      <c r="B719" t="s">
        <v>21</v>
      </c>
      <c r="C719" t="s">
        <v>365</v>
      </c>
      <c r="D719" t="s">
        <v>23</v>
      </c>
      <c r="E719" t="s">
        <v>24</v>
      </c>
      <c r="F719" t="s">
        <v>36</v>
      </c>
      <c r="G719" t="s">
        <v>60</v>
      </c>
      <c r="H719">
        <v>11.94</v>
      </c>
      <c r="I719">
        <v>4</v>
      </c>
      <c r="J719">
        <v>2.3879999999999999</v>
      </c>
      <c r="K719">
        <v>47.76</v>
      </c>
      <c r="L719" s="1">
        <v>43597</v>
      </c>
      <c r="M719" s="2">
        <v>0.53263888888888888</v>
      </c>
      <c r="N719" t="s">
        <v>37</v>
      </c>
      <c r="O719">
        <v>35.82</v>
      </c>
      <c r="P719">
        <v>4.7619047620000003</v>
      </c>
      <c r="Q719">
        <v>11.94</v>
      </c>
      <c r="R719">
        <v>8.1</v>
      </c>
      <c r="S719">
        <v>96.173500000000004</v>
      </c>
      <c r="T719">
        <v>16.840900000000001</v>
      </c>
    </row>
    <row r="720" spans="1:20" x14ac:dyDescent="0.3">
      <c r="A720" t="s">
        <v>1157</v>
      </c>
      <c r="B720" t="s">
        <v>21</v>
      </c>
      <c r="C720" t="s">
        <v>39</v>
      </c>
      <c r="D720" t="s">
        <v>23</v>
      </c>
      <c r="E720" t="s">
        <v>32</v>
      </c>
      <c r="F720" t="s">
        <v>36</v>
      </c>
      <c r="G720" t="s">
        <v>68</v>
      </c>
      <c r="H720">
        <v>45.38</v>
      </c>
      <c r="I720">
        <v>3</v>
      </c>
      <c r="J720">
        <v>6.8070000000000004</v>
      </c>
      <c r="K720">
        <v>136.13999999999999</v>
      </c>
      <c r="L720" s="1">
        <v>43466</v>
      </c>
      <c r="M720" s="2">
        <v>0.56527777777777777</v>
      </c>
      <c r="N720" t="s">
        <v>37</v>
      </c>
      <c r="O720">
        <v>136.13999999999999</v>
      </c>
      <c r="P720">
        <v>4.7619047620000003</v>
      </c>
      <c r="Q720">
        <v>0</v>
      </c>
      <c r="R720">
        <v>7.2</v>
      </c>
      <c r="S720">
        <v>96.173500000000004</v>
      </c>
      <c r="T720">
        <v>16.840900000000001</v>
      </c>
    </row>
    <row r="721" spans="1:20" x14ac:dyDescent="0.3">
      <c r="A721" t="s">
        <v>1158</v>
      </c>
      <c r="B721" t="s">
        <v>51</v>
      </c>
      <c r="C721" t="s">
        <v>145</v>
      </c>
      <c r="D721" t="s">
        <v>53</v>
      </c>
      <c r="E721" t="s">
        <v>24</v>
      </c>
      <c r="F721" t="s">
        <v>25</v>
      </c>
      <c r="G721" t="s">
        <v>68</v>
      </c>
      <c r="H721">
        <v>17.48</v>
      </c>
      <c r="I721">
        <v>11</v>
      </c>
      <c r="J721">
        <v>9.6140000000000008</v>
      </c>
      <c r="K721">
        <v>192.28</v>
      </c>
      <c r="L721" s="1">
        <v>43820</v>
      </c>
      <c r="M721" s="2">
        <v>0.62777777777777777</v>
      </c>
      <c r="N721" t="s">
        <v>37</v>
      </c>
      <c r="O721">
        <v>104.88</v>
      </c>
      <c r="P721">
        <v>4.7619047620000003</v>
      </c>
      <c r="Q721">
        <v>87.4</v>
      </c>
      <c r="R721">
        <v>7.32</v>
      </c>
      <c r="S721">
        <v>96.089100000000002</v>
      </c>
      <c r="T721">
        <v>21.9588</v>
      </c>
    </row>
    <row r="722" spans="1:20" x14ac:dyDescent="0.3">
      <c r="A722" t="s">
        <v>1159</v>
      </c>
      <c r="B722" t="s">
        <v>51</v>
      </c>
      <c r="C722" t="s">
        <v>830</v>
      </c>
      <c r="D722" t="s">
        <v>53</v>
      </c>
      <c r="E722" t="s">
        <v>32</v>
      </c>
      <c r="F722" t="s">
        <v>25</v>
      </c>
      <c r="G722" t="s">
        <v>68</v>
      </c>
      <c r="H722">
        <v>25.56</v>
      </c>
      <c r="I722">
        <v>10</v>
      </c>
      <c r="J722">
        <v>12.78</v>
      </c>
      <c r="K722">
        <v>255.6</v>
      </c>
      <c r="L722" s="1">
        <v>43620</v>
      </c>
      <c r="M722" s="2">
        <v>0.86250000000000004</v>
      </c>
      <c r="N722" t="s">
        <v>33</v>
      </c>
      <c r="O722">
        <v>178.92</v>
      </c>
      <c r="P722">
        <v>4.7619047620000003</v>
      </c>
      <c r="Q722">
        <v>76.680000000000007</v>
      </c>
      <c r="R722">
        <v>8.52</v>
      </c>
      <c r="S722">
        <v>96.089100000000002</v>
      </c>
      <c r="T722">
        <v>21.9588</v>
      </c>
    </row>
    <row r="723" spans="1:20" x14ac:dyDescent="0.3">
      <c r="A723" t="s">
        <v>1160</v>
      </c>
      <c r="B723" t="s">
        <v>29</v>
      </c>
      <c r="C723" t="s">
        <v>1161</v>
      </c>
      <c r="D723" t="s">
        <v>31</v>
      </c>
      <c r="E723" t="s">
        <v>24</v>
      </c>
      <c r="F723" t="s">
        <v>25</v>
      </c>
      <c r="G723" t="s">
        <v>68</v>
      </c>
      <c r="H723">
        <v>90.63</v>
      </c>
      <c r="I723">
        <v>15</v>
      </c>
      <c r="J723">
        <v>67.972499999999997</v>
      </c>
      <c r="K723">
        <v>1359.45</v>
      </c>
      <c r="L723" s="1">
        <v>43548</v>
      </c>
      <c r="M723" s="2">
        <v>0.64444444444444449</v>
      </c>
      <c r="N723" t="s">
        <v>33</v>
      </c>
      <c r="O723">
        <v>815.67</v>
      </c>
      <c r="P723">
        <v>4.7619047620000003</v>
      </c>
      <c r="Q723">
        <v>543.78</v>
      </c>
      <c r="R723">
        <v>5.3550000000000004</v>
      </c>
      <c r="S723">
        <v>96.078500000000005</v>
      </c>
      <c r="T723">
        <v>19.763300000000001</v>
      </c>
    </row>
    <row r="724" spans="1:20" x14ac:dyDescent="0.3">
      <c r="A724" t="s">
        <v>1162</v>
      </c>
      <c r="B724" t="s">
        <v>51</v>
      </c>
      <c r="C724" t="s">
        <v>104</v>
      </c>
      <c r="D724" t="s">
        <v>53</v>
      </c>
      <c r="E724" t="s">
        <v>32</v>
      </c>
      <c r="F724" t="s">
        <v>36</v>
      </c>
      <c r="G724" t="s">
        <v>77</v>
      </c>
      <c r="H724">
        <v>44.12</v>
      </c>
      <c r="I724">
        <v>4</v>
      </c>
      <c r="J724">
        <v>8.8239999999999998</v>
      </c>
      <c r="K724">
        <v>176.48</v>
      </c>
      <c r="L724" s="1">
        <v>43618</v>
      </c>
      <c r="M724" s="2">
        <v>0.57291666666666663</v>
      </c>
      <c r="N724" t="s">
        <v>37</v>
      </c>
      <c r="O724">
        <v>132.36000000000001</v>
      </c>
      <c r="P724">
        <v>4.7619047620000003</v>
      </c>
      <c r="Q724">
        <v>44.12</v>
      </c>
      <c r="R724">
        <v>9.48</v>
      </c>
      <c r="S724">
        <v>96.089100000000002</v>
      </c>
      <c r="T724">
        <v>21.9588</v>
      </c>
    </row>
    <row r="725" spans="1:20" x14ac:dyDescent="0.3">
      <c r="A725" t="s">
        <v>1163</v>
      </c>
      <c r="B725" t="s">
        <v>29</v>
      </c>
      <c r="C725" t="s">
        <v>598</v>
      </c>
      <c r="D725" t="s">
        <v>31</v>
      </c>
      <c r="E725" t="s">
        <v>24</v>
      </c>
      <c r="F725" t="s">
        <v>25</v>
      </c>
      <c r="G725" t="s">
        <v>63</v>
      </c>
      <c r="H725">
        <v>36.770000000000003</v>
      </c>
      <c r="I725">
        <v>11</v>
      </c>
      <c r="J725">
        <v>20.223500000000001</v>
      </c>
      <c r="K725">
        <v>404.47</v>
      </c>
      <c r="L725" s="1">
        <v>43478</v>
      </c>
      <c r="M725" s="2">
        <v>0.84027777777777779</v>
      </c>
      <c r="N725" t="s">
        <v>33</v>
      </c>
      <c r="O725">
        <v>257.39</v>
      </c>
      <c r="P725">
        <v>4.7619047620000003</v>
      </c>
      <c r="Q725">
        <v>147.08000000000001</v>
      </c>
      <c r="R725">
        <v>7.77</v>
      </c>
      <c r="S725">
        <v>96.078500000000005</v>
      </c>
      <c r="T725">
        <v>19.763300000000001</v>
      </c>
    </row>
    <row r="726" spans="1:20" x14ac:dyDescent="0.3">
      <c r="A726" t="s">
        <v>1164</v>
      </c>
      <c r="B726" t="s">
        <v>51</v>
      </c>
      <c r="C726" t="s">
        <v>665</v>
      </c>
      <c r="D726" t="s">
        <v>53</v>
      </c>
      <c r="E726" t="s">
        <v>24</v>
      </c>
      <c r="F726" t="s">
        <v>36</v>
      </c>
      <c r="G726" t="s">
        <v>63</v>
      </c>
      <c r="H726">
        <v>23.34</v>
      </c>
      <c r="I726">
        <v>8</v>
      </c>
      <c r="J726">
        <v>9.3360000000000003</v>
      </c>
      <c r="K726">
        <v>186.72</v>
      </c>
      <c r="L726" s="1">
        <v>43478</v>
      </c>
      <c r="M726" s="2">
        <v>0.78680555555555554</v>
      </c>
      <c r="N726" t="s">
        <v>27</v>
      </c>
      <c r="O726">
        <v>93.36</v>
      </c>
      <c r="P726">
        <v>4.7619047620000003</v>
      </c>
      <c r="Q726">
        <v>93.36</v>
      </c>
      <c r="R726">
        <v>8.8800000000000008</v>
      </c>
      <c r="S726">
        <v>96.089100000000002</v>
      </c>
      <c r="T726">
        <v>21.9588</v>
      </c>
    </row>
    <row r="727" spans="1:20" x14ac:dyDescent="0.3">
      <c r="A727" t="s">
        <v>1165</v>
      </c>
      <c r="B727" t="s">
        <v>29</v>
      </c>
      <c r="C727" t="s">
        <v>999</v>
      </c>
      <c r="D727" t="s">
        <v>31</v>
      </c>
      <c r="E727" t="s">
        <v>24</v>
      </c>
      <c r="F727" t="s">
        <v>25</v>
      </c>
      <c r="G727" t="s">
        <v>26</v>
      </c>
      <c r="H727">
        <v>28.5</v>
      </c>
      <c r="I727">
        <v>14</v>
      </c>
      <c r="J727">
        <v>19.95</v>
      </c>
      <c r="K727">
        <v>399</v>
      </c>
      <c r="L727" s="1">
        <v>43788</v>
      </c>
      <c r="M727" s="2">
        <v>0.6</v>
      </c>
      <c r="N727" t="s">
        <v>33</v>
      </c>
      <c r="O727">
        <v>228</v>
      </c>
      <c r="P727">
        <v>4.7619047620000003</v>
      </c>
      <c r="Q727">
        <v>171</v>
      </c>
      <c r="R727">
        <v>7.46</v>
      </c>
      <c r="S727">
        <v>96.078500000000005</v>
      </c>
      <c r="T727">
        <v>19.763300000000001</v>
      </c>
    </row>
    <row r="728" spans="1:20" x14ac:dyDescent="0.3">
      <c r="A728" t="s">
        <v>1166</v>
      </c>
      <c r="B728" t="s">
        <v>29</v>
      </c>
      <c r="C728" t="s">
        <v>893</v>
      </c>
      <c r="D728" t="s">
        <v>31</v>
      </c>
      <c r="E728" t="s">
        <v>24</v>
      </c>
      <c r="F728" t="s">
        <v>36</v>
      </c>
      <c r="G728" t="s">
        <v>77</v>
      </c>
      <c r="H728">
        <v>55.57</v>
      </c>
      <c r="I728">
        <v>6</v>
      </c>
      <c r="J728">
        <v>16.670999999999999</v>
      </c>
      <c r="K728">
        <v>333.42</v>
      </c>
      <c r="L728" s="1">
        <v>43568</v>
      </c>
      <c r="M728" s="2">
        <v>0.48749999999999999</v>
      </c>
      <c r="N728" t="s">
        <v>37</v>
      </c>
      <c r="O728">
        <v>166.71</v>
      </c>
      <c r="P728">
        <v>4.7619047620000003</v>
      </c>
      <c r="Q728">
        <v>166.71</v>
      </c>
      <c r="R728">
        <v>7.46</v>
      </c>
      <c r="S728">
        <v>96.078500000000005</v>
      </c>
      <c r="T728">
        <v>19.763300000000001</v>
      </c>
    </row>
    <row r="729" spans="1:20" x14ac:dyDescent="0.3">
      <c r="A729" t="s">
        <v>1167</v>
      </c>
      <c r="B729" t="s">
        <v>51</v>
      </c>
      <c r="C729" t="s">
        <v>282</v>
      </c>
      <c r="D729" t="s">
        <v>53</v>
      </c>
      <c r="E729" t="s">
        <v>32</v>
      </c>
      <c r="F729" t="s">
        <v>36</v>
      </c>
      <c r="G729" t="s">
        <v>68</v>
      </c>
      <c r="H729">
        <v>69.739999999999995</v>
      </c>
      <c r="I729">
        <v>14</v>
      </c>
      <c r="J729">
        <v>48.817999999999998</v>
      </c>
      <c r="K729">
        <v>976.36</v>
      </c>
      <c r="L729" s="1">
        <v>43496</v>
      </c>
      <c r="M729" s="2">
        <v>0.74236111111111114</v>
      </c>
      <c r="N729" t="s">
        <v>37</v>
      </c>
      <c r="O729">
        <v>697.4</v>
      </c>
      <c r="P729">
        <v>4.7619047620000003</v>
      </c>
      <c r="Q729">
        <v>278.95999999999998</v>
      </c>
      <c r="R729">
        <v>7.46</v>
      </c>
      <c r="S729">
        <v>96.089100000000002</v>
      </c>
      <c r="T729">
        <v>21.9588</v>
      </c>
    </row>
    <row r="730" spans="1:20" x14ac:dyDescent="0.3">
      <c r="A730" t="s">
        <v>1168</v>
      </c>
      <c r="B730" t="s">
        <v>29</v>
      </c>
      <c r="C730" t="s">
        <v>990</v>
      </c>
      <c r="D730" t="s">
        <v>31</v>
      </c>
      <c r="E730" t="s">
        <v>32</v>
      </c>
      <c r="F730" t="s">
        <v>36</v>
      </c>
      <c r="G730" t="s">
        <v>100</v>
      </c>
      <c r="H730">
        <v>97.26</v>
      </c>
      <c r="I730">
        <v>5</v>
      </c>
      <c r="J730">
        <v>24.315000000000001</v>
      </c>
      <c r="K730">
        <v>486.3</v>
      </c>
      <c r="L730" s="1">
        <v>43817</v>
      </c>
      <c r="M730" s="2">
        <v>0.6479166666666667</v>
      </c>
      <c r="N730" t="s">
        <v>27</v>
      </c>
      <c r="O730">
        <v>389.04</v>
      </c>
      <c r="P730">
        <v>4.7619047620000003</v>
      </c>
      <c r="Q730">
        <v>97.26</v>
      </c>
      <c r="R730">
        <v>7.46</v>
      </c>
      <c r="S730">
        <v>96.078500000000005</v>
      </c>
      <c r="T730">
        <v>19.763300000000001</v>
      </c>
    </row>
    <row r="731" spans="1:20" x14ac:dyDescent="0.3">
      <c r="A731" t="s">
        <v>1169</v>
      </c>
      <c r="B731" t="s">
        <v>51</v>
      </c>
      <c r="C731" t="s">
        <v>926</v>
      </c>
      <c r="D731" t="s">
        <v>53</v>
      </c>
      <c r="E731" t="s">
        <v>24</v>
      </c>
      <c r="F731" t="s">
        <v>25</v>
      </c>
      <c r="G731" t="s">
        <v>77</v>
      </c>
      <c r="H731">
        <v>52.18</v>
      </c>
      <c r="I731">
        <v>14</v>
      </c>
      <c r="J731">
        <v>36.526000000000003</v>
      </c>
      <c r="K731">
        <v>730.52</v>
      </c>
      <c r="L731" s="1">
        <v>43697</v>
      </c>
      <c r="M731" s="2">
        <v>0.45416666666666666</v>
      </c>
      <c r="N731" t="s">
        <v>33</v>
      </c>
      <c r="O731">
        <v>365.26</v>
      </c>
      <c r="P731">
        <v>4.7619047620000003</v>
      </c>
      <c r="Q731">
        <v>365.26</v>
      </c>
      <c r="R731">
        <v>7.46</v>
      </c>
      <c r="S731">
        <v>96.089100000000002</v>
      </c>
      <c r="T731">
        <v>21.9588</v>
      </c>
    </row>
    <row r="732" spans="1:20" x14ac:dyDescent="0.3">
      <c r="A732" t="s">
        <v>1170</v>
      </c>
      <c r="B732" t="s">
        <v>21</v>
      </c>
      <c r="C732" t="s">
        <v>205</v>
      </c>
      <c r="D732" t="s">
        <v>23</v>
      </c>
      <c r="E732" t="s">
        <v>24</v>
      </c>
      <c r="F732" t="s">
        <v>25</v>
      </c>
      <c r="G732" t="s">
        <v>100</v>
      </c>
      <c r="H732">
        <v>22.32</v>
      </c>
      <c r="I732">
        <v>6</v>
      </c>
      <c r="J732">
        <v>6.6959999999999997</v>
      </c>
      <c r="K732">
        <v>133.91999999999999</v>
      </c>
      <c r="L732" s="1">
        <v>43498</v>
      </c>
      <c r="M732" s="2">
        <v>0.68263888888888891</v>
      </c>
      <c r="N732" t="s">
        <v>37</v>
      </c>
      <c r="O732">
        <v>89.28</v>
      </c>
      <c r="P732">
        <v>4.7619047620000003</v>
      </c>
      <c r="Q732">
        <v>44.64</v>
      </c>
      <c r="R732">
        <v>7.46</v>
      </c>
      <c r="S732">
        <v>96.173500000000004</v>
      </c>
      <c r="T732">
        <v>16.840900000000001</v>
      </c>
    </row>
    <row r="733" spans="1:20" x14ac:dyDescent="0.3">
      <c r="A733" t="s">
        <v>1171</v>
      </c>
      <c r="B733" t="s">
        <v>21</v>
      </c>
      <c r="C733" t="s">
        <v>1172</v>
      </c>
      <c r="D733" t="s">
        <v>23</v>
      </c>
      <c r="E733" t="s">
        <v>32</v>
      </c>
      <c r="F733" t="s">
        <v>36</v>
      </c>
      <c r="G733" t="s">
        <v>26</v>
      </c>
      <c r="H733">
        <v>56</v>
      </c>
      <c r="I733">
        <v>3</v>
      </c>
      <c r="J733">
        <v>8.4</v>
      </c>
      <c r="K733">
        <v>168</v>
      </c>
      <c r="L733" s="1">
        <v>43670</v>
      </c>
      <c r="M733" s="2">
        <v>0.81458333333333333</v>
      </c>
      <c r="N733" t="s">
        <v>27</v>
      </c>
      <c r="O733">
        <v>168</v>
      </c>
      <c r="P733">
        <v>4.7619047620000003</v>
      </c>
      <c r="Q733">
        <v>0</v>
      </c>
      <c r="R733">
        <v>4.8</v>
      </c>
      <c r="S733">
        <v>96.173500000000004</v>
      </c>
      <c r="T733">
        <v>16.840900000000001</v>
      </c>
    </row>
    <row r="734" spans="1:20" x14ac:dyDescent="0.3">
      <c r="A734" t="s">
        <v>1173</v>
      </c>
      <c r="B734" t="s">
        <v>21</v>
      </c>
      <c r="C734" t="s">
        <v>41</v>
      </c>
      <c r="D734" t="s">
        <v>23</v>
      </c>
      <c r="E734" t="s">
        <v>24</v>
      </c>
      <c r="F734" t="s">
        <v>36</v>
      </c>
      <c r="G734" t="s">
        <v>100</v>
      </c>
      <c r="H734">
        <v>19.7</v>
      </c>
      <c r="I734">
        <v>1</v>
      </c>
      <c r="J734">
        <v>0.98499999999999999</v>
      </c>
      <c r="K734">
        <v>19.7</v>
      </c>
      <c r="L734" s="1">
        <v>43820</v>
      </c>
      <c r="M734" s="2">
        <v>0.48541666666666666</v>
      </c>
      <c r="N734" t="s">
        <v>27</v>
      </c>
      <c r="O734">
        <v>19.7</v>
      </c>
      <c r="P734">
        <v>4.7619047620000003</v>
      </c>
      <c r="Q734">
        <v>0</v>
      </c>
      <c r="R734">
        <v>9.5</v>
      </c>
      <c r="S734">
        <v>96.173500000000004</v>
      </c>
      <c r="T734">
        <v>16.840900000000001</v>
      </c>
    </row>
    <row r="735" spans="1:20" x14ac:dyDescent="0.3">
      <c r="A735" t="s">
        <v>1174</v>
      </c>
      <c r="B735" t="s">
        <v>51</v>
      </c>
      <c r="C735" t="s">
        <v>91</v>
      </c>
      <c r="D735" t="s">
        <v>53</v>
      </c>
      <c r="E735" t="s">
        <v>32</v>
      </c>
      <c r="F735" t="s">
        <v>36</v>
      </c>
      <c r="G735" t="s">
        <v>60</v>
      </c>
      <c r="H735">
        <v>75.88</v>
      </c>
      <c r="I735">
        <v>10</v>
      </c>
      <c r="J735">
        <v>37.94</v>
      </c>
      <c r="K735">
        <v>758.8</v>
      </c>
      <c r="L735" s="1">
        <v>43507</v>
      </c>
      <c r="M735" s="2">
        <v>0.44305555555555554</v>
      </c>
      <c r="N735" t="s">
        <v>27</v>
      </c>
      <c r="O735">
        <v>531.16</v>
      </c>
      <c r="P735">
        <v>4.7619047620000003</v>
      </c>
      <c r="Q735">
        <v>227.64</v>
      </c>
      <c r="R735">
        <v>10</v>
      </c>
      <c r="S735">
        <v>96.089100000000002</v>
      </c>
      <c r="T735">
        <v>21.9588</v>
      </c>
    </row>
    <row r="736" spans="1:20" x14ac:dyDescent="0.3">
      <c r="A736" t="s">
        <v>1175</v>
      </c>
      <c r="B736" t="s">
        <v>51</v>
      </c>
      <c r="C736" t="s">
        <v>1176</v>
      </c>
      <c r="D736" t="s">
        <v>53</v>
      </c>
      <c r="E736" t="s">
        <v>24</v>
      </c>
      <c r="F736" t="s">
        <v>36</v>
      </c>
      <c r="G736" t="s">
        <v>63</v>
      </c>
      <c r="H736">
        <v>53.72</v>
      </c>
      <c r="I736">
        <v>1</v>
      </c>
      <c r="J736">
        <v>2.6859999999999999</v>
      </c>
      <c r="K736">
        <v>53.72</v>
      </c>
      <c r="L736" s="1">
        <v>43610</v>
      </c>
      <c r="M736" s="2">
        <v>0.8354166666666667</v>
      </c>
      <c r="N736" t="s">
        <v>27</v>
      </c>
      <c r="O736">
        <v>53.72</v>
      </c>
      <c r="P736">
        <v>4.7619047620000003</v>
      </c>
      <c r="Q736">
        <v>0</v>
      </c>
      <c r="R736">
        <v>7.68</v>
      </c>
      <c r="S736">
        <v>96.089100000000002</v>
      </c>
      <c r="T736">
        <v>21.9588</v>
      </c>
    </row>
    <row r="737" spans="1:20" x14ac:dyDescent="0.3">
      <c r="A737" t="s">
        <v>1177</v>
      </c>
      <c r="B737" t="s">
        <v>29</v>
      </c>
      <c r="C737" t="s">
        <v>990</v>
      </c>
      <c r="D737" t="s">
        <v>31</v>
      </c>
      <c r="E737" t="s">
        <v>24</v>
      </c>
      <c r="F737" t="s">
        <v>36</v>
      </c>
      <c r="G737" t="s">
        <v>26</v>
      </c>
      <c r="H737">
        <v>81.95</v>
      </c>
      <c r="I737">
        <v>17</v>
      </c>
      <c r="J737">
        <v>69.657499999999999</v>
      </c>
      <c r="K737">
        <v>1393.15</v>
      </c>
      <c r="L737" s="1">
        <v>43824</v>
      </c>
      <c r="M737" s="2">
        <v>0.52708333333333335</v>
      </c>
      <c r="N737" t="s">
        <v>37</v>
      </c>
      <c r="O737">
        <v>819.5</v>
      </c>
      <c r="P737">
        <v>4.7619047620000003</v>
      </c>
      <c r="Q737">
        <v>573.65</v>
      </c>
      <c r="R737">
        <v>6.3</v>
      </c>
      <c r="S737">
        <v>96.078500000000005</v>
      </c>
      <c r="T737">
        <v>19.763300000000001</v>
      </c>
    </row>
    <row r="738" spans="1:20" x14ac:dyDescent="0.3">
      <c r="A738" t="s">
        <v>1178</v>
      </c>
      <c r="B738" t="s">
        <v>29</v>
      </c>
      <c r="C738" t="s">
        <v>1179</v>
      </c>
      <c r="D738" t="s">
        <v>31</v>
      </c>
      <c r="E738" t="s">
        <v>24</v>
      </c>
      <c r="F738" t="s">
        <v>25</v>
      </c>
      <c r="G738" t="s">
        <v>77</v>
      </c>
      <c r="H738">
        <v>81.2</v>
      </c>
      <c r="I738">
        <v>11</v>
      </c>
      <c r="J738">
        <v>44.66</v>
      </c>
      <c r="K738">
        <v>893.2</v>
      </c>
      <c r="L738" s="1">
        <v>43555</v>
      </c>
      <c r="M738" s="2">
        <v>0.66597222222222219</v>
      </c>
      <c r="N738" t="s">
        <v>37</v>
      </c>
      <c r="O738">
        <v>568.4</v>
      </c>
      <c r="P738">
        <v>4.7619047620000003</v>
      </c>
      <c r="Q738">
        <v>324.8</v>
      </c>
      <c r="R738">
        <v>8.5050000000000008</v>
      </c>
      <c r="S738">
        <v>96.078500000000005</v>
      </c>
      <c r="T738">
        <v>19.763300000000001</v>
      </c>
    </row>
    <row r="739" spans="1:20" x14ac:dyDescent="0.3">
      <c r="A739" t="s">
        <v>1180</v>
      </c>
      <c r="B739" t="s">
        <v>29</v>
      </c>
      <c r="C739" t="s">
        <v>1181</v>
      </c>
      <c r="D739" t="s">
        <v>31</v>
      </c>
      <c r="E739" t="s">
        <v>32</v>
      </c>
      <c r="F739" t="s">
        <v>36</v>
      </c>
      <c r="G739" t="s">
        <v>60</v>
      </c>
      <c r="H739">
        <v>58.76</v>
      </c>
      <c r="I739">
        <v>12</v>
      </c>
      <c r="J739">
        <v>35.256</v>
      </c>
      <c r="K739">
        <v>705.12</v>
      </c>
      <c r="L739" s="1">
        <v>43523</v>
      </c>
      <c r="M739" s="2">
        <v>0.60138888888888886</v>
      </c>
      <c r="N739" t="s">
        <v>27</v>
      </c>
      <c r="O739">
        <v>587.6</v>
      </c>
      <c r="P739">
        <v>4.7619047620000003</v>
      </c>
      <c r="Q739">
        <v>117.52</v>
      </c>
      <c r="R739">
        <v>9.4499999999999993</v>
      </c>
      <c r="S739">
        <v>96.078500000000005</v>
      </c>
      <c r="T739">
        <v>19.763300000000001</v>
      </c>
    </row>
    <row r="740" spans="1:20" x14ac:dyDescent="0.3">
      <c r="A740" t="s">
        <v>1182</v>
      </c>
      <c r="B740" t="s">
        <v>51</v>
      </c>
      <c r="C740" t="s">
        <v>791</v>
      </c>
      <c r="D740" t="s">
        <v>53</v>
      </c>
      <c r="E740" t="s">
        <v>24</v>
      </c>
      <c r="F740" t="s">
        <v>36</v>
      </c>
      <c r="G740" t="s">
        <v>60</v>
      </c>
      <c r="H740">
        <v>91.56</v>
      </c>
      <c r="I740">
        <v>15</v>
      </c>
      <c r="J740">
        <v>68.67</v>
      </c>
      <c r="K740">
        <v>1373.4</v>
      </c>
      <c r="L740" s="1">
        <v>43640</v>
      </c>
      <c r="M740" s="2">
        <v>0.76527777777777772</v>
      </c>
      <c r="N740" t="s">
        <v>27</v>
      </c>
      <c r="O740">
        <v>732.48</v>
      </c>
      <c r="P740">
        <v>4.7619047620000003</v>
      </c>
      <c r="Q740">
        <v>640.91999999999996</v>
      </c>
      <c r="R740">
        <v>7.2</v>
      </c>
      <c r="S740">
        <v>96.089100000000002</v>
      </c>
      <c r="T740">
        <v>21.9588</v>
      </c>
    </row>
    <row r="741" spans="1:20" x14ac:dyDescent="0.3">
      <c r="A741" t="s">
        <v>1183</v>
      </c>
      <c r="B741" t="s">
        <v>21</v>
      </c>
      <c r="C741" t="s">
        <v>339</v>
      </c>
      <c r="D741" t="s">
        <v>23</v>
      </c>
      <c r="E741" t="s">
        <v>32</v>
      </c>
      <c r="F741" t="s">
        <v>36</v>
      </c>
      <c r="G741" t="s">
        <v>77</v>
      </c>
      <c r="H741">
        <v>93.96</v>
      </c>
      <c r="I741">
        <v>9</v>
      </c>
      <c r="J741">
        <v>42.281999999999996</v>
      </c>
      <c r="K741">
        <v>845.64</v>
      </c>
      <c r="L741" s="1">
        <v>43657</v>
      </c>
      <c r="M741" s="2">
        <v>0.48055555555555557</v>
      </c>
      <c r="N741" t="s">
        <v>33</v>
      </c>
      <c r="O741">
        <v>845.64</v>
      </c>
      <c r="P741">
        <v>4.7619047620000003</v>
      </c>
      <c r="Q741">
        <v>0</v>
      </c>
      <c r="R741">
        <v>9.8000000000000007</v>
      </c>
      <c r="S741">
        <v>96.173500000000004</v>
      </c>
      <c r="T741">
        <v>16.840900000000001</v>
      </c>
    </row>
    <row r="742" spans="1:20" x14ac:dyDescent="0.3">
      <c r="A742" t="s">
        <v>1184</v>
      </c>
      <c r="B742" t="s">
        <v>29</v>
      </c>
      <c r="C742" t="s">
        <v>592</v>
      </c>
      <c r="D742" t="s">
        <v>31</v>
      </c>
      <c r="E742" t="s">
        <v>32</v>
      </c>
      <c r="F742" t="s">
        <v>36</v>
      </c>
      <c r="G742" t="s">
        <v>77</v>
      </c>
      <c r="H742">
        <v>55.61</v>
      </c>
      <c r="I742">
        <v>8</v>
      </c>
      <c r="J742">
        <v>22.244</v>
      </c>
      <c r="K742">
        <v>444.88</v>
      </c>
      <c r="L742" s="1">
        <v>43777</v>
      </c>
      <c r="M742" s="2">
        <v>0.52847222222222223</v>
      </c>
      <c r="N742" t="s">
        <v>33</v>
      </c>
      <c r="O742">
        <v>389.27</v>
      </c>
      <c r="P742">
        <v>4.7619047620000003</v>
      </c>
      <c r="Q742">
        <v>55.61</v>
      </c>
      <c r="R742">
        <v>8.9250000000000007</v>
      </c>
      <c r="S742">
        <v>96.078500000000005</v>
      </c>
      <c r="T742">
        <v>19.763300000000001</v>
      </c>
    </row>
    <row r="743" spans="1:20" x14ac:dyDescent="0.3">
      <c r="A743" t="s">
        <v>1185</v>
      </c>
      <c r="B743" t="s">
        <v>29</v>
      </c>
      <c r="C743" t="s">
        <v>466</v>
      </c>
      <c r="D743" t="s">
        <v>31</v>
      </c>
      <c r="E743" t="s">
        <v>32</v>
      </c>
      <c r="F743" t="s">
        <v>36</v>
      </c>
      <c r="G743" t="s">
        <v>63</v>
      </c>
      <c r="H743">
        <v>84.83</v>
      </c>
      <c r="I743">
        <v>1</v>
      </c>
      <c r="J743">
        <v>4.2415000000000003</v>
      </c>
      <c r="K743">
        <v>84.83</v>
      </c>
      <c r="L743" s="1">
        <v>43818</v>
      </c>
      <c r="M743" s="2">
        <v>0.63888888888888884</v>
      </c>
      <c r="N743" t="s">
        <v>27</v>
      </c>
      <c r="O743">
        <v>84.83</v>
      </c>
      <c r="P743">
        <v>4.7619047620000003</v>
      </c>
      <c r="Q743">
        <v>0</v>
      </c>
      <c r="R743">
        <v>9.24</v>
      </c>
      <c r="S743">
        <v>96.078500000000005</v>
      </c>
      <c r="T743">
        <v>19.763300000000001</v>
      </c>
    </row>
    <row r="744" spans="1:20" x14ac:dyDescent="0.3">
      <c r="A744" t="s">
        <v>1186</v>
      </c>
      <c r="B744" t="s">
        <v>21</v>
      </c>
      <c r="C744" t="s">
        <v>885</v>
      </c>
      <c r="D744" t="s">
        <v>23</v>
      </c>
      <c r="E744" t="s">
        <v>24</v>
      </c>
      <c r="F744" t="s">
        <v>25</v>
      </c>
      <c r="G744" t="s">
        <v>68</v>
      </c>
      <c r="H744">
        <v>71.63</v>
      </c>
      <c r="I744">
        <v>3</v>
      </c>
      <c r="J744">
        <v>10.7445</v>
      </c>
      <c r="K744">
        <v>214.89</v>
      </c>
      <c r="L744" s="1">
        <v>43541</v>
      </c>
      <c r="M744" s="2">
        <v>0.60624999999999996</v>
      </c>
      <c r="N744" t="s">
        <v>27</v>
      </c>
      <c r="O744">
        <v>143.26</v>
      </c>
      <c r="P744">
        <v>4.7619047620000003</v>
      </c>
      <c r="Q744">
        <v>71.63</v>
      </c>
      <c r="R744">
        <v>8.8000000000000007</v>
      </c>
      <c r="S744">
        <v>96.173500000000004</v>
      </c>
      <c r="T744">
        <v>16.840900000000001</v>
      </c>
    </row>
    <row r="745" spans="1:20" x14ac:dyDescent="0.3">
      <c r="A745" t="s">
        <v>1187</v>
      </c>
      <c r="B745" t="s">
        <v>21</v>
      </c>
      <c r="C745" t="s">
        <v>484</v>
      </c>
      <c r="D745" t="s">
        <v>23</v>
      </c>
      <c r="E745" t="s">
        <v>24</v>
      </c>
      <c r="F745" t="s">
        <v>36</v>
      </c>
      <c r="G745" t="s">
        <v>77</v>
      </c>
      <c r="H745">
        <v>37.69</v>
      </c>
      <c r="I745">
        <v>3</v>
      </c>
      <c r="J745">
        <v>5.6535000000000002</v>
      </c>
      <c r="K745">
        <v>113.07</v>
      </c>
      <c r="L745" s="1">
        <v>43669</v>
      </c>
      <c r="M745" s="2">
        <v>0.64513888888888893</v>
      </c>
      <c r="N745" t="s">
        <v>27</v>
      </c>
      <c r="O745">
        <v>75.38</v>
      </c>
      <c r="P745">
        <v>4.7619047620000003</v>
      </c>
      <c r="Q745">
        <v>37.69</v>
      </c>
      <c r="R745">
        <v>9.5</v>
      </c>
      <c r="S745">
        <v>96.173500000000004</v>
      </c>
      <c r="T745">
        <v>16.840900000000001</v>
      </c>
    </row>
    <row r="746" spans="1:20" x14ac:dyDescent="0.3">
      <c r="A746" t="s">
        <v>1188</v>
      </c>
      <c r="B746" t="s">
        <v>29</v>
      </c>
      <c r="C746" t="s">
        <v>43</v>
      </c>
      <c r="D746" t="s">
        <v>31</v>
      </c>
      <c r="E746" t="s">
        <v>24</v>
      </c>
      <c r="F746" t="s">
        <v>25</v>
      </c>
      <c r="G746" t="s">
        <v>100</v>
      </c>
      <c r="H746">
        <v>31.67</v>
      </c>
      <c r="I746">
        <v>14</v>
      </c>
      <c r="J746">
        <v>22.169</v>
      </c>
      <c r="K746">
        <v>443.38</v>
      </c>
      <c r="L746" s="1">
        <v>43618</v>
      </c>
      <c r="M746" s="2">
        <v>0.67986111111111114</v>
      </c>
      <c r="N746" t="s">
        <v>37</v>
      </c>
      <c r="O746">
        <v>253.36</v>
      </c>
      <c r="P746">
        <v>4.7619047620000003</v>
      </c>
      <c r="Q746">
        <v>190.02</v>
      </c>
      <c r="R746">
        <v>5.88</v>
      </c>
      <c r="S746">
        <v>96.078500000000005</v>
      </c>
      <c r="T746">
        <v>19.763300000000001</v>
      </c>
    </row>
    <row r="747" spans="1:20" x14ac:dyDescent="0.3">
      <c r="A747" t="s">
        <v>1189</v>
      </c>
      <c r="B747" t="s">
        <v>29</v>
      </c>
      <c r="C747" t="s">
        <v>950</v>
      </c>
      <c r="D747" t="s">
        <v>31</v>
      </c>
      <c r="E747" t="s">
        <v>24</v>
      </c>
      <c r="F747" t="s">
        <v>25</v>
      </c>
      <c r="G747" t="s">
        <v>100</v>
      </c>
      <c r="H747">
        <v>38.42</v>
      </c>
      <c r="I747">
        <v>1</v>
      </c>
      <c r="J747">
        <v>1.921</v>
      </c>
      <c r="K747">
        <v>38.42</v>
      </c>
      <c r="L747" s="1">
        <v>43610</v>
      </c>
      <c r="M747" s="2">
        <v>0.68958333333333333</v>
      </c>
      <c r="N747" t="s">
        <v>33</v>
      </c>
      <c r="O747">
        <v>38.42</v>
      </c>
      <c r="P747">
        <v>4.7619047620000003</v>
      </c>
      <c r="Q747">
        <v>0</v>
      </c>
      <c r="R747">
        <v>9.0299999999999994</v>
      </c>
      <c r="S747">
        <v>96.078500000000005</v>
      </c>
      <c r="T747">
        <v>19.763300000000001</v>
      </c>
    </row>
    <row r="748" spans="1:20" x14ac:dyDescent="0.3">
      <c r="A748" t="s">
        <v>1190</v>
      </c>
      <c r="B748" t="s">
        <v>51</v>
      </c>
      <c r="C748" t="s">
        <v>889</v>
      </c>
      <c r="D748" t="s">
        <v>53</v>
      </c>
      <c r="E748" t="s">
        <v>24</v>
      </c>
      <c r="F748" t="s">
        <v>36</v>
      </c>
      <c r="G748" t="s">
        <v>100</v>
      </c>
      <c r="H748">
        <v>65.23</v>
      </c>
      <c r="I748">
        <v>20</v>
      </c>
      <c r="J748">
        <v>65.23</v>
      </c>
      <c r="K748">
        <v>1304.5999999999999</v>
      </c>
      <c r="L748" s="1">
        <v>43760</v>
      </c>
      <c r="M748" s="2">
        <v>0.79652777777777772</v>
      </c>
      <c r="N748" t="s">
        <v>37</v>
      </c>
      <c r="O748">
        <v>652.29999999999995</v>
      </c>
      <c r="P748">
        <v>4.7619047620000003</v>
      </c>
      <c r="Q748">
        <v>652.29999999999995</v>
      </c>
      <c r="R748">
        <v>6.24</v>
      </c>
      <c r="S748">
        <v>96.089100000000002</v>
      </c>
      <c r="T748">
        <v>21.9588</v>
      </c>
    </row>
    <row r="749" spans="1:20" x14ac:dyDescent="0.3">
      <c r="A749" t="s">
        <v>1191</v>
      </c>
      <c r="B749" t="s">
        <v>29</v>
      </c>
      <c r="C749" t="s">
        <v>1192</v>
      </c>
      <c r="D749" t="s">
        <v>31</v>
      </c>
      <c r="E749" t="s">
        <v>24</v>
      </c>
      <c r="F749" t="s">
        <v>25</v>
      </c>
      <c r="G749" t="s">
        <v>100</v>
      </c>
      <c r="H749">
        <v>10.53</v>
      </c>
      <c r="I749">
        <v>8</v>
      </c>
      <c r="J749">
        <v>4.2119999999999997</v>
      </c>
      <c r="K749">
        <v>84.24</v>
      </c>
      <c r="L749" s="1">
        <v>43708</v>
      </c>
      <c r="M749" s="2">
        <v>0.61319444444444449</v>
      </c>
      <c r="N749" t="s">
        <v>37</v>
      </c>
      <c r="O749">
        <v>52.65</v>
      </c>
      <c r="P749">
        <v>4.7619047620000003</v>
      </c>
      <c r="Q749">
        <v>31.59</v>
      </c>
      <c r="R749">
        <v>6.09</v>
      </c>
      <c r="S749">
        <v>96.078500000000005</v>
      </c>
      <c r="T749">
        <v>19.763300000000001</v>
      </c>
    </row>
    <row r="750" spans="1:20" x14ac:dyDescent="0.3">
      <c r="A750" t="s">
        <v>1193</v>
      </c>
      <c r="B750" t="s">
        <v>51</v>
      </c>
      <c r="C750" t="s">
        <v>104</v>
      </c>
      <c r="D750" t="s">
        <v>53</v>
      </c>
      <c r="E750" t="s">
        <v>24</v>
      </c>
      <c r="F750" t="s">
        <v>25</v>
      </c>
      <c r="G750" t="s">
        <v>100</v>
      </c>
      <c r="H750">
        <v>12.29</v>
      </c>
      <c r="I750">
        <v>18</v>
      </c>
      <c r="J750">
        <v>11.061</v>
      </c>
      <c r="K750">
        <v>221.22</v>
      </c>
      <c r="L750" s="1">
        <v>43646</v>
      </c>
      <c r="M750" s="2">
        <v>0.81111111111111112</v>
      </c>
      <c r="N750" t="s">
        <v>37</v>
      </c>
      <c r="O750">
        <v>110.61</v>
      </c>
      <c r="P750">
        <v>4.7619047620000003</v>
      </c>
      <c r="Q750">
        <v>110.61</v>
      </c>
      <c r="R750">
        <v>9.6</v>
      </c>
      <c r="S750">
        <v>96.089100000000002</v>
      </c>
      <c r="T750">
        <v>21.9588</v>
      </c>
    </row>
    <row r="751" spans="1:20" x14ac:dyDescent="0.3">
      <c r="A751" t="s">
        <v>1194</v>
      </c>
      <c r="B751" t="s">
        <v>29</v>
      </c>
      <c r="C751" t="s">
        <v>1195</v>
      </c>
      <c r="D751" t="s">
        <v>31</v>
      </c>
      <c r="E751" t="s">
        <v>24</v>
      </c>
      <c r="F751" t="s">
        <v>36</v>
      </c>
      <c r="G751" t="s">
        <v>100</v>
      </c>
      <c r="H751">
        <v>81.23</v>
      </c>
      <c r="I751">
        <v>11</v>
      </c>
      <c r="J751">
        <v>44.676499999999997</v>
      </c>
      <c r="K751">
        <v>893.53</v>
      </c>
      <c r="L751" s="1">
        <v>43706</v>
      </c>
      <c r="M751" s="2">
        <v>0.86388888888888893</v>
      </c>
      <c r="N751" t="s">
        <v>33</v>
      </c>
      <c r="O751">
        <v>568.61</v>
      </c>
      <c r="P751">
        <v>4.7619047620000003</v>
      </c>
      <c r="Q751">
        <v>324.92</v>
      </c>
      <c r="R751">
        <v>9.4499999999999993</v>
      </c>
      <c r="S751">
        <v>96.078500000000005</v>
      </c>
      <c r="T751">
        <v>19.763300000000001</v>
      </c>
    </row>
    <row r="752" spans="1:20" x14ac:dyDescent="0.3">
      <c r="A752" t="s">
        <v>1196</v>
      </c>
      <c r="B752" t="s">
        <v>51</v>
      </c>
      <c r="C752" t="s">
        <v>895</v>
      </c>
      <c r="D752" t="s">
        <v>53</v>
      </c>
      <c r="E752" t="s">
        <v>24</v>
      </c>
      <c r="F752" t="s">
        <v>25</v>
      </c>
      <c r="G752" t="s">
        <v>100</v>
      </c>
      <c r="H752">
        <v>22.32</v>
      </c>
      <c r="I752">
        <v>8</v>
      </c>
      <c r="J752">
        <v>8.9280000000000008</v>
      </c>
      <c r="K752">
        <v>178.56</v>
      </c>
      <c r="L752" s="1">
        <v>43572</v>
      </c>
      <c r="M752" s="2">
        <v>0.46944444444444444</v>
      </c>
      <c r="N752" t="s">
        <v>27</v>
      </c>
      <c r="O752">
        <v>89.28</v>
      </c>
      <c r="P752">
        <v>4.7619047620000003</v>
      </c>
      <c r="Q752">
        <v>89.28</v>
      </c>
      <c r="R752">
        <v>4.92</v>
      </c>
      <c r="S752">
        <v>96.089100000000002</v>
      </c>
      <c r="T752">
        <v>21.9588</v>
      </c>
    </row>
    <row r="753" spans="1:20" x14ac:dyDescent="0.3">
      <c r="A753" t="s">
        <v>1197</v>
      </c>
      <c r="B753" t="s">
        <v>21</v>
      </c>
      <c r="C753" t="s">
        <v>294</v>
      </c>
      <c r="D753" t="s">
        <v>23</v>
      </c>
      <c r="E753" t="s">
        <v>32</v>
      </c>
      <c r="F753" t="s">
        <v>25</v>
      </c>
      <c r="G753" t="s">
        <v>63</v>
      </c>
      <c r="H753">
        <v>27.28</v>
      </c>
      <c r="I753">
        <v>5</v>
      </c>
      <c r="J753">
        <v>6.82</v>
      </c>
      <c r="K753">
        <v>136.4</v>
      </c>
      <c r="L753" s="1">
        <v>43772</v>
      </c>
      <c r="M753" s="2">
        <v>0.43819444444444444</v>
      </c>
      <c r="N753" t="s">
        <v>37</v>
      </c>
      <c r="O753">
        <v>136.4</v>
      </c>
      <c r="P753">
        <v>4.7619047620000003</v>
      </c>
      <c r="Q753">
        <v>0</v>
      </c>
      <c r="R753">
        <v>8.6</v>
      </c>
      <c r="S753">
        <v>96.173500000000004</v>
      </c>
      <c r="T753">
        <v>16.840900000000001</v>
      </c>
    </row>
    <row r="754" spans="1:20" x14ac:dyDescent="0.3">
      <c r="A754" t="s">
        <v>1198</v>
      </c>
      <c r="B754" t="s">
        <v>21</v>
      </c>
      <c r="C754" t="s">
        <v>316</v>
      </c>
      <c r="D754" t="s">
        <v>23</v>
      </c>
      <c r="E754" t="s">
        <v>24</v>
      </c>
      <c r="F754" t="s">
        <v>25</v>
      </c>
      <c r="G754" t="s">
        <v>60</v>
      </c>
      <c r="H754">
        <v>17.420000000000002</v>
      </c>
      <c r="I754">
        <v>14</v>
      </c>
      <c r="J754">
        <v>12.194000000000001</v>
      </c>
      <c r="K754">
        <v>243.88</v>
      </c>
      <c r="L754" s="1">
        <v>43786</v>
      </c>
      <c r="M754" s="2">
        <v>0.52083333333333337</v>
      </c>
      <c r="N754" t="s">
        <v>27</v>
      </c>
      <c r="O754">
        <v>174.2</v>
      </c>
      <c r="P754">
        <v>4.7619047620000003</v>
      </c>
      <c r="Q754">
        <v>69.680000000000007</v>
      </c>
      <c r="R754">
        <v>7</v>
      </c>
      <c r="S754">
        <v>96.173500000000004</v>
      </c>
      <c r="T754">
        <v>16.840900000000001</v>
      </c>
    </row>
    <row r="755" spans="1:20" x14ac:dyDescent="0.3">
      <c r="A755" t="s">
        <v>1199</v>
      </c>
      <c r="B755" t="s">
        <v>51</v>
      </c>
      <c r="C755" t="s">
        <v>328</v>
      </c>
      <c r="D755" t="s">
        <v>53</v>
      </c>
      <c r="E755" t="s">
        <v>32</v>
      </c>
      <c r="F755" t="s">
        <v>36</v>
      </c>
      <c r="G755" t="s">
        <v>77</v>
      </c>
      <c r="H755">
        <v>73.28</v>
      </c>
      <c r="I755">
        <v>7</v>
      </c>
      <c r="J755">
        <v>25.648</v>
      </c>
      <c r="K755">
        <v>512.96</v>
      </c>
      <c r="L755" s="1">
        <v>43562</v>
      </c>
      <c r="M755" s="2">
        <v>0.62847222222222221</v>
      </c>
      <c r="N755" t="s">
        <v>27</v>
      </c>
      <c r="O755">
        <v>366.4</v>
      </c>
      <c r="P755">
        <v>4.7619047620000003</v>
      </c>
      <c r="Q755">
        <v>146.56</v>
      </c>
      <c r="R755">
        <v>10</v>
      </c>
      <c r="S755">
        <v>96.089100000000002</v>
      </c>
      <c r="T755">
        <v>21.9588</v>
      </c>
    </row>
    <row r="756" spans="1:20" x14ac:dyDescent="0.3">
      <c r="A756" t="s">
        <v>1200</v>
      </c>
      <c r="B756" t="s">
        <v>29</v>
      </c>
      <c r="C756" t="s">
        <v>1201</v>
      </c>
      <c r="D756" t="s">
        <v>31</v>
      </c>
      <c r="E756" t="s">
        <v>24</v>
      </c>
      <c r="F756" t="s">
        <v>25</v>
      </c>
      <c r="G756" t="s">
        <v>68</v>
      </c>
      <c r="H756">
        <v>84.87</v>
      </c>
      <c r="I756">
        <v>6</v>
      </c>
      <c r="J756">
        <v>25.460999999999999</v>
      </c>
      <c r="K756">
        <v>509.22</v>
      </c>
      <c r="L756" s="1">
        <v>43521</v>
      </c>
      <c r="M756" s="2">
        <v>0.77083333333333337</v>
      </c>
      <c r="N756" t="s">
        <v>27</v>
      </c>
      <c r="O756">
        <v>254.61</v>
      </c>
      <c r="P756">
        <v>4.7619047620000003</v>
      </c>
      <c r="Q756">
        <v>254.61</v>
      </c>
      <c r="R756">
        <v>7.77</v>
      </c>
      <c r="S756">
        <v>96.078500000000005</v>
      </c>
      <c r="T756">
        <v>19.763300000000001</v>
      </c>
    </row>
    <row r="757" spans="1:20" x14ac:dyDescent="0.3">
      <c r="A757" t="s">
        <v>1202</v>
      </c>
      <c r="B757" t="s">
        <v>21</v>
      </c>
      <c r="C757" t="s">
        <v>1203</v>
      </c>
      <c r="D757" t="s">
        <v>23</v>
      </c>
      <c r="E757" t="s">
        <v>32</v>
      </c>
      <c r="F757" t="s">
        <v>25</v>
      </c>
      <c r="G757" t="s">
        <v>68</v>
      </c>
      <c r="H757">
        <v>97.29</v>
      </c>
      <c r="I757">
        <v>8</v>
      </c>
      <c r="J757">
        <v>38.915999999999997</v>
      </c>
      <c r="K757">
        <v>778.32</v>
      </c>
      <c r="L757" s="1">
        <v>43512</v>
      </c>
      <c r="M757" s="2">
        <v>0.5541666666666667</v>
      </c>
      <c r="N757" t="s">
        <v>37</v>
      </c>
      <c r="O757">
        <v>778.32</v>
      </c>
      <c r="P757">
        <v>4.7619047620000003</v>
      </c>
      <c r="Q757">
        <v>0</v>
      </c>
      <c r="R757">
        <v>6.2</v>
      </c>
      <c r="S757">
        <v>96.173500000000004</v>
      </c>
      <c r="T757">
        <v>16.840900000000001</v>
      </c>
    </row>
    <row r="758" spans="1:20" x14ac:dyDescent="0.3">
      <c r="A758" t="s">
        <v>1204</v>
      </c>
      <c r="B758" t="s">
        <v>51</v>
      </c>
      <c r="C758" t="s">
        <v>636</v>
      </c>
      <c r="D758" t="s">
        <v>53</v>
      </c>
      <c r="E758" t="s">
        <v>24</v>
      </c>
      <c r="F758" t="s">
        <v>25</v>
      </c>
      <c r="G758" t="s">
        <v>68</v>
      </c>
      <c r="H758">
        <v>35.74</v>
      </c>
      <c r="I758">
        <v>15</v>
      </c>
      <c r="J758">
        <v>26.805</v>
      </c>
      <c r="K758">
        <v>536.1</v>
      </c>
      <c r="L758" s="1">
        <v>43719</v>
      </c>
      <c r="M758" s="2">
        <v>0.64444444444444449</v>
      </c>
      <c r="N758" t="s">
        <v>27</v>
      </c>
      <c r="O758">
        <v>285.92</v>
      </c>
      <c r="P758">
        <v>4.7619047620000003</v>
      </c>
      <c r="Q758">
        <v>250.18</v>
      </c>
      <c r="R758">
        <v>5.88</v>
      </c>
      <c r="S758">
        <v>96.089100000000002</v>
      </c>
      <c r="T758">
        <v>21.9588</v>
      </c>
    </row>
    <row r="759" spans="1:20" x14ac:dyDescent="0.3">
      <c r="A759" t="s">
        <v>1205</v>
      </c>
      <c r="B759" t="s">
        <v>21</v>
      </c>
      <c r="C759" t="s">
        <v>1206</v>
      </c>
      <c r="D759" t="s">
        <v>23</v>
      </c>
      <c r="E759" t="s">
        <v>32</v>
      </c>
      <c r="F759" t="s">
        <v>25</v>
      </c>
      <c r="G759" t="s">
        <v>68</v>
      </c>
      <c r="H759">
        <v>96.52</v>
      </c>
      <c r="I759">
        <v>6</v>
      </c>
      <c r="J759">
        <v>28.956</v>
      </c>
      <c r="K759">
        <v>579.12</v>
      </c>
      <c r="L759" s="1">
        <v>43585</v>
      </c>
      <c r="M759" s="2">
        <v>0.49444444444444446</v>
      </c>
      <c r="N759" t="s">
        <v>33</v>
      </c>
      <c r="O759">
        <v>579.12</v>
      </c>
      <c r="P759">
        <v>4.7619047620000003</v>
      </c>
      <c r="Q759">
        <v>0</v>
      </c>
      <c r="R759">
        <v>4.5</v>
      </c>
      <c r="S759">
        <v>96.173500000000004</v>
      </c>
      <c r="T759">
        <v>16.840900000000001</v>
      </c>
    </row>
    <row r="760" spans="1:20" x14ac:dyDescent="0.3">
      <c r="A760" t="s">
        <v>1207</v>
      </c>
      <c r="B760" t="s">
        <v>21</v>
      </c>
      <c r="C760" t="s">
        <v>1208</v>
      </c>
      <c r="D760" t="s">
        <v>23</v>
      </c>
      <c r="E760" t="s">
        <v>24</v>
      </c>
      <c r="F760" t="s">
        <v>36</v>
      </c>
      <c r="G760" t="s">
        <v>68</v>
      </c>
      <c r="H760">
        <v>18.850000000000001</v>
      </c>
      <c r="I760">
        <v>14</v>
      </c>
      <c r="J760">
        <v>13.195</v>
      </c>
      <c r="K760">
        <v>263.89999999999998</v>
      </c>
      <c r="L760" s="1">
        <v>43651</v>
      </c>
      <c r="M760" s="2">
        <v>0.76666666666666672</v>
      </c>
      <c r="N760" t="s">
        <v>27</v>
      </c>
      <c r="O760">
        <v>188.5</v>
      </c>
      <c r="P760">
        <v>4.7619047620000003</v>
      </c>
      <c r="Q760">
        <v>75.400000000000006</v>
      </c>
      <c r="R760">
        <v>5.6</v>
      </c>
      <c r="S760">
        <v>96.173500000000004</v>
      </c>
      <c r="T760">
        <v>16.840900000000001</v>
      </c>
    </row>
    <row r="761" spans="1:20" x14ac:dyDescent="0.3">
      <c r="A761" t="s">
        <v>1209</v>
      </c>
      <c r="B761" t="s">
        <v>21</v>
      </c>
      <c r="C761" t="s">
        <v>72</v>
      </c>
      <c r="D761" t="s">
        <v>23</v>
      </c>
      <c r="E761" t="s">
        <v>32</v>
      </c>
      <c r="F761" t="s">
        <v>25</v>
      </c>
      <c r="G761" t="s">
        <v>68</v>
      </c>
      <c r="H761">
        <v>55.39</v>
      </c>
      <c r="I761">
        <v>4</v>
      </c>
      <c r="J761">
        <v>11.077999999999999</v>
      </c>
      <c r="K761">
        <v>221.56</v>
      </c>
      <c r="L761" s="1">
        <v>43530</v>
      </c>
      <c r="M761" s="2">
        <v>0.6381944444444444</v>
      </c>
      <c r="N761" t="s">
        <v>27</v>
      </c>
      <c r="O761">
        <v>221.56</v>
      </c>
      <c r="P761">
        <v>4.7619047620000003</v>
      </c>
      <c r="Q761">
        <v>0</v>
      </c>
      <c r="R761">
        <v>8</v>
      </c>
      <c r="S761">
        <v>96.173500000000004</v>
      </c>
      <c r="T761">
        <v>16.840900000000001</v>
      </c>
    </row>
    <row r="762" spans="1:20" x14ac:dyDescent="0.3">
      <c r="A762" t="s">
        <v>1210</v>
      </c>
      <c r="B762" t="s">
        <v>21</v>
      </c>
      <c r="C762" t="s">
        <v>844</v>
      </c>
      <c r="D762" t="s">
        <v>53</v>
      </c>
      <c r="E762" t="s">
        <v>24</v>
      </c>
      <c r="F762" t="s">
        <v>25</v>
      </c>
      <c r="G762" t="s">
        <v>68</v>
      </c>
      <c r="H762">
        <v>77.2</v>
      </c>
      <c r="I762">
        <v>20</v>
      </c>
      <c r="J762">
        <v>77.2</v>
      </c>
      <c r="K762">
        <v>1544</v>
      </c>
      <c r="L762" s="1">
        <v>43744</v>
      </c>
      <c r="M762" s="2">
        <v>0.44305555555555554</v>
      </c>
      <c r="N762" t="s">
        <v>37</v>
      </c>
      <c r="O762">
        <v>772</v>
      </c>
      <c r="P762">
        <v>4.7619047620000003</v>
      </c>
      <c r="Q762">
        <v>772</v>
      </c>
      <c r="R762">
        <v>6.72</v>
      </c>
      <c r="S762">
        <v>96.089100000000002</v>
      </c>
      <c r="T762">
        <v>21.9588</v>
      </c>
    </row>
    <row r="763" spans="1:20" x14ac:dyDescent="0.3">
      <c r="A763" t="s">
        <v>1211</v>
      </c>
      <c r="B763" t="s">
        <v>21</v>
      </c>
      <c r="C763" t="s">
        <v>428</v>
      </c>
      <c r="D763" t="s">
        <v>53</v>
      </c>
      <c r="E763" t="s">
        <v>32</v>
      </c>
      <c r="F763" t="s">
        <v>36</v>
      </c>
      <c r="G763" t="s">
        <v>68</v>
      </c>
      <c r="H763">
        <v>72.13</v>
      </c>
      <c r="I763">
        <v>14</v>
      </c>
      <c r="J763">
        <v>50.491</v>
      </c>
      <c r="K763">
        <v>1009.82</v>
      </c>
      <c r="L763" s="1">
        <v>43545</v>
      </c>
      <c r="M763" s="2">
        <v>0.6333333333333333</v>
      </c>
      <c r="N763" t="s">
        <v>37</v>
      </c>
      <c r="O763">
        <v>721.3</v>
      </c>
      <c r="P763">
        <v>4.7619047620000003</v>
      </c>
      <c r="Q763">
        <v>288.52</v>
      </c>
      <c r="R763">
        <v>5.04</v>
      </c>
      <c r="S763">
        <v>96.089100000000002</v>
      </c>
      <c r="T763">
        <v>21.9588</v>
      </c>
    </row>
    <row r="764" spans="1:20" x14ac:dyDescent="0.3">
      <c r="A764" t="s">
        <v>1212</v>
      </c>
      <c r="B764" t="s">
        <v>21</v>
      </c>
      <c r="C764" t="s">
        <v>1213</v>
      </c>
      <c r="D764" t="s">
        <v>23</v>
      </c>
      <c r="E764" t="s">
        <v>24</v>
      </c>
      <c r="F764" t="s">
        <v>25</v>
      </c>
      <c r="G764" t="s">
        <v>68</v>
      </c>
      <c r="H764">
        <v>63.88</v>
      </c>
      <c r="I764">
        <v>11</v>
      </c>
      <c r="J764">
        <v>35.134</v>
      </c>
      <c r="K764">
        <v>702.68</v>
      </c>
      <c r="L764" s="1">
        <v>43720</v>
      </c>
      <c r="M764" s="2">
        <v>0.7416666666666667</v>
      </c>
      <c r="N764" t="s">
        <v>27</v>
      </c>
      <c r="O764">
        <v>511.04</v>
      </c>
      <c r="P764">
        <v>4.7619047620000003</v>
      </c>
      <c r="Q764">
        <v>191.64</v>
      </c>
      <c r="R764">
        <v>9.9</v>
      </c>
      <c r="S764">
        <v>96.173500000000004</v>
      </c>
      <c r="T764">
        <v>16.840900000000001</v>
      </c>
    </row>
    <row r="765" spans="1:20" x14ac:dyDescent="0.3">
      <c r="A765" t="s">
        <v>1214</v>
      </c>
      <c r="B765" t="s">
        <v>21</v>
      </c>
      <c r="C765" t="s">
        <v>284</v>
      </c>
      <c r="D765" t="s">
        <v>23</v>
      </c>
      <c r="E765" t="s">
        <v>24</v>
      </c>
      <c r="F765" t="s">
        <v>25</v>
      </c>
      <c r="G765" t="s">
        <v>68</v>
      </c>
      <c r="H765">
        <v>10.69</v>
      </c>
      <c r="I765">
        <v>7</v>
      </c>
      <c r="J765">
        <v>3.7414999999999998</v>
      </c>
      <c r="K765">
        <v>74.83</v>
      </c>
      <c r="L765" s="1">
        <v>43601</v>
      </c>
      <c r="M765" s="2">
        <v>0.46319444444444446</v>
      </c>
      <c r="N765" t="s">
        <v>27</v>
      </c>
      <c r="O765">
        <v>53.45</v>
      </c>
      <c r="P765">
        <v>4.7619047620000003</v>
      </c>
      <c r="Q765">
        <v>21.38</v>
      </c>
      <c r="R765">
        <v>7.6</v>
      </c>
      <c r="S765">
        <v>96.173500000000004</v>
      </c>
      <c r="T765">
        <v>16.840900000000001</v>
      </c>
    </row>
    <row r="766" spans="1:20" x14ac:dyDescent="0.3">
      <c r="A766" t="s">
        <v>1215</v>
      </c>
      <c r="B766" t="s">
        <v>21</v>
      </c>
      <c r="C766" t="s">
        <v>477</v>
      </c>
      <c r="D766" t="s">
        <v>23</v>
      </c>
      <c r="E766" t="s">
        <v>24</v>
      </c>
      <c r="F766" t="s">
        <v>36</v>
      </c>
      <c r="G766" t="s">
        <v>26</v>
      </c>
      <c r="H766">
        <v>55.5</v>
      </c>
      <c r="I766">
        <v>6</v>
      </c>
      <c r="J766">
        <v>16.649999999999999</v>
      </c>
      <c r="K766">
        <v>333</v>
      </c>
      <c r="L766" s="1">
        <v>43573</v>
      </c>
      <c r="M766" s="2">
        <v>0.65833333333333333</v>
      </c>
      <c r="N766" t="s">
        <v>37</v>
      </c>
      <c r="O766">
        <v>222</v>
      </c>
      <c r="P766">
        <v>4.7619047620000003</v>
      </c>
      <c r="Q766">
        <v>111</v>
      </c>
      <c r="R766">
        <v>6.6</v>
      </c>
      <c r="S766">
        <v>96.173500000000004</v>
      </c>
      <c r="T766">
        <v>16.840900000000001</v>
      </c>
    </row>
    <row r="767" spans="1:20" x14ac:dyDescent="0.3">
      <c r="A767" t="s">
        <v>1216</v>
      </c>
      <c r="B767" t="s">
        <v>21</v>
      </c>
      <c r="C767" t="s">
        <v>361</v>
      </c>
      <c r="D767" t="s">
        <v>53</v>
      </c>
      <c r="E767" t="s">
        <v>32</v>
      </c>
      <c r="F767" t="s">
        <v>25</v>
      </c>
      <c r="G767" t="s">
        <v>77</v>
      </c>
      <c r="H767">
        <v>95.46</v>
      </c>
      <c r="I767">
        <v>11</v>
      </c>
      <c r="J767">
        <v>52.503</v>
      </c>
      <c r="K767">
        <v>1050.06</v>
      </c>
      <c r="L767" s="1">
        <v>43813</v>
      </c>
      <c r="M767" s="2">
        <v>0.81944444444444442</v>
      </c>
      <c r="N767" t="s">
        <v>27</v>
      </c>
      <c r="O767">
        <v>763.68</v>
      </c>
      <c r="P767">
        <v>4.7619047620000003</v>
      </c>
      <c r="Q767">
        <v>286.38</v>
      </c>
      <c r="R767">
        <v>5.64</v>
      </c>
      <c r="S767">
        <v>96.089100000000002</v>
      </c>
      <c r="T767">
        <v>21.9588</v>
      </c>
    </row>
    <row r="768" spans="1:20" x14ac:dyDescent="0.3">
      <c r="A768" t="s">
        <v>1217</v>
      </c>
      <c r="B768" t="s">
        <v>21</v>
      </c>
      <c r="C768" t="s">
        <v>1161</v>
      </c>
      <c r="D768" t="s">
        <v>31</v>
      </c>
      <c r="E768" t="s">
        <v>32</v>
      </c>
      <c r="F768" t="s">
        <v>25</v>
      </c>
      <c r="G768" t="s">
        <v>100</v>
      </c>
      <c r="H768">
        <v>76.06</v>
      </c>
      <c r="I768">
        <v>4</v>
      </c>
      <c r="J768">
        <v>15.212</v>
      </c>
      <c r="K768">
        <v>304.24</v>
      </c>
      <c r="L768" s="1">
        <v>43825</v>
      </c>
      <c r="M768" s="2">
        <v>0.85416666666666663</v>
      </c>
      <c r="N768" t="s">
        <v>37</v>
      </c>
      <c r="O768">
        <v>228.18</v>
      </c>
      <c r="P768">
        <v>4.7619047620000003</v>
      </c>
      <c r="Q768">
        <v>76.06</v>
      </c>
      <c r="R768">
        <v>10</v>
      </c>
      <c r="S768">
        <v>96.078500000000005</v>
      </c>
      <c r="T768">
        <v>19.763300000000001</v>
      </c>
    </row>
    <row r="769" spans="1:20" x14ac:dyDescent="0.3">
      <c r="A769" t="s">
        <v>1218</v>
      </c>
      <c r="B769" t="s">
        <v>21</v>
      </c>
      <c r="C769" t="s">
        <v>1219</v>
      </c>
      <c r="D769" t="s">
        <v>53</v>
      </c>
      <c r="E769" t="s">
        <v>32</v>
      </c>
      <c r="F769" t="s">
        <v>36</v>
      </c>
      <c r="G769" t="s">
        <v>68</v>
      </c>
      <c r="H769">
        <v>13.69</v>
      </c>
      <c r="I769">
        <v>8</v>
      </c>
      <c r="J769">
        <v>5.476</v>
      </c>
      <c r="K769">
        <v>109.52</v>
      </c>
      <c r="L769" s="1">
        <v>43697</v>
      </c>
      <c r="M769" s="2">
        <v>0.58263888888888893</v>
      </c>
      <c r="N769" t="s">
        <v>33</v>
      </c>
      <c r="O769">
        <v>82.14</v>
      </c>
      <c r="P769">
        <v>4.7619047620000003</v>
      </c>
      <c r="Q769">
        <v>27.38</v>
      </c>
      <c r="R769">
        <v>7.56</v>
      </c>
      <c r="S769">
        <v>96.089100000000002</v>
      </c>
      <c r="T769">
        <v>21.9588</v>
      </c>
    </row>
    <row r="770" spans="1:20" x14ac:dyDescent="0.3">
      <c r="A770" t="s">
        <v>1220</v>
      </c>
      <c r="B770" t="s">
        <v>21</v>
      </c>
      <c r="C770" t="s">
        <v>734</v>
      </c>
      <c r="D770" t="s">
        <v>53</v>
      </c>
      <c r="E770" t="s">
        <v>32</v>
      </c>
      <c r="F770" t="s">
        <v>25</v>
      </c>
      <c r="G770" t="s">
        <v>60</v>
      </c>
      <c r="H770">
        <v>95.64</v>
      </c>
      <c r="I770">
        <v>6</v>
      </c>
      <c r="J770">
        <v>28.692</v>
      </c>
      <c r="K770">
        <v>573.84</v>
      </c>
      <c r="L770" s="1">
        <v>43575</v>
      </c>
      <c r="M770" s="2">
        <v>0.78541666666666665</v>
      </c>
      <c r="N770" t="s">
        <v>33</v>
      </c>
      <c r="O770">
        <v>382.56</v>
      </c>
      <c r="P770">
        <v>4.7619047620000003</v>
      </c>
      <c r="Q770">
        <v>191.28</v>
      </c>
      <c r="R770">
        <v>9.48</v>
      </c>
      <c r="S770">
        <v>96.089100000000002</v>
      </c>
      <c r="T770">
        <v>21.9588</v>
      </c>
    </row>
    <row r="771" spans="1:20" x14ac:dyDescent="0.3">
      <c r="A771" t="s">
        <v>1221</v>
      </c>
      <c r="B771" t="s">
        <v>21</v>
      </c>
      <c r="C771" t="s">
        <v>971</v>
      </c>
      <c r="D771" t="s">
        <v>23</v>
      </c>
      <c r="E771" t="s">
        <v>32</v>
      </c>
      <c r="F771" t="s">
        <v>25</v>
      </c>
      <c r="G771" t="s">
        <v>77</v>
      </c>
      <c r="H771">
        <v>11.43</v>
      </c>
      <c r="I771">
        <v>6</v>
      </c>
      <c r="J771">
        <v>3.4289999999999998</v>
      </c>
      <c r="K771">
        <v>68.58</v>
      </c>
      <c r="L771" s="1">
        <v>43622</v>
      </c>
      <c r="M771" s="2">
        <v>0.72499999999999998</v>
      </c>
      <c r="N771" t="s">
        <v>33</v>
      </c>
      <c r="O771">
        <v>68.58</v>
      </c>
      <c r="P771">
        <v>4.7619047620000003</v>
      </c>
      <c r="Q771">
        <v>0</v>
      </c>
      <c r="R771">
        <v>7.46</v>
      </c>
      <c r="S771">
        <v>96.173500000000004</v>
      </c>
      <c r="T771">
        <v>16.840900000000001</v>
      </c>
    </row>
    <row r="772" spans="1:20" x14ac:dyDescent="0.3">
      <c r="A772" t="s">
        <v>1222</v>
      </c>
      <c r="B772" t="s">
        <v>51</v>
      </c>
      <c r="C772" t="s">
        <v>345</v>
      </c>
      <c r="D772" t="s">
        <v>53</v>
      </c>
      <c r="E772" t="s">
        <v>24</v>
      </c>
      <c r="F772" t="s">
        <v>25</v>
      </c>
      <c r="G772" t="s">
        <v>68</v>
      </c>
      <c r="H772">
        <v>95.54</v>
      </c>
      <c r="I772">
        <v>8</v>
      </c>
      <c r="J772">
        <v>38.216000000000001</v>
      </c>
      <c r="K772">
        <v>764.32</v>
      </c>
      <c r="L772" s="1">
        <v>43659</v>
      </c>
      <c r="M772" s="2">
        <v>0.49861111111111112</v>
      </c>
      <c r="N772" t="s">
        <v>27</v>
      </c>
      <c r="O772">
        <v>382.16</v>
      </c>
      <c r="P772">
        <v>4.7619047620000003</v>
      </c>
      <c r="Q772">
        <v>382.16</v>
      </c>
      <c r="R772">
        <v>7.46</v>
      </c>
      <c r="S772">
        <v>96.089100000000002</v>
      </c>
      <c r="T772">
        <v>21.9588</v>
      </c>
    </row>
    <row r="773" spans="1:20" x14ac:dyDescent="0.3">
      <c r="A773" t="s">
        <v>1223</v>
      </c>
      <c r="B773" t="s">
        <v>29</v>
      </c>
      <c r="C773" t="s">
        <v>819</v>
      </c>
      <c r="D773" t="s">
        <v>31</v>
      </c>
      <c r="E773" t="s">
        <v>24</v>
      </c>
      <c r="F773" t="s">
        <v>25</v>
      </c>
      <c r="G773" t="s">
        <v>26</v>
      </c>
      <c r="H773">
        <v>85.87</v>
      </c>
      <c r="I773">
        <v>11</v>
      </c>
      <c r="J773">
        <v>47.228499999999997</v>
      </c>
      <c r="K773">
        <v>944.57</v>
      </c>
      <c r="L773" s="1">
        <v>43625</v>
      </c>
      <c r="M773" s="2">
        <v>0.79236111111111107</v>
      </c>
      <c r="N773" t="s">
        <v>37</v>
      </c>
      <c r="O773">
        <v>601.09</v>
      </c>
      <c r="P773">
        <v>4.7619047620000003</v>
      </c>
      <c r="Q773">
        <v>343.48</v>
      </c>
      <c r="R773">
        <v>7.46</v>
      </c>
      <c r="S773">
        <v>96.078500000000005</v>
      </c>
      <c r="T773">
        <v>19.763300000000001</v>
      </c>
    </row>
    <row r="774" spans="1:20" x14ac:dyDescent="0.3">
      <c r="A774" t="s">
        <v>1224</v>
      </c>
      <c r="B774" t="s">
        <v>29</v>
      </c>
      <c r="C774" t="s">
        <v>1225</v>
      </c>
      <c r="D774" t="s">
        <v>31</v>
      </c>
      <c r="E774" t="s">
        <v>24</v>
      </c>
      <c r="F774" t="s">
        <v>25</v>
      </c>
      <c r="G774" t="s">
        <v>68</v>
      </c>
      <c r="H774">
        <v>67.989999999999995</v>
      </c>
      <c r="I774">
        <v>11</v>
      </c>
      <c r="J774">
        <v>37.394500000000001</v>
      </c>
      <c r="K774">
        <v>747.89</v>
      </c>
      <c r="L774" s="1">
        <v>43532</v>
      </c>
      <c r="M774" s="2">
        <v>0.70138888888888884</v>
      </c>
      <c r="N774" t="s">
        <v>27</v>
      </c>
      <c r="O774">
        <v>475.93</v>
      </c>
      <c r="P774">
        <v>4.7619047620000003</v>
      </c>
      <c r="Q774">
        <v>271.95999999999998</v>
      </c>
      <c r="R774">
        <v>7.46</v>
      </c>
      <c r="S774">
        <v>96.078500000000005</v>
      </c>
      <c r="T774">
        <v>19.763300000000001</v>
      </c>
    </row>
    <row r="775" spans="1:20" x14ac:dyDescent="0.3">
      <c r="A775" t="s">
        <v>1226</v>
      </c>
      <c r="B775" t="s">
        <v>29</v>
      </c>
      <c r="C775" t="s">
        <v>1227</v>
      </c>
      <c r="D775" t="s">
        <v>31</v>
      </c>
      <c r="E775" t="s">
        <v>32</v>
      </c>
      <c r="F775" t="s">
        <v>25</v>
      </c>
      <c r="G775" t="s">
        <v>63</v>
      </c>
      <c r="H775">
        <v>52.42</v>
      </c>
      <c r="I775">
        <v>1</v>
      </c>
      <c r="J775">
        <v>2.621</v>
      </c>
      <c r="K775">
        <v>52.42</v>
      </c>
      <c r="L775" s="1">
        <v>43526</v>
      </c>
      <c r="M775" s="2">
        <v>0.43194444444444446</v>
      </c>
      <c r="N775" t="s">
        <v>37</v>
      </c>
      <c r="O775">
        <v>52.42</v>
      </c>
      <c r="P775">
        <v>4.7619047620000003</v>
      </c>
      <c r="Q775">
        <v>0</v>
      </c>
      <c r="R775">
        <v>7.46</v>
      </c>
      <c r="S775">
        <v>96.078500000000005</v>
      </c>
      <c r="T775">
        <v>19.763300000000001</v>
      </c>
    </row>
    <row r="776" spans="1:20" x14ac:dyDescent="0.3">
      <c r="A776" t="s">
        <v>1228</v>
      </c>
      <c r="B776" t="s">
        <v>29</v>
      </c>
      <c r="C776" t="s">
        <v>563</v>
      </c>
      <c r="D776" t="s">
        <v>31</v>
      </c>
      <c r="E776" t="s">
        <v>24</v>
      </c>
      <c r="F776" t="s">
        <v>36</v>
      </c>
      <c r="G776" t="s">
        <v>63</v>
      </c>
      <c r="H776">
        <v>65.650000000000006</v>
      </c>
      <c r="I776">
        <v>3</v>
      </c>
      <c r="J776">
        <v>9.8475000000000001</v>
      </c>
      <c r="K776">
        <v>196.95</v>
      </c>
      <c r="L776" s="1">
        <v>43677</v>
      </c>
      <c r="M776" s="2">
        <v>0.69861111111111107</v>
      </c>
      <c r="N776" t="s">
        <v>33</v>
      </c>
      <c r="O776">
        <v>131.30000000000001</v>
      </c>
      <c r="P776">
        <v>4.7619047620000003</v>
      </c>
      <c r="Q776">
        <v>65.650000000000006</v>
      </c>
      <c r="R776">
        <v>7.46</v>
      </c>
      <c r="S776">
        <v>96.078500000000005</v>
      </c>
      <c r="T776">
        <v>19.763300000000001</v>
      </c>
    </row>
    <row r="777" spans="1:20" x14ac:dyDescent="0.3">
      <c r="A777" t="s">
        <v>1229</v>
      </c>
      <c r="B777" t="s">
        <v>51</v>
      </c>
      <c r="C777" t="s">
        <v>99</v>
      </c>
      <c r="D777" t="s">
        <v>53</v>
      </c>
      <c r="E777" t="s">
        <v>32</v>
      </c>
      <c r="F777" t="s">
        <v>25</v>
      </c>
      <c r="G777" t="s">
        <v>63</v>
      </c>
      <c r="H777">
        <v>28.86</v>
      </c>
      <c r="I777">
        <v>7</v>
      </c>
      <c r="J777">
        <v>10.101000000000001</v>
      </c>
      <c r="K777">
        <v>202.02</v>
      </c>
      <c r="L777" s="1">
        <v>43736</v>
      </c>
      <c r="M777" s="2">
        <v>0.75555555555555554</v>
      </c>
      <c r="N777" t="s">
        <v>37</v>
      </c>
      <c r="O777">
        <v>144.30000000000001</v>
      </c>
      <c r="P777">
        <v>4.7619047620000003</v>
      </c>
      <c r="Q777">
        <v>57.72</v>
      </c>
      <c r="R777">
        <v>7.46</v>
      </c>
      <c r="S777">
        <v>96.089100000000002</v>
      </c>
      <c r="T777">
        <v>21.9588</v>
      </c>
    </row>
    <row r="778" spans="1:20" x14ac:dyDescent="0.3">
      <c r="A778" t="s">
        <v>1230</v>
      </c>
      <c r="B778" t="s">
        <v>29</v>
      </c>
      <c r="C778" t="s">
        <v>399</v>
      </c>
      <c r="D778" t="s">
        <v>31</v>
      </c>
      <c r="E778" t="s">
        <v>24</v>
      </c>
      <c r="F778" t="s">
        <v>36</v>
      </c>
      <c r="G778" t="s">
        <v>26</v>
      </c>
      <c r="H778">
        <v>65.31</v>
      </c>
      <c r="I778">
        <v>11</v>
      </c>
      <c r="J778">
        <v>35.920499999999997</v>
      </c>
      <c r="K778">
        <v>718.41</v>
      </c>
      <c r="L778" s="1">
        <v>43692</v>
      </c>
      <c r="M778" s="2">
        <v>0.75138888888888888</v>
      </c>
      <c r="N778" t="s">
        <v>37</v>
      </c>
      <c r="O778">
        <v>457.17</v>
      </c>
      <c r="P778">
        <v>4.7619047620000003</v>
      </c>
      <c r="Q778">
        <v>261.24</v>
      </c>
      <c r="R778">
        <v>4.41</v>
      </c>
      <c r="S778">
        <v>96.078500000000005</v>
      </c>
      <c r="T778">
        <v>19.763300000000001</v>
      </c>
    </row>
    <row r="779" spans="1:20" x14ac:dyDescent="0.3">
      <c r="A779" t="s">
        <v>1231</v>
      </c>
      <c r="B779" t="s">
        <v>51</v>
      </c>
      <c r="C779" t="s">
        <v>479</v>
      </c>
      <c r="D779" t="s">
        <v>53</v>
      </c>
      <c r="E779" t="s">
        <v>32</v>
      </c>
      <c r="F779" t="s">
        <v>36</v>
      </c>
      <c r="G779" t="s">
        <v>68</v>
      </c>
      <c r="H779">
        <v>93.38</v>
      </c>
      <c r="I779">
        <v>1</v>
      </c>
      <c r="J779">
        <v>4.6689999999999996</v>
      </c>
      <c r="K779">
        <v>93.38</v>
      </c>
      <c r="L779" s="1">
        <v>43488</v>
      </c>
      <c r="M779" s="2">
        <v>0.54652777777777772</v>
      </c>
      <c r="N779" t="s">
        <v>33</v>
      </c>
      <c r="O779">
        <v>93.38</v>
      </c>
      <c r="P779">
        <v>4.7619047620000003</v>
      </c>
      <c r="Q779">
        <v>0</v>
      </c>
      <c r="R779">
        <v>10</v>
      </c>
      <c r="S779">
        <v>96.089100000000002</v>
      </c>
      <c r="T779">
        <v>21.9588</v>
      </c>
    </row>
    <row r="780" spans="1:20" x14ac:dyDescent="0.3">
      <c r="A780" t="s">
        <v>1232</v>
      </c>
      <c r="B780" t="s">
        <v>29</v>
      </c>
      <c r="C780" t="s">
        <v>1233</v>
      </c>
      <c r="D780" t="s">
        <v>31</v>
      </c>
      <c r="E780" t="s">
        <v>24</v>
      </c>
      <c r="F780" t="s">
        <v>36</v>
      </c>
      <c r="G780" t="s">
        <v>68</v>
      </c>
      <c r="H780">
        <v>25.25</v>
      </c>
      <c r="I780">
        <v>8</v>
      </c>
      <c r="J780">
        <v>10.1</v>
      </c>
      <c r="K780">
        <v>202</v>
      </c>
      <c r="L780" s="1">
        <v>43639</v>
      </c>
      <c r="M780" s="2">
        <v>0.74444444444444446</v>
      </c>
      <c r="N780" t="s">
        <v>33</v>
      </c>
      <c r="O780">
        <v>126.25</v>
      </c>
      <c r="P780">
        <v>4.7619047620000003</v>
      </c>
      <c r="Q780">
        <v>75.75</v>
      </c>
      <c r="R780">
        <v>6.4050000000000002</v>
      </c>
      <c r="S780">
        <v>96.078500000000005</v>
      </c>
      <c r="T780">
        <v>19.763300000000001</v>
      </c>
    </row>
    <row r="781" spans="1:20" x14ac:dyDescent="0.3">
      <c r="A781" t="s">
        <v>1234</v>
      </c>
      <c r="B781" t="s">
        <v>51</v>
      </c>
      <c r="C781" t="s">
        <v>385</v>
      </c>
      <c r="D781" t="s">
        <v>53</v>
      </c>
      <c r="E781" t="s">
        <v>24</v>
      </c>
      <c r="F781" t="s">
        <v>36</v>
      </c>
      <c r="G781" t="s">
        <v>60</v>
      </c>
      <c r="H781">
        <v>87.87</v>
      </c>
      <c r="I781">
        <v>18</v>
      </c>
      <c r="J781">
        <v>79.082999999999998</v>
      </c>
      <c r="K781">
        <v>1581.66</v>
      </c>
      <c r="L781" s="1">
        <v>43628</v>
      </c>
      <c r="M781" s="2">
        <v>0.85555555555555551</v>
      </c>
      <c r="N781" t="s">
        <v>27</v>
      </c>
      <c r="O781">
        <v>790.83</v>
      </c>
      <c r="P781">
        <v>4.7619047620000003</v>
      </c>
      <c r="Q781">
        <v>790.83</v>
      </c>
      <c r="R781">
        <v>6.72</v>
      </c>
      <c r="S781">
        <v>96.089100000000002</v>
      </c>
      <c r="T781">
        <v>21.9588</v>
      </c>
    </row>
    <row r="782" spans="1:20" x14ac:dyDescent="0.3">
      <c r="A782" t="s">
        <v>1235</v>
      </c>
      <c r="B782" t="s">
        <v>29</v>
      </c>
      <c r="C782" t="s">
        <v>1236</v>
      </c>
      <c r="D782" t="s">
        <v>31</v>
      </c>
      <c r="E782" t="s">
        <v>32</v>
      </c>
      <c r="F782" t="s">
        <v>36</v>
      </c>
      <c r="G782" t="s">
        <v>26</v>
      </c>
      <c r="H782">
        <v>21.8</v>
      </c>
      <c r="I782">
        <v>10</v>
      </c>
      <c r="J782">
        <v>10.9</v>
      </c>
      <c r="K782">
        <v>218</v>
      </c>
      <c r="L782" s="1">
        <v>43726</v>
      </c>
      <c r="M782" s="2">
        <v>0.80833333333333335</v>
      </c>
      <c r="N782" t="s">
        <v>33</v>
      </c>
      <c r="O782">
        <v>174.4</v>
      </c>
      <c r="P782">
        <v>4.7619047620000003</v>
      </c>
      <c r="Q782">
        <v>43.6</v>
      </c>
      <c r="R782">
        <v>8.7149999999999999</v>
      </c>
      <c r="S782">
        <v>96.078500000000005</v>
      </c>
      <c r="T782">
        <v>19.763300000000001</v>
      </c>
    </row>
    <row r="783" spans="1:20" x14ac:dyDescent="0.3">
      <c r="A783" t="s">
        <v>1237</v>
      </c>
      <c r="B783" t="s">
        <v>21</v>
      </c>
      <c r="C783" t="s">
        <v>988</v>
      </c>
      <c r="D783" t="s">
        <v>23</v>
      </c>
      <c r="E783" t="s">
        <v>32</v>
      </c>
      <c r="F783" t="s">
        <v>25</v>
      </c>
      <c r="G783" t="s">
        <v>68</v>
      </c>
      <c r="H783">
        <v>94.76</v>
      </c>
      <c r="I783">
        <v>4</v>
      </c>
      <c r="J783">
        <v>18.952000000000002</v>
      </c>
      <c r="K783">
        <v>379.04</v>
      </c>
      <c r="L783" s="1">
        <v>43794</v>
      </c>
      <c r="M783" s="2">
        <v>0.67083333333333328</v>
      </c>
      <c r="N783" t="s">
        <v>27</v>
      </c>
      <c r="O783">
        <v>379.04</v>
      </c>
      <c r="P783">
        <v>4.7619047620000003</v>
      </c>
      <c r="Q783">
        <v>0</v>
      </c>
      <c r="R783">
        <v>7.8</v>
      </c>
      <c r="S783">
        <v>96.173500000000004</v>
      </c>
      <c r="T783">
        <v>16.840900000000001</v>
      </c>
    </row>
    <row r="784" spans="1:20" x14ac:dyDescent="0.3">
      <c r="A784" t="s">
        <v>1238</v>
      </c>
      <c r="B784" t="s">
        <v>21</v>
      </c>
      <c r="C784" t="s">
        <v>1239</v>
      </c>
      <c r="D784" t="s">
        <v>23</v>
      </c>
      <c r="E784" t="s">
        <v>24</v>
      </c>
      <c r="F784" t="s">
        <v>25</v>
      </c>
      <c r="G784" t="s">
        <v>100</v>
      </c>
      <c r="H784">
        <v>30.62</v>
      </c>
      <c r="I784">
        <v>1</v>
      </c>
      <c r="J784">
        <v>1.5309999999999999</v>
      </c>
      <c r="K784">
        <v>30.62</v>
      </c>
      <c r="L784" s="1">
        <v>43615</v>
      </c>
      <c r="M784" s="2">
        <v>0.59305555555555556</v>
      </c>
      <c r="N784" t="s">
        <v>37</v>
      </c>
      <c r="O784">
        <v>30.62</v>
      </c>
      <c r="P784">
        <v>4.7619047620000003</v>
      </c>
      <c r="Q784">
        <v>0</v>
      </c>
      <c r="R784">
        <v>4.0999999999999996</v>
      </c>
      <c r="S784">
        <v>96.173500000000004</v>
      </c>
      <c r="T784">
        <v>16.840900000000001</v>
      </c>
    </row>
    <row r="785" spans="1:20" x14ac:dyDescent="0.3">
      <c r="A785" t="s">
        <v>1240</v>
      </c>
      <c r="B785" t="s">
        <v>29</v>
      </c>
      <c r="C785" t="s">
        <v>248</v>
      </c>
      <c r="D785" t="s">
        <v>31</v>
      </c>
      <c r="E785" t="s">
        <v>32</v>
      </c>
      <c r="F785" t="s">
        <v>25</v>
      </c>
      <c r="G785" t="s">
        <v>77</v>
      </c>
      <c r="H785">
        <v>44.01</v>
      </c>
      <c r="I785">
        <v>10</v>
      </c>
      <c r="J785">
        <v>22.004999999999999</v>
      </c>
      <c r="K785">
        <v>440.1</v>
      </c>
      <c r="L785" s="1">
        <v>43771</v>
      </c>
      <c r="M785" s="2">
        <v>0.73333333333333328</v>
      </c>
      <c r="N785" t="s">
        <v>33</v>
      </c>
      <c r="O785">
        <v>352.08</v>
      </c>
      <c r="P785">
        <v>4.7619047620000003</v>
      </c>
      <c r="Q785">
        <v>88.02</v>
      </c>
      <c r="R785">
        <v>9.24</v>
      </c>
      <c r="S785">
        <v>96.078500000000005</v>
      </c>
      <c r="T785">
        <v>19.763300000000001</v>
      </c>
    </row>
    <row r="786" spans="1:20" x14ac:dyDescent="0.3">
      <c r="A786" t="s">
        <v>1241</v>
      </c>
      <c r="B786" t="s">
        <v>29</v>
      </c>
      <c r="C786" t="s">
        <v>1242</v>
      </c>
      <c r="D786" t="s">
        <v>31</v>
      </c>
      <c r="E786" t="s">
        <v>24</v>
      </c>
      <c r="F786" t="s">
        <v>25</v>
      </c>
      <c r="G786" t="s">
        <v>26</v>
      </c>
      <c r="H786">
        <v>10.16</v>
      </c>
      <c r="I786">
        <v>8</v>
      </c>
      <c r="J786">
        <v>4.0640000000000001</v>
      </c>
      <c r="K786">
        <v>81.28</v>
      </c>
      <c r="L786" s="1">
        <v>43515</v>
      </c>
      <c r="M786" s="2">
        <v>0.54722222222222228</v>
      </c>
      <c r="N786" t="s">
        <v>27</v>
      </c>
      <c r="O786">
        <v>50.8</v>
      </c>
      <c r="P786">
        <v>4.7619047620000003</v>
      </c>
      <c r="Q786">
        <v>30.48</v>
      </c>
      <c r="R786">
        <v>4.3049999999999997</v>
      </c>
      <c r="S786">
        <v>96.078500000000005</v>
      </c>
      <c r="T786">
        <v>19.763300000000001</v>
      </c>
    </row>
    <row r="787" spans="1:20" x14ac:dyDescent="0.3">
      <c r="A787" t="s">
        <v>1243</v>
      </c>
      <c r="B787" t="s">
        <v>21</v>
      </c>
      <c r="C787" t="s">
        <v>93</v>
      </c>
      <c r="D787" t="s">
        <v>23</v>
      </c>
      <c r="E787" t="s">
        <v>32</v>
      </c>
      <c r="F787" t="s">
        <v>36</v>
      </c>
      <c r="G787" t="s">
        <v>60</v>
      </c>
      <c r="H787">
        <v>74.58</v>
      </c>
      <c r="I787">
        <v>7</v>
      </c>
      <c r="J787">
        <v>26.103000000000002</v>
      </c>
      <c r="K787">
        <v>522.05999999999995</v>
      </c>
      <c r="L787" s="1">
        <v>43737</v>
      </c>
      <c r="M787" s="2">
        <v>0.67291666666666672</v>
      </c>
      <c r="N787" t="s">
        <v>37</v>
      </c>
      <c r="O787">
        <v>522.05999999999995</v>
      </c>
      <c r="P787">
        <v>4.7619047620000003</v>
      </c>
      <c r="Q787">
        <v>0</v>
      </c>
      <c r="R787">
        <v>9</v>
      </c>
      <c r="S787">
        <v>96.173500000000004</v>
      </c>
      <c r="T787">
        <v>16.840900000000001</v>
      </c>
    </row>
    <row r="788" spans="1:20" x14ac:dyDescent="0.3">
      <c r="A788" t="s">
        <v>1244</v>
      </c>
      <c r="B788" t="s">
        <v>29</v>
      </c>
      <c r="C788" t="s">
        <v>320</v>
      </c>
      <c r="D788" t="s">
        <v>31</v>
      </c>
      <c r="E788" t="s">
        <v>32</v>
      </c>
      <c r="F788" t="s">
        <v>36</v>
      </c>
      <c r="G788" t="s">
        <v>60</v>
      </c>
      <c r="H788">
        <v>71.89</v>
      </c>
      <c r="I788">
        <v>10</v>
      </c>
      <c r="J788">
        <v>35.945</v>
      </c>
      <c r="K788">
        <v>718.9</v>
      </c>
      <c r="L788" s="1">
        <v>43538</v>
      </c>
      <c r="M788" s="2">
        <v>0.48125000000000001</v>
      </c>
      <c r="N788" t="s">
        <v>27</v>
      </c>
      <c r="O788">
        <v>575.12</v>
      </c>
      <c r="P788">
        <v>4.7619047620000003</v>
      </c>
      <c r="Q788">
        <v>143.78</v>
      </c>
      <c r="R788">
        <v>5.7750000000000004</v>
      </c>
      <c r="S788">
        <v>96.078500000000005</v>
      </c>
      <c r="T788">
        <v>19.763300000000001</v>
      </c>
    </row>
    <row r="789" spans="1:20" x14ac:dyDescent="0.3">
      <c r="A789" t="s">
        <v>1245</v>
      </c>
      <c r="B789" t="s">
        <v>29</v>
      </c>
      <c r="C789" t="s">
        <v>394</v>
      </c>
      <c r="D789" t="s">
        <v>31</v>
      </c>
      <c r="E789" t="s">
        <v>32</v>
      </c>
      <c r="F789" t="s">
        <v>25</v>
      </c>
      <c r="G789" t="s">
        <v>26</v>
      </c>
      <c r="H789">
        <v>10.99</v>
      </c>
      <c r="I789">
        <v>6</v>
      </c>
      <c r="J789">
        <v>3.2970000000000002</v>
      </c>
      <c r="K789">
        <v>65.94</v>
      </c>
      <c r="L789" s="1">
        <v>43812</v>
      </c>
      <c r="M789" s="2">
        <v>0.42916666666666664</v>
      </c>
      <c r="N789" t="s">
        <v>37</v>
      </c>
      <c r="O789">
        <v>54.95</v>
      </c>
      <c r="P789">
        <v>4.7619047620000003</v>
      </c>
      <c r="Q789">
        <v>10.99</v>
      </c>
      <c r="R789">
        <v>9.7650000000000006</v>
      </c>
      <c r="S789">
        <v>96.078500000000005</v>
      </c>
      <c r="T789">
        <v>19.763300000000001</v>
      </c>
    </row>
    <row r="790" spans="1:20" x14ac:dyDescent="0.3">
      <c r="A790" t="s">
        <v>1246</v>
      </c>
      <c r="B790" t="s">
        <v>29</v>
      </c>
      <c r="C790" t="s">
        <v>651</v>
      </c>
      <c r="D790" t="s">
        <v>31</v>
      </c>
      <c r="E790" t="s">
        <v>24</v>
      </c>
      <c r="F790" t="s">
        <v>36</v>
      </c>
      <c r="G790" t="s">
        <v>26</v>
      </c>
      <c r="H790">
        <v>60.47</v>
      </c>
      <c r="I790">
        <v>6</v>
      </c>
      <c r="J790">
        <v>18.140999999999998</v>
      </c>
      <c r="K790">
        <v>362.82</v>
      </c>
      <c r="L790" s="1">
        <v>43593</v>
      </c>
      <c r="M790" s="2">
        <v>0.4548611111111111</v>
      </c>
      <c r="N790" t="s">
        <v>37</v>
      </c>
      <c r="O790">
        <v>181.41</v>
      </c>
      <c r="P790">
        <v>4.7619047620000003</v>
      </c>
      <c r="Q790">
        <v>181.41</v>
      </c>
      <c r="R790">
        <v>5.88</v>
      </c>
      <c r="S790">
        <v>96.078500000000005</v>
      </c>
      <c r="T790">
        <v>19.763300000000001</v>
      </c>
    </row>
    <row r="791" spans="1:20" x14ac:dyDescent="0.3">
      <c r="A791" t="s">
        <v>1247</v>
      </c>
      <c r="B791" t="s">
        <v>21</v>
      </c>
      <c r="C791" t="s">
        <v>62</v>
      </c>
      <c r="D791" t="s">
        <v>23</v>
      </c>
      <c r="E791" t="s">
        <v>32</v>
      </c>
      <c r="F791" t="s">
        <v>36</v>
      </c>
      <c r="G791" t="s">
        <v>68</v>
      </c>
      <c r="H791">
        <v>58.91</v>
      </c>
      <c r="I791">
        <v>7</v>
      </c>
      <c r="J791">
        <v>20.618500000000001</v>
      </c>
      <c r="K791">
        <v>412.37</v>
      </c>
      <c r="L791" s="1">
        <v>43603</v>
      </c>
      <c r="M791" s="2">
        <v>0.63541666666666663</v>
      </c>
      <c r="N791" t="s">
        <v>27</v>
      </c>
      <c r="O791">
        <v>412.37</v>
      </c>
      <c r="P791">
        <v>4.7619047620000003</v>
      </c>
      <c r="Q791">
        <v>0</v>
      </c>
      <c r="R791">
        <v>9.6999999999999993</v>
      </c>
      <c r="S791">
        <v>96.173500000000004</v>
      </c>
      <c r="T791">
        <v>16.840900000000001</v>
      </c>
    </row>
    <row r="792" spans="1:20" x14ac:dyDescent="0.3">
      <c r="A792" t="s">
        <v>1248</v>
      </c>
      <c r="B792" t="s">
        <v>21</v>
      </c>
      <c r="C792" t="s">
        <v>486</v>
      </c>
      <c r="D792" t="s">
        <v>23</v>
      </c>
      <c r="E792" t="s">
        <v>32</v>
      </c>
      <c r="F792" t="s">
        <v>36</v>
      </c>
      <c r="G792" t="s">
        <v>100</v>
      </c>
      <c r="H792">
        <v>46.41</v>
      </c>
      <c r="I792">
        <v>1</v>
      </c>
      <c r="J792">
        <v>2.3205</v>
      </c>
      <c r="K792">
        <v>46.41</v>
      </c>
      <c r="L792" s="1">
        <v>43756</v>
      </c>
      <c r="M792" s="2">
        <v>0.83750000000000002</v>
      </c>
      <c r="N792" t="s">
        <v>37</v>
      </c>
      <c r="O792">
        <v>46.41</v>
      </c>
      <c r="P792">
        <v>4.7619047620000003</v>
      </c>
      <c r="Q792">
        <v>0</v>
      </c>
      <c r="R792">
        <v>4</v>
      </c>
      <c r="S792">
        <v>96.173500000000004</v>
      </c>
      <c r="T792">
        <v>16.840900000000001</v>
      </c>
    </row>
    <row r="793" spans="1:20" x14ac:dyDescent="0.3">
      <c r="A793" t="s">
        <v>1249</v>
      </c>
      <c r="B793" t="s">
        <v>29</v>
      </c>
      <c r="C793" t="s">
        <v>1227</v>
      </c>
      <c r="D793" t="s">
        <v>31</v>
      </c>
      <c r="E793" t="s">
        <v>24</v>
      </c>
      <c r="F793" t="s">
        <v>36</v>
      </c>
      <c r="G793" t="s">
        <v>68</v>
      </c>
      <c r="H793">
        <v>68.55</v>
      </c>
      <c r="I793">
        <v>7</v>
      </c>
      <c r="J793">
        <v>23.9925</v>
      </c>
      <c r="K793">
        <v>479.85</v>
      </c>
      <c r="L793" s="1">
        <v>43499</v>
      </c>
      <c r="M793" s="2">
        <v>0.84791666666666665</v>
      </c>
      <c r="N793" t="s">
        <v>37</v>
      </c>
      <c r="O793">
        <v>274.2</v>
      </c>
      <c r="P793">
        <v>4.7619047620000003</v>
      </c>
      <c r="Q793">
        <v>205.65</v>
      </c>
      <c r="R793">
        <v>9.66</v>
      </c>
      <c r="S793">
        <v>96.078500000000005</v>
      </c>
      <c r="T793">
        <v>19.763300000000001</v>
      </c>
    </row>
    <row r="794" spans="1:20" x14ac:dyDescent="0.3">
      <c r="A794" t="s">
        <v>1250</v>
      </c>
      <c r="B794" t="s">
        <v>51</v>
      </c>
      <c r="C794" t="s">
        <v>430</v>
      </c>
      <c r="D794" t="s">
        <v>53</v>
      </c>
      <c r="E794" t="s">
        <v>32</v>
      </c>
      <c r="F794" t="s">
        <v>25</v>
      </c>
      <c r="G794" t="s">
        <v>68</v>
      </c>
      <c r="H794">
        <v>97.37</v>
      </c>
      <c r="I794">
        <v>14</v>
      </c>
      <c r="J794">
        <v>68.159000000000006</v>
      </c>
      <c r="K794">
        <v>1363.18</v>
      </c>
      <c r="L794" s="1">
        <v>43547</v>
      </c>
      <c r="M794" s="2">
        <v>0.57499999999999996</v>
      </c>
      <c r="N794" t="s">
        <v>37</v>
      </c>
      <c r="O794">
        <v>973.7</v>
      </c>
      <c r="P794">
        <v>4.7619047620000003</v>
      </c>
      <c r="Q794">
        <v>389.48</v>
      </c>
      <c r="R794">
        <v>5.88</v>
      </c>
      <c r="S794">
        <v>96.089100000000002</v>
      </c>
      <c r="T794">
        <v>21.9588</v>
      </c>
    </row>
    <row r="795" spans="1:20" x14ac:dyDescent="0.3">
      <c r="A795" t="s">
        <v>1251</v>
      </c>
      <c r="B795" t="s">
        <v>21</v>
      </c>
      <c r="C795" t="s">
        <v>1252</v>
      </c>
      <c r="D795" t="s">
        <v>23</v>
      </c>
      <c r="E795" t="s">
        <v>24</v>
      </c>
      <c r="F795" t="s">
        <v>36</v>
      </c>
      <c r="G795" t="s">
        <v>68</v>
      </c>
      <c r="H795">
        <v>92.6</v>
      </c>
      <c r="I795">
        <v>10</v>
      </c>
      <c r="J795">
        <v>46.3</v>
      </c>
      <c r="K795">
        <v>926</v>
      </c>
      <c r="L795" s="1">
        <v>43781</v>
      </c>
      <c r="M795" s="2">
        <v>0.53611111111111109</v>
      </c>
      <c r="N795" t="s">
        <v>37</v>
      </c>
      <c r="O795">
        <v>648.20000000000005</v>
      </c>
      <c r="P795">
        <v>4.7619047620000003</v>
      </c>
      <c r="Q795">
        <v>277.8</v>
      </c>
      <c r="R795">
        <v>9.3000000000000007</v>
      </c>
      <c r="S795">
        <v>96.173500000000004</v>
      </c>
      <c r="T795">
        <v>16.840900000000001</v>
      </c>
    </row>
    <row r="796" spans="1:20" x14ac:dyDescent="0.3">
      <c r="A796" t="s">
        <v>1253</v>
      </c>
      <c r="B796" t="s">
        <v>21</v>
      </c>
      <c r="C796" t="s">
        <v>219</v>
      </c>
      <c r="D796" t="s">
        <v>23</v>
      </c>
      <c r="E796" t="s">
        <v>32</v>
      </c>
      <c r="F796" t="s">
        <v>25</v>
      </c>
      <c r="G796" t="s">
        <v>68</v>
      </c>
      <c r="H796">
        <v>46.61</v>
      </c>
      <c r="I796">
        <v>2</v>
      </c>
      <c r="J796">
        <v>4.6609999999999996</v>
      </c>
      <c r="K796">
        <v>93.22</v>
      </c>
      <c r="L796" s="1">
        <v>43670</v>
      </c>
      <c r="M796" s="2">
        <v>0.51944444444444449</v>
      </c>
      <c r="N796" t="s">
        <v>37</v>
      </c>
      <c r="O796">
        <v>93.22</v>
      </c>
      <c r="P796">
        <v>4.7619047620000003</v>
      </c>
      <c r="Q796">
        <v>0</v>
      </c>
      <c r="R796">
        <v>6.6</v>
      </c>
      <c r="S796">
        <v>96.173500000000004</v>
      </c>
      <c r="T796">
        <v>16.840900000000001</v>
      </c>
    </row>
    <row r="797" spans="1:20" x14ac:dyDescent="0.3">
      <c r="A797" t="s">
        <v>1254</v>
      </c>
      <c r="B797" t="s">
        <v>51</v>
      </c>
      <c r="C797" t="s">
        <v>771</v>
      </c>
      <c r="D797" t="s">
        <v>53</v>
      </c>
      <c r="E797" t="s">
        <v>32</v>
      </c>
      <c r="F797" t="s">
        <v>36</v>
      </c>
      <c r="G797" t="s">
        <v>68</v>
      </c>
      <c r="H797">
        <v>27.18</v>
      </c>
      <c r="I797">
        <v>3</v>
      </c>
      <c r="J797">
        <v>4.077</v>
      </c>
      <c r="K797">
        <v>81.540000000000006</v>
      </c>
      <c r="L797" s="1">
        <v>43598</v>
      </c>
      <c r="M797" s="2">
        <v>0.68472222222222223</v>
      </c>
      <c r="N797" t="s">
        <v>27</v>
      </c>
      <c r="O797">
        <v>54.36</v>
      </c>
      <c r="P797">
        <v>4.7619047620000003</v>
      </c>
      <c r="Q797">
        <v>27.18</v>
      </c>
      <c r="R797">
        <v>5.16</v>
      </c>
      <c r="S797">
        <v>96.089100000000002</v>
      </c>
      <c r="T797">
        <v>21.9588</v>
      </c>
    </row>
    <row r="798" spans="1:20" x14ac:dyDescent="0.3">
      <c r="A798" t="s">
        <v>1255</v>
      </c>
      <c r="B798" t="s">
        <v>29</v>
      </c>
      <c r="C798" t="s">
        <v>810</v>
      </c>
      <c r="D798" t="s">
        <v>31</v>
      </c>
      <c r="E798" t="s">
        <v>24</v>
      </c>
      <c r="F798" t="s">
        <v>25</v>
      </c>
      <c r="G798" t="s">
        <v>68</v>
      </c>
      <c r="H798">
        <v>60.87</v>
      </c>
      <c r="I798">
        <v>1</v>
      </c>
      <c r="J798">
        <v>3.0434999999999999</v>
      </c>
      <c r="K798">
        <v>60.87</v>
      </c>
      <c r="L798" s="1">
        <v>43626</v>
      </c>
      <c r="M798" s="2">
        <v>0.55833333333333335</v>
      </c>
      <c r="N798" t="s">
        <v>33</v>
      </c>
      <c r="O798">
        <v>60.87</v>
      </c>
      <c r="P798">
        <v>4.7619047620000003</v>
      </c>
      <c r="Q798">
        <v>0</v>
      </c>
      <c r="R798">
        <v>5.7750000000000004</v>
      </c>
      <c r="S798">
        <v>96.078500000000005</v>
      </c>
      <c r="T798">
        <v>19.763300000000001</v>
      </c>
    </row>
    <row r="799" spans="1:20" x14ac:dyDescent="0.3">
      <c r="A799" t="s">
        <v>1256</v>
      </c>
      <c r="B799" t="s">
        <v>21</v>
      </c>
      <c r="C799" t="s">
        <v>716</v>
      </c>
      <c r="D799" t="s">
        <v>23</v>
      </c>
      <c r="E799" t="s">
        <v>32</v>
      </c>
      <c r="F799" t="s">
        <v>25</v>
      </c>
      <c r="G799" t="s">
        <v>68</v>
      </c>
      <c r="H799">
        <v>24.49</v>
      </c>
      <c r="I799">
        <v>10</v>
      </c>
      <c r="J799">
        <v>12.244999999999999</v>
      </c>
      <c r="K799">
        <v>244.9</v>
      </c>
      <c r="L799" s="1">
        <v>43700</v>
      </c>
      <c r="M799" s="2">
        <v>0.63541666666666663</v>
      </c>
      <c r="N799" t="s">
        <v>33</v>
      </c>
      <c r="O799">
        <v>244.9</v>
      </c>
      <c r="P799">
        <v>4.7619047620000003</v>
      </c>
      <c r="Q799">
        <v>0</v>
      </c>
      <c r="R799">
        <v>8.1</v>
      </c>
      <c r="S799">
        <v>96.173500000000004</v>
      </c>
      <c r="T799">
        <v>16.840900000000001</v>
      </c>
    </row>
    <row r="800" spans="1:20" x14ac:dyDescent="0.3">
      <c r="A800" t="s">
        <v>1257</v>
      </c>
      <c r="B800" t="s">
        <v>51</v>
      </c>
      <c r="C800" t="s">
        <v>1258</v>
      </c>
      <c r="D800" t="s">
        <v>53</v>
      </c>
      <c r="E800" t="s">
        <v>32</v>
      </c>
      <c r="F800" t="s">
        <v>36</v>
      </c>
      <c r="G800" t="s">
        <v>68</v>
      </c>
      <c r="H800">
        <v>92.78</v>
      </c>
      <c r="I800">
        <v>1</v>
      </c>
      <c r="J800">
        <v>4.6390000000000002</v>
      </c>
      <c r="K800">
        <v>92.78</v>
      </c>
      <c r="L800" s="1">
        <v>43771</v>
      </c>
      <c r="M800" s="2">
        <v>0.4513888888888889</v>
      </c>
      <c r="N800" t="s">
        <v>37</v>
      </c>
      <c r="O800">
        <v>92.78</v>
      </c>
      <c r="P800">
        <v>4.7619047620000003</v>
      </c>
      <c r="Q800">
        <v>0</v>
      </c>
      <c r="R800">
        <v>10</v>
      </c>
      <c r="S800">
        <v>96.089100000000002</v>
      </c>
      <c r="T800">
        <v>21.9588</v>
      </c>
    </row>
    <row r="801" spans="1:20" x14ac:dyDescent="0.3">
      <c r="A801" t="s">
        <v>1259</v>
      </c>
      <c r="B801" t="s">
        <v>29</v>
      </c>
      <c r="C801" t="s">
        <v>1260</v>
      </c>
      <c r="D801" t="s">
        <v>31</v>
      </c>
      <c r="E801" t="s">
        <v>32</v>
      </c>
      <c r="F801" t="s">
        <v>36</v>
      </c>
      <c r="G801" t="s">
        <v>77</v>
      </c>
      <c r="H801">
        <v>86.69</v>
      </c>
      <c r="I801">
        <v>6</v>
      </c>
      <c r="J801">
        <v>26.007000000000001</v>
      </c>
      <c r="K801">
        <v>520.14</v>
      </c>
      <c r="L801" s="1">
        <v>43689</v>
      </c>
      <c r="M801" s="2">
        <v>0.77638888888888891</v>
      </c>
      <c r="N801" t="s">
        <v>27</v>
      </c>
      <c r="O801">
        <v>433.45</v>
      </c>
      <c r="P801">
        <v>4.7619047620000003</v>
      </c>
      <c r="Q801">
        <v>86.69</v>
      </c>
      <c r="R801">
        <v>9.8699999999999992</v>
      </c>
      <c r="S801">
        <v>96.078500000000005</v>
      </c>
      <c r="T801">
        <v>19.763300000000001</v>
      </c>
    </row>
    <row r="802" spans="1:20" x14ac:dyDescent="0.3">
      <c r="A802" t="s">
        <v>1261</v>
      </c>
      <c r="B802" t="s">
        <v>51</v>
      </c>
      <c r="C802" t="s">
        <v>1262</v>
      </c>
      <c r="D802" t="s">
        <v>53</v>
      </c>
      <c r="E802" t="s">
        <v>32</v>
      </c>
      <c r="F802" t="s">
        <v>36</v>
      </c>
      <c r="G802" t="s">
        <v>68</v>
      </c>
      <c r="H802">
        <v>23.01</v>
      </c>
      <c r="I802">
        <v>8</v>
      </c>
      <c r="J802">
        <v>9.2040000000000006</v>
      </c>
      <c r="K802">
        <v>184.08</v>
      </c>
      <c r="L802" s="1">
        <v>43660</v>
      </c>
      <c r="M802" s="2">
        <v>0.69791666666666663</v>
      </c>
      <c r="N802" t="s">
        <v>27</v>
      </c>
      <c r="O802">
        <v>138.06</v>
      </c>
      <c r="P802">
        <v>4.7619047620000003</v>
      </c>
      <c r="Q802">
        <v>46.02</v>
      </c>
      <c r="R802">
        <v>9.48</v>
      </c>
      <c r="S802">
        <v>96.089100000000002</v>
      </c>
      <c r="T802">
        <v>21.9588</v>
      </c>
    </row>
    <row r="803" spans="1:20" x14ac:dyDescent="0.3">
      <c r="A803" t="s">
        <v>1263</v>
      </c>
      <c r="B803" t="s">
        <v>29</v>
      </c>
      <c r="C803" t="s">
        <v>371</v>
      </c>
      <c r="D803" t="s">
        <v>31</v>
      </c>
      <c r="E803" t="s">
        <v>32</v>
      </c>
      <c r="F803" t="s">
        <v>25</v>
      </c>
      <c r="G803" t="s">
        <v>60</v>
      </c>
      <c r="H803">
        <v>30.2</v>
      </c>
      <c r="I803">
        <v>10</v>
      </c>
      <c r="J803">
        <v>15.1</v>
      </c>
      <c r="K803">
        <v>302</v>
      </c>
      <c r="L803" s="1">
        <v>43627</v>
      </c>
      <c r="M803" s="2">
        <v>0.8125</v>
      </c>
      <c r="N803" t="s">
        <v>27</v>
      </c>
      <c r="O803">
        <v>241.6</v>
      </c>
      <c r="P803">
        <v>4.7619047620000003</v>
      </c>
      <c r="Q803">
        <v>60.4</v>
      </c>
      <c r="R803">
        <v>5.3550000000000004</v>
      </c>
      <c r="S803">
        <v>96.078500000000005</v>
      </c>
      <c r="T803">
        <v>19.763300000000001</v>
      </c>
    </row>
    <row r="804" spans="1:20" x14ac:dyDescent="0.3">
      <c r="A804" t="s">
        <v>1264</v>
      </c>
      <c r="B804" t="s">
        <v>29</v>
      </c>
      <c r="C804" t="s">
        <v>1265</v>
      </c>
      <c r="D804" t="s">
        <v>31</v>
      </c>
      <c r="E804" t="s">
        <v>32</v>
      </c>
      <c r="F804" t="s">
        <v>36</v>
      </c>
      <c r="G804" t="s">
        <v>100</v>
      </c>
      <c r="H804">
        <v>67.39</v>
      </c>
      <c r="I804">
        <v>8</v>
      </c>
      <c r="J804">
        <v>26.956</v>
      </c>
      <c r="K804">
        <v>539.12</v>
      </c>
      <c r="L804" s="1">
        <v>43560</v>
      </c>
      <c r="M804" s="2">
        <v>0.55763888888888891</v>
      </c>
      <c r="N804" t="s">
        <v>27</v>
      </c>
      <c r="O804">
        <v>471.73</v>
      </c>
      <c r="P804">
        <v>4.7619047620000003</v>
      </c>
      <c r="Q804">
        <v>67.39</v>
      </c>
      <c r="R804">
        <v>7.2450000000000001</v>
      </c>
      <c r="S804">
        <v>96.078500000000005</v>
      </c>
      <c r="T804">
        <v>19.763300000000001</v>
      </c>
    </row>
    <row r="805" spans="1:20" x14ac:dyDescent="0.3">
      <c r="A805" t="s">
        <v>1266</v>
      </c>
      <c r="B805" t="s">
        <v>21</v>
      </c>
      <c r="C805" t="s">
        <v>680</v>
      </c>
      <c r="D805" t="s">
        <v>23</v>
      </c>
      <c r="E805" t="s">
        <v>24</v>
      </c>
      <c r="F805" t="s">
        <v>25</v>
      </c>
      <c r="G805" t="s">
        <v>100</v>
      </c>
      <c r="H805">
        <v>48.96</v>
      </c>
      <c r="I805">
        <v>13</v>
      </c>
      <c r="J805">
        <v>31.824000000000002</v>
      </c>
      <c r="K805">
        <v>636.48</v>
      </c>
      <c r="L805" s="1">
        <v>43505</v>
      </c>
      <c r="M805" s="2">
        <v>0.47708333333333336</v>
      </c>
      <c r="N805" t="s">
        <v>33</v>
      </c>
      <c r="O805">
        <v>440.64</v>
      </c>
      <c r="P805">
        <v>4.7619047620000003</v>
      </c>
      <c r="Q805">
        <v>195.84</v>
      </c>
      <c r="R805">
        <v>8</v>
      </c>
      <c r="S805">
        <v>96.173500000000004</v>
      </c>
      <c r="T805">
        <v>16.840900000000001</v>
      </c>
    </row>
    <row r="806" spans="1:20" x14ac:dyDescent="0.3">
      <c r="A806" t="s">
        <v>1267</v>
      </c>
      <c r="B806" t="s">
        <v>51</v>
      </c>
      <c r="C806" t="s">
        <v>117</v>
      </c>
      <c r="D806" t="s">
        <v>53</v>
      </c>
      <c r="E806" t="s">
        <v>24</v>
      </c>
      <c r="F806" t="s">
        <v>25</v>
      </c>
      <c r="G806" t="s">
        <v>100</v>
      </c>
      <c r="H806">
        <v>75.59</v>
      </c>
      <c r="I806">
        <v>18</v>
      </c>
      <c r="J806">
        <v>68.031000000000006</v>
      </c>
      <c r="K806">
        <v>1360.62</v>
      </c>
      <c r="L806" s="1">
        <v>43816</v>
      </c>
      <c r="M806" s="2">
        <v>0.46666666666666667</v>
      </c>
      <c r="N806" t="s">
        <v>33</v>
      </c>
      <c r="O806">
        <v>680.31</v>
      </c>
      <c r="P806">
        <v>4.7619047620000003</v>
      </c>
      <c r="Q806">
        <v>680.31</v>
      </c>
      <c r="R806">
        <v>9.6</v>
      </c>
      <c r="S806">
        <v>96.089100000000002</v>
      </c>
      <c r="T806">
        <v>21.9588</v>
      </c>
    </row>
    <row r="807" spans="1:20" x14ac:dyDescent="0.3">
      <c r="A807" t="s">
        <v>1268</v>
      </c>
      <c r="B807" t="s">
        <v>21</v>
      </c>
      <c r="C807" t="s">
        <v>1269</v>
      </c>
      <c r="D807" t="s">
        <v>23</v>
      </c>
      <c r="E807" t="s">
        <v>32</v>
      </c>
      <c r="F807" t="s">
        <v>25</v>
      </c>
      <c r="G807" t="s">
        <v>100</v>
      </c>
      <c r="H807">
        <v>77.47</v>
      </c>
      <c r="I807">
        <v>4</v>
      </c>
      <c r="J807">
        <v>15.494</v>
      </c>
      <c r="K807">
        <v>309.88</v>
      </c>
      <c r="L807" s="1">
        <v>43676</v>
      </c>
      <c r="M807" s="2">
        <v>0.69166666666666665</v>
      </c>
      <c r="N807" t="s">
        <v>33</v>
      </c>
      <c r="O807">
        <v>309.88</v>
      </c>
      <c r="P807">
        <v>4.7619047620000003</v>
      </c>
      <c r="Q807">
        <v>0</v>
      </c>
      <c r="R807">
        <v>4.2</v>
      </c>
      <c r="S807">
        <v>96.173500000000004</v>
      </c>
      <c r="T807">
        <v>16.840900000000001</v>
      </c>
    </row>
    <row r="808" spans="1:20" x14ac:dyDescent="0.3">
      <c r="A808" t="s">
        <v>1270</v>
      </c>
      <c r="B808" t="s">
        <v>21</v>
      </c>
      <c r="C808" t="s">
        <v>1271</v>
      </c>
      <c r="D808" t="s">
        <v>23</v>
      </c>
      <c r="E808" t="s">
        <v>32</v>
      </c>
      <c r="F808" t="s">
        <v>25</v>
      </c>
      <c r="G808" t="s">
        <v>100</v>
      </c>
      <c r="H808">
        <v>93.18</v>
      </c>
      <c r="I808">
        <v>2</v>
      </c>
      <c r="J808">
        <v>9.3179999999999996</v>
      </c>
      <c r="K808">
        <v>186.36</v>
      </c>
      <c r="L808" s="1">
        <v>43745</v>
      </c>
      <c r="M808" s="2">
        <v>0.77847222222222223</v>
      </c>
      <c r="N808" t="s">
        <v>37</v>
      </c>
      <c r="O808">
        <v>186.36</v>
      </c>
      <c r="P808">
        <v>4.7619047620000003</v>
      </c>
      <c r="Q808">
        <v>0</v>
      </c>
      <c r="R808">
        <v>8.5</v>
      </c>
      <c r="S808">
        <v>96.173500000000004</v>
      </c>
      <c r="T808">
        <v>16.840900000000001</v>
      </c>
    </row>
    <row r="809" spans="1:20" x14ac:dyDescent="0.3">
      <c r="A809" t="s">
        <v>1272</v>
      </c>
      <c r="B809" t="s">
        <v>21</v>
      </c>
      <c r="C809" t="s">
        <v>274</v>
      </c>
      <c r="D809" t="s">
        <v>23</v>
      </c>
      <c r="E809" t="s">
        <v>32</v>
      </c>
      <c r="F809" t="s">
        <v>25</v>
      </c>
      <c r="G809" t="s">
        <v>100</v>
      </c>
      <c r="H809">
        <v>50.23</v>
      </c>
      <c r="I809">
        <v>4</v>
      </c>
      <c r="J809">
        <v>10.045999999999999</v>
      </c>
      <c r="K809">
        <v>200.92</v>
      </c>
      <c r="L809" s="1">
        <v>43476</v>
      </c>
      <c r="M809" s="2">
        <v>0.71666666666666667</v>
      </c>
      <c r="N809" t="s">
        <v>33</v>
      </c>
      <c r="O809">
        <v>200.92</v>
      </c>
      <c r="P809">
        <v>4.7619047620000003</v>
      </c>
      <c r="Q809">
        <v>0</v>
      </c>
      <c r="R809">
        <v>9</v>
      </c>
      <c r="S809">
        <v>96.173500000000004</v>
      </c>
      <c r="T809">
        <v>16.840900000000001</v>
      </c>
    </row>
    <row r="810" spans="1:20" x14ac:dyDescent="0.3">
      <c r="A810" t="s">
        <v>1273</v>
      </c>
      <c r="B810" t="s">
        <v>51</v>
      </c>
      <c r="C810" t="s">
        <v>385</v>
      </c>
      <c r="D810" t="s">
        <v>53</v>
      </c>
      <c r="E810" t="s">
        <v>32</v>
      </c>
      <c r="F810" t="s">
        <v>25</v>
      </c>
      <c r="G810" t="s">
        <v>100</v>
      </c>
      <c r="H810">
        <v>17.75</v>
      </c>
      <c r="I810">
        <v>1</v>
      </c>
      <c r="J810">
        <v>0.88749999999999996</v>
      </c>
      <c r="K810">
        <v>17.75</v>
      </c>
      <c r="L810" s="1">
        <v>43774</v>
      </c>
      <c r="M810" s="2">
        <v>0.44305555555555554</v>
      </c>
      <c r="N810" t="s">
        <v>33</v>
      </c>
      <c r="O810">
        <v>17.75</v>
      </c>
      <c r="P810">
        <v>4.7619047620000003</v>
      </c>
      <c r="Q810">
        <v>0</v>
      </c>
      <c r="R810">
        <v>10</v>
      </c>
      <c r="S810">
        <v>96.089100000000002</v>
      </c>
      <c r="T810">
        <v>21.9588</v>
      </c>
    </row>
    <row r="811" spans="1:20" x14ac:dyDescent="0.3">
      <c r="A811" t="s">
        <v>1274</v>
      </c>
      <c r="B811" t="s">
        <v>29</v>
      </c>
      <c r="C811" t="s">
        <v>79</v>
      </c>
      <c r="D811" t="s">
        <v>31</v>
      </c>
      <c r="E811" t="s">
        <v>32</v>
      </c>
      <c r="F811" t="s">
        <v>25</v>
      </c>
      <c r="G811" t="s">
        <v>100</v>
      </c>
      <c r="H811">
        <v>62.18</v>
      </c>
      <c r="I811">
        <v>12</v>
      </c>
      <c r="J811">
        <v>37.308</v>
      </c>
      <c r="K811">
        <v>746.16</v>
      </c>
      <c r="L811" s="1">
        <v>43681</v>
      </c>
      <c r="M811" s="2">
        <v>0.43958333333333333</v>
      </c>
      <c r="N811" t="s">
        <v>27</v>
      </c>
      <c r="O811">
        <v>621.79999999999995</v>
      </c>
      <c r="P811">
        <v>4.7619047620000003</v>
      </c>
      <c r="Q811">
        <v>124.36</v>
      </c>
      <c r="R811">
        <v>6.3</v>
      </c>
      <c r="S811">
        <v>96.078500000000005</v>
      </c>
      <c r="T811">
        <v>19.763300000000001</v>
      </c>
    </row>
    <row r="812" spans="1:20" x14ac:dyDescent="0.3">
      <c r="A812" t="s">
        <v>1275</v>
      </c>
      <c r="B812" t="s">
        <v>51</v>
      </c>
      <c r="C812" t="s">
        <v>479</v>
      </c>
      <c r="D812" t="s">
        <v>53</v>
      </c>
      <c r="E812" t="s">
        <v>32</v>
      </c>
      <c r="F812" t="s">
        <v>36</v>
      </c>
      <c r="G812" t="s">
        <v>100</v>
      </c>
      <c r="H812">
        <v>10.75</v>
      </c>
      <c r="I812">
        <v>11</v>
      </c>
      <c r="J812">
        <v>5.9124999999999996</v>
      </c>
      <c r="K812">
        <v>118.25</v>
      </c>
      <c r="L812" s="1">
        <v>43731</v>
      </c>
      <c r="M812" s="2">
        <v>0.60972222222222228</v>
      </c>
      <c r="N812" t="s">
        <v>27</v>
      </c>
      <c r="O812">
        <v>86</v>
      </c>
      <c r="P812">
        <v>4.7619047620000003</v>
      </c>
      <c r="Q812">
        <v>32.25</v>
      </c>
      <c r="R812">
        <v>7.44</v>
      </c>
      <c r="S812">
        <v>96.089100000000002</v>
      </c>
      <c r="T812">
        <v>21.9588</v>
      </c>
    </row>
    <row r="813" spans="1:20" x14ac:dyDescent="0.3">
      <c r="A813" t="s">
        <v>1276</v>
      </c>
      <c r="B813" t="s">
        <v>21</v>
      </c>
      <c r="C813" t="s">
        <v>1277</v>
      </c>
      <c r="D813" t="s">
        <v>23</v>
      </c>
      <c r="E813" t="s">
        <v>32</v>
      </c>
      <c r="F813" t="s">
        <v>25</v>
      </c>
      <c r="G813" t="s">
        <v>100</v>
      </c>
      <c r="H813">
        <v>40.26</v>
      </c>
      <c r="I813">
        <v>10</v>
      </c>
      <c r="J813">
        <v>20.13</v>
      </c>
      <c r="K813">
        <v>402.6</v>
      </c>
      <c r="L813" s="1">
        <v>43626</v>
      </c>
      <c r="M813" s="2">
        <v>0.75416666666666665</v>
      </c>
      <c r="N813" t="s">
        <v>37</v>
      </c>
      <c r="O813">
        <v>402.6</v>
      </c>
      <c r="P813">
        <v>4.7619047620000003</v>
      </c>
      <c r="Q813">
        <v>0</v>
      </c>
      <c r="R813">
        <v>5</v>
      </c>
      <c r="S813">
        <v>96.173500000000004</v>
      </c>
      <c r="T813">
        <v>16.840900000000001</v>
      </c>
    </row>
    <row r="814" spans="1:20" x14ac:dyDescent="0.3">
      <c r="A814" t="s">
        <v>1278</v>
      </c>
      <c r="B814" t="s">
        <v>29</v>
      </c>
      <c r="C814" t="s">
        <v>1279</v>
      </c>
      <c r="D814" t="s">
        <v>31</v>
      </c>
      <c r="E814" t="s">
        <v>24</v>
      </c>
      <c r="F814" t="s">
        <v>25</v>
      </c>
      <c r="G814" t="s">
        <v>100</v>
      </c>
      <c r="H814">
        <v>64.97</v>
      </c>
      <c r="I814">
        <v>8</v>
      </c>
      <c r="J814">
        <v>25.988</v>
      </c>
      <c r="K814">
        <v>519.76</v>
      </c>
      <c r="L814" s="1">
        <v>43751</v>
      </c>
      <c r="M814" s="2">
        <v>0.53611111111111109</v>
      </c>
      <c r="N814" t="s">
        <v>37</v>
      </c>
      <c r="O814">
        <v>324.85000000000002</v>
      </c>
      <c r="P814">
        <v>4.7619047620000003</v>
      </c>
      <c r="Q814">
        <v>194.91</v>
      </c>
      <c r="R814">
        <v>6.8250000000000002</v>
      </c>
      <c r="S814">
        <v>96.078500000000005</v>
      </c>
      <c r="T814">
        <v>19.763300000000001</v>
      </c>
    </row>
    <row r="815" spans="1:20" x14ac:dyDescent="0.3">
      <c r="A815" t="s">
        <v>1280</v>
      </c>
      <c r="B815" t="s">
        <v>21</v>
      </c>
      <c r="C815" t="s">
        <v>397</v>
      </c>
      <c r="D815" t="s">
        <v>23</v>
      </c>
      <c r="E815" t="s">
        <v>32</v>
      </c>
      <c r="F815" t="s">
        <v>36</v>
      </c>
      <c r="G815" t="s">
        <v>100</v>
      </c>
      <c r="H815">
        <v>95.15</v>
      </c>
      <c r="I815">
        <v>1</v>
      </c>
      <c r="J815">
        <v>4.7575000000000003</v>
      </c>
      <c r="K815">
        <v>95.15</v>
      </c>
      <c r="L815" s="1">
        <v>43509</v>
      </c>
      <c r="M815" s="2">
        <v>0.58333333333333337</v>
      </c>
      <c r="N815" t="s">
        <v>33</v>
      </c>
      <c r="O815">
        <v>95.15</v>
      </c>
      <c r="P815">
        <v>4.7619047620000003</v>
      </c>
      <c r="Q815">
        <v>0</v>
      </c>
      <c r="R815">
        <v>6</v>
      </c>
      <c r="S815">
        <v>96.173500000000004</v>
      </c>
      <c r="T815">
        <v>16.840900000000001</v>
      </c>
    </row>
    <row r="816" spans="1:20" x14ac:dyDescent="0.3">
      <c r="A816" t="s">
        <v>1281</v>
      </c>
      <c r="B816" t="s">
        <v>21</v>
      </c>
      <c r="C816" t="s">
        <v>1282</v>
      </c>
      <c r="D816" t="s">
        <v>23</v>
      </c>
      <c r="E816" t="s">
        <v>24</v>
      </c>
      <c r="F816" t="s">
        <v>25</v>
      </c>
      <c r="G816" t="s">
        <v>100</v>
      </c>
      <c r="H816">
        <v>48.62</v>
      </c>
      <c r="I816">
        <v>11</v>
      </c>
      <c r="J816">
        <v>26.741</v>
      </c>
      <c r="K816">
        <v>534.82000000000005</v>
      </c>
      <c r="L816" s="1">
        <v>43603</v>
      </c>
      <c r="M816" s="2">
        <v>0.45624999999999999</v>
      </c>
      <c r="N816" t="s">
        <v>33</v>
      </c>
      <c r="O816">
        <v>388.96</v>
      </c>
      <c r="P816">
        <v>4.7619047620000003</v>
      </c>
      <c r="Q816">
        <v>145.86000000000001</v>
      </c>
      <c r="R816">
        <v>5</v>
      </c>
      <c r="S816">
        <v>96.173500000000004</v>
      </c>
      <c r="T816">
        <v>16.840900000000001</v>
      </c>
    </row>
    <row r="817" spans="1:20" x14ac:dyDescent="0.3">
      <c r="A817" t="s">
        <v>1283</v>
      </c>
      <c r="B817" t="s">
        <v>51</v>
      </c>
      <c r="C817" t="s">
        <v>948</v>
      </c>
      <c r="D817" t="s">
        <v>53</v>
      </c>
      <c r="E817" t="s">
        <v>32</v>
      </c>
      <c r="F817" t="s">
        <v>25</v>
      </c>
      <c r="G817" t="s">
        <v>63</v>
      </c>
      <c r="H817">
        <v>53.21</v>
      </c>
      <c r="I817">
        <v>11</v>
      </c>
      <c r="J817">
        <v>29.265499999999999</v>
      </c>
      <c r="K817">
        <v>585.30999999999995</v>
      </c>
      <c r="L817" s="1">
        <v>43822</v>
      </c>
      <c r="M817" s="2">
        <v>0.69791666666666663</v>
      </c>
      <c r="N817" t="s">
        <v>27</v>
      </c>
      <c r="O817">
        <v>425.68</v>
      </c>
      <c r="P817">
        <v>4.7619047620000003</v>
      </c>
      <c r="Q817">
        <v>159.63</v>
      </c>
      <c r="R817">
        <v>6</v>
      </c>
      <c r="S817">
        <v>96.089100000000002</v>
      </c>
      <c r="T817">
        <v>21.9588</v>
      </c>
    </row>
    <row r="818" spans="1:20" x14ac:dyDescent="0.3">
      <c r="A818" t="s">
        <v>1284</v>
      </c>
      <c r="B818" t="s">
        <v>29</v>
      </c>
      <c r="C818" t="s">
        <v>1285</v>
      </c>
      <c r="D818" t="s">
        <v>31</v>
      </c>
      <c r="E818" t="s">
        <v>32</v>
      </c>
      <c r="F818" t="s">
        <v>25</v>
      </c>
      <c r="G818" t="s">
        <v>100</v>
      </c>
      <c r="H818">
        <v>45.44</v>
      </c>
      <c r="I818">
        <v>8</v>
      </c>
      <c r="J818">
        <v>18.175999999999998</v>
      </c>
      <c r="K818">
        <v>363.52</v>
      </c>
      <c r="L818" s="1">
        <v>43764</v>
      </c>
      <c r="M818" s="2">
        <v>0.46875</v>
      </c>
      <c r="N818" t="s">
        <v>33</v>
      </c>
      <c r="O818">
        <v>318.08</v>
      </c>
      <c r="P818">
        <v>4.7619047620000003</v>
      </c>
      <c r="Q818">
        <v>45.44</v>
      </c>
      <c r="R818">
        <v>9.66</v>
      </c>
      <c r="S818">
        <v>96.078500000000005</v>
      </c>
      <c r="T818">
        <v>19.763300000000001</v>
      </c>
    </row>
    <row r="819" spans="1:20" x14ac:dyDescent="0.3">
      <c r="A819" t="s">
        <v>1286</v>
      </c>
      <c r="B819" t="s">
        <v>21</v>
      </c>
      <c r="C819" t="s">
        <v>1016</v>
      </c>
      <c r="D819" t="s">
        <v>23</v>
      </c>
      <c r="E819" t="s">
        <v>32</v>
      </c>
      <c r="F819" t="s">
        <v>36</v>
      </c>
      <c r="G819" t="s">
        <v>63</v>
      </c>
      <c r="H819">
        <v>33.880000000000003</v>
      </c>
      <c r="I819">
        <v>8</v>
      </c>
      <c r="J819">
        <v>13.552</v>
      </c>
      <c r="K819">
        <v>271.04000000000002</v>
      </c>
      <c r="L819" s="1">
        <v>43800</v>
      </c>
      <c r="M819" s="2">
        <v>0.85347222222222219</v>
      </c>
      <c r="N819" t="s">
        <v>27</v>
      </c>
      <c r="O819">
        <v>271.04000000000002</v>
      </c>
      <c r="P819">
        <v>4.7619047620000003</v>
      </c>
      <c r="Q819">
        <v>0</v>
      </c>
      <c r="R819">
        <v>9.6</v>
      </c>
      <c r="S819">
        <v>96.173500000000004</v>
      </c>
      <c r="T819">
        <v>16.840900000000001</v>
      </c>
    </row>
    <row r="820" spans="1:20" x14ac:dyDescent="0.3">
      <c r="A820" t="s">
        <v>1287</v>
      </c>
      <c r="B820" t="s">
        <v>21</v>
      </c>
      <c r="C820" t="s">
        <v>382</v>
      </c>
      <c r="D820" t="s">
        <v>53</v>
      </c>
      <c r="E820" t="s">
        <v>24</v>
      </c>
      <c r="F820" t="s">
        <v>36</v>
      </c>
      <c r="G820" t="s">
        <v>26</v>
      </c>
      <c r="H820">
        <v>96.16</v>
      </c>
      <c r="I820">
        <v>8</v>
      </c>
      <c r="J820">
        <v>38.463999999999999</v>
      </c>
      <c r="K820">
        <v>769.28</v>
      </c>
      <c r="L820" s="1">
        <v>43663</v>
      </c>
      <c r="M820" s="2">
        <v>0.8354166666666667</v>
      </c>
      <c r="N820" t="s">
        <v>37</v>
      </c>
      <c r="O820">
        <v>384.64</v>
      </c>
      <c r="P820">
        <v>4.7619047620000003</v>
      </c>
      <c r="Q820">
        <v>384.64</v>
      </c>
      <c r="R820">
        <v>10</v>
      </c>
      <c r="S820">
        <v>96.089100000000002</v>
      </c>
      <c r="T820">
        <v>21.9588</v>
      </c>
    </row>
    <row r="821" spans="1:20" x14ac:dyDescent="0.3">
      <c r="A821" t="s">
        <v>1288</v>
      </c>
      <c r="B821" t="s">
        <v>21</v>
      </c>
      <c r="C821" t="s">
        <v>134</v>
      </c>
      <c r="D821" t="s">
        <v>53</v>
      </c>
      <c r="E821" t="s">
        <v>24</v>
      </c>
      <c r="F821" t="s">
        <v>36</v>
      </c>
      <c r="G821" t="s">
        <v>63</v>
      </c>
      <c r="H821">
        <v>47.16</v>
      </c>
      <c r="I821">
        <v>10</v>
      </c>
      <c r="J821">
        <v>23.58</v>
      </c>
      <c r="K821">
        <v>471.6</v>
      </c>
      <c r="L821" s="1">
        <v>43626</v>
      </c>
      <c r="M821" s="2">
        <v>0.60763888888888884</v>
      </c>
      <c r="N821" t="s">
        <v>37</v>
      </c>
      <c r="O821">
        <v>235.8</v>
      </c>
      <c r="P821">
        <v>4.7619047620000003</v>
      </c>
      <c r="Q821">
        <v>235.8</v>
      </c>
      <c r="R821">
        <v>7.46</v>
      </c>
      <c r="S821">
        <v>96.089100000000002</v>
      </c>
      <c r="T821">
        <v>21.9588</v>
      </c>
    </row>
    <row r="822" spans="1:20" x14ac:dyDescent="0.3">
      <c r="A822" t="s">
        <v>1289</v>
      </c>
      <c r="B822" t="s">
        <v>21</v>
      </c>
      <c r="C822" t="s">
        <v>498</v>
      </c>
      <c r="D822" t="s">
        <v>53</v>
      </c>
      <c r="E822" t="s">
        <v>32</v>
      </c>
      <c r="F822" t="s">
        <v>36</v>
      </c>
      <c r="G822" t="s">
        <v>60</v>
      </c>
      <c r="H822">
        <v>52.89</v>
      </c>
      <c r="I822">
        <v>6</v>
      </c>
      <c r="J822">
        <v>15.867000000000001</v>
      </c>
      <c r="K822">
        <v>317.33999999999997</v>
      </c>
      <c r="L822" s="1">
        <v>43524</v>
      </c>
      <c r="M822" s="2">
        <v>0.68888888888888888</v>
      </c>
      <c r="N822" t="s">
        <v>27</v>
      </c>
      <c r="O822">
        <v>211.56</v>
      </c>
      <c r="P822">
        <v>4.7619047620000003</v>
      </c>
      <c r="Q822">
        <v>105.78</v>
      </c>
      <c r="R822">
        <v>7.46</v>
      </c>
      <c r="S822">
        <v>96.089100000000002</v>
      </c>
      <c r="T822">
        <v>21.9588</v>
      </c>
    </row>
    <row r="823" spans="1:20" x14ac:dyDescent="0.3">
      <c r="A823" t="s">
        <v>1290</v>
      </c>
      <c r="B823" t="s">
        <v>21</v>
      </c>
      <c r="C823" t="s">
        <v>994</v>
      </c>
      <c r="D823" t="s">
        <v>23</v>
      </c>
      <c r="E823" t="s">
        <v>24</v>
      </c>
      <c r="F823" t="s">
        <v>25</v>
      </c>
      <c r="G823" t="s">
        <v>77</v>
      </c>
      <c r="H823">
        <v>47.68</v>
      </c>
      <c r="I823">
        <v>3</v>
      </c>
      <c r="J823">
        <v>7.1520000000000001</v>
      </c>
      <c r="K823">
        <v>143.04</v>
      </c>
      <c r="L823" s="1">
        <v>43702</v>
      </c>
      <c r="M823" s="2">
        <v>0.4236111111111111</v>
      </c>
      <c r="N823" t="s">
        <v>37</v>
      </c>
      <c r="O823">
        <v>95.36</v>
      </c>
      <c r="P823">
        <v>4.7619047620000003</v>
      </c>
      <c r="Q823">
        <v>47.68</v>
      </c>
      <c r="R823">
        <v>7.46</v>
      </c>
      <c r="S823">
        <v>96.173500000000004</v>
      </c>
      <c r="T823">
        <v>16.840900000000001</v>
      </c>
    </row>
    <row r="824" spans="1:20" x14ac:dyDescent="0.3">
      <c r="A824" t="s">
        <v>1291</v>
      </c>
      <c r="B824" t="s">
        <v>29</v>
      </c>
      <c r="C824" t="s">
        <v>1292</v>
      </c>
      <c r="D824" t="s">
        <v>31</v>
      </c>
      <c r="E824" t="s">
        <v>24</v>
      </c>
      <c r="F824" t="s">
        <v>36</v>
      </c>
      <c r="G824" t="s">
        <v>68</v>
      </c>
      <c r="H824">
        <v>10.17</v>
      </c>
      <c r="I824">
        <v>1</v>
      </c>
      <c r="J824">
        <v>0.50849999999999995</v>
      </c>
      <c r="K824">
        <v>10.17</v>
      </c>
      <c r="L824" s="1">
        <v>43733</v>
      </c>
      <c r="M824" s="2">
        <v>0.59375</v>
      </c>
      <c r="N824" t="s">
        <v>33</v>
      </c>
      <c r="O824">
        <v>10.17</v>
      </c>
      <c r="P824">
        <v>4.7619047620000003</v>
      </c>
      <c r="Q824">
        <v>0</v>
      </c>
      <c r="R824">
        <v>7.46</v>
      </c>
      <c r="S824">
        <v>96.078500000000005</v>
      </c>
      <c r="T824">
        <v>19.763300000000001</v>
      </c>
    </row>
    <row r="825" spans="1:20" x14ac:dyDescent="0.3">
      <c r="A825" t="s">
        <v>1293</v>
      </c>
      <c r="B825" t="s">
        <v>21</v>
      </c>
      <c r="C825" t="s">
        <v>1294</v>
      </c>
      <c r="D825" t="s">
        <v>23</v>
      </c>
      <c r="E825" t="s">
        <v>32</v>
      </c>
      <c r="F825" t="s">
        <v>25</v>
      </c>
      <c r="G825" t="s">
        <v>68</v>
      </c>
      <c r="H825">
        <v>68.709999999999994</v>
      </c>
      <c r="I825">
        <v>3</v>
      </c>
      <c r="J825">
        <v>10.3065</v>
      </c>
      <c r="K825">
        <v>206.13</v>
      </c>
      <c r="L825" s="1">
        <v>43756</v>
      </c>
      <c r="M825" s="2">
        <v>0.4201388888888889</v>
      </c>
      <c r="N825" t="s">
        <v>33</v>
      </c>
      <c r="O825">
        <v>206.13</v>
      </c>
      <c r="P825">
        <v>4.7619047620000003</v>
      </c>
      <c r="Q825">
        <v>0</v>
      </c>
      <c r="R825">
        <v>7.46</v>
      </c>
      <c r="S825">
        <v>96.173500000000004</v>
      </c>
      <c r="T825">
        <v>16.840900000000001</v>
      </c>
    </row>
    <row r="826" spans="1:20" x14ac:dyDescent="0.3">
      <c r="A826" t="s">
        <v>1295</v>
      </c>
      <c r="B826" t="s">
        <v>51</v>
      </c>
      <c r="C826" t="s">
        <v>123</v>
      </c>
      <c r="D826" t="s">
        <v>53</v>
      </c>
      <c r="E826" t="s">
        <v>24</v>
      </c>
      <c r="F826" t="s">
        <v>25</v>
      </c>
      <c r="G826" t="s">
        <v>68</v>
      </c>
      <c r="H826">
        <v>60.08</v>
      </c>
      <c r="I826">
        <v>14</v>
      </c>
      <c r="J826">
        <v>42.055999999999997</v>
      </c>
      <c r="K826">
        <v>841.12</v>
      </c>
      <c r="L826" s="1">
        <v>43746</v>
      </c>
      <c r="M826" s="2">
        <v>0.48333333333333334</v>
      </c>
      <c r="N826" t="s">
        <v>37</v>
      </c>
      <c r="O826">
        <v>420.56</v>
      </c>
      <c r="P826">
        <v>4.7619047620000003</v>
      </c>
      <c r="Q826">
        <v>420.56</v>
      </c>
      <c r="R826">
        <v>7.46</v>
      </c>
      <c r="S826">
        <v>96.089100000000002</v>
      </c>
      <c r="T826">
        <v>21.9588</v>
      </c>
    </row>
    <row r="827" spans="1:20" x14ac:dyDescent="0.3">
      <c r="A827" t="s">
        <v>1296</v>
      </c>
      <c r="B827" t="s">
        <v>21</v>
      </c>
      <c r="C827" t="s">
        <v>1297</v>
      </c>
      <c r="D827" t="s">
        <v>23</v>
      </c>
      <c r="E827" t="s">
        <v>24</v>
      </c>
      <c r="F827" t="s">
        <v>25</v>
      </c>
      <c r="G827" t="s">
        <v>68</v>
      </c>
      <c r="H827">
        <v>22.01</v>
      </c>
      <c r="I827">
        <v>6</v>
      </c>
      <c r="J827">
        <v>6.6029999999999998</v>
      </c>
      <c r="K827">
        <v>132.06</v>
      </c>
      <c r="L827" s="1">
        <v>43630</v>
      </c>
      <c r="M827" s="2">
        <v>0.76041666666666663</v>
      </c>
      <c r="N827" t="s">
        <v>37</v>
      </c>
      <c r="O827">
        <v>88.04</v>
      </c>
      <c r="P827">
        <v>4.7619047620000003</v>
      </c>
      <c r="Q827">
        <v>44.02</v>
      </c>
      <c r="R827">
        <v>7.46</v>
      </c>
      <c r="S827">
        <v>96.173500000000004</v>
      </c>
      <c r="T827">
        <v>16.840900000000001</v>
      </c>
    </row>
    <row r="828" spans="1:20" x14ac:dyDescent="0.3">
      <c r="A828" t="s">
        <v>1298</v>
      </c>
      <c r="B828" t="s">
        <v>51</v>
      </c>
      <c r="C828" t="s">
        <v>104</v>
      </c>
      <c r="D828" t="s">
        <v>53</v>
      </c>
      <c r="E828" t="s">
        <v>24</v>
      </c>
      <c r="F828" t="s">
        <v>25</v>
      </c>
      <c r="G828" t="s">
        <v>68</v>
      </c>
      <c r="H828">
        <v>72.11</v>
      </c>
      <c r="I828">
        <v>18</v>
      </c>
      <c r="J828">
        <v>64.899000000000001</v>
      </c>
      <c r="K828">
        <v>1297.98</v>
      </c>
      <c r="L828" s="1">
        <v>43767</v>
      </c>
      <c r="M828" s="2">
        <v>0.57847222222222228</v>
      </c>
      <c r="N828" t="s">
        <v>37</v>
      </c>
      <c r="O828">
        <v>648.99</v>
      </c>
      <c r="P828">
        <v>4.7619047620000003</v>
      </c>
      <c r="Q828">
        <v>648.99</v>
      </c>
      <c r="R828">
        <v>7.46</v>
      </c>
      <c r="S828">
        <v>96.089100000000002</v>
      </c>
      <c r="T828">
        <v>21.9588</v>
      </c>
    </row>
    <row r="829" spans="1:20" x14ac:dyDescent="0.3">
      <c r="A829" t="s">
        <v>1299</v>
      </c>
      <c r="B829" t="s">
        <v>21</v>
      </c>
      <c r="C829" t="s">
        <v>1300</v>
      </c>
      <c r="D829" t="s">
        <v>23</v>
      </c>
      <c r="E829" t="s">
        <v>24</v>
      </c>
      <c r="F829" t="s">
        <v>36</v>
      </c>
      <c r="G829" t="s">
        <v>68</v>
      </c>
      <c r="H829">
        <v>41.28</v>
      </c>
      <c r="I829">
        <v>4</v>
      </c>
      <c r="J829">
        <v>8.2560000000000002</v>
      </c>
      <c r="K829">
        <v>165.12</v>
      </c>
      <c r="L829" s="1">
        <v>43815</v>
      </c>
      <c r="M829" s="2">
        <v>0.77569444444444446</v>
      </c>
      <c r="N829" t="s">
        <v>37</v>
      </c>
      <c r="O829">
        <v>123.84</v>
      </c>
      <c r="P829">
        <v>4.7619047620000003</v>
      </c>
      <c r="Q829">
        <v>41.28</v>
      </c>
      <c r="R829">
        <v>7.46</v>
      </c>
      <c r="S829">
        <v>96.173500000000004</v>
      </c>
      <c r="T829">
        <v>16.840900000000001</v>
      </c>
    </row>
    <row r="830" spans="1:20" x14ac:dyDescent="0.3">
      <c r="A830" t="s">
        <v>1301</v>
      </c>
      <c r="B830" t="s">
        <v>29</v>
      </c>
      <c r="C830" t="s">
        <v>534</v>
      </c>
      <c r="D830" t="s">
        <v>31</v>
      </c>
      <c r="E830" t="s">
        <v>32</v>
      </c>
      <c r="F830" t="s">
        <v>36</v>
      </c>
      <c r="G830" t="s">
        <v>68</v>
      </c>
      <c r="H830">
        <v>64.95</v>
      </c>
      <c r="I830">
        <v>12</v>
      </c>
      <c r="J830">
        <v>38.97</v>
      </c>
      <c r="K830">
        <v>779.4</v>
      </c>
      <c r="L830" s="1">
        <v>43467</v>
      </c>
      <c r="M830" s="2">
        <v>0.76875000000000004</v>
      </c>
      <c r="N830" t="s">
        <v>33</v>
      </c>
      <c r="O830">
        <v>649.5</v>
      </c>
      <c r="P830">
        <v>4.7619047620000003</v>
      </c>
      <c r="Q830">
        <v>129.9</v>
      </c>
      <c r="R830">
        <v>7.46</v>
      </c>
      <c r="S830">
        <v>96.078500000000005</v>
      </c>
      <c r="T830">
        <v>19.763300000000001</v>
      </c>
    </row>
    <row r="831" spans="1:20" x14ac:dyDescent="0.3">
      <c r="A831" t="s">
        <v>1302</v>
      </c>
      <c r="B831" t="s">
        <v>21</v>
      </c>
      <c r="C831" t="s">
        <v>1146</v>
      </c>
      <c r="D831" t="s">
        <v>23</v>
      </c>
      <c r="E831" t="s">
        <v>24</v>
      </c>
      <c r="F831" t="s">
        <v>25</v>
      </c>
      <c r="G831" t="s">
        <v>68</v>
      </c>
      <c r="H831">
        <v>74.22</v>
      </c>
      <c r="I831">
        <v>14</v>
      </c>
      <c r="J831">
        <v>51.954000000000001</v>
      </c>
      <c r="K831">
        <v>1039.08</v>
      </c>
      <c r="L831" s="1">
        <v>43815</v>
      </c>
      <c r="M831" s="2">
        <v>0.61250000000000004</v>
      </c>
      <c r="N831" t="s">
        <v>37</v>
      </c>
      <c r="O831">
        <v>742.2</v>
      </c>
      <c r="P831">
        <v>4.7619047620000003</v>
      </c>
      <c r="Q831">
        <v>296.88</v>
      </c>
      <c r="R831">
        <v>7.46</v>
      </c>
      <c r="S831">
        <v>96.173500000000004</v>
      </c>
      <c r="T831">
        <v>16.840900000000001</v>
      </c>
    </row>
    <row r="832" spans="1:20" x14ac:dyDescent="0.3">
      <c r="A832" t="s">
        <v>1303</v>
      </c>
      <c r="B832" t="s">
        <v>21</v>
      </c>
      <c r="C832" t="s">
        <v>311</v>
      </c>
      <c r="D832" t="s">
        <v>23</v>
      </c>
      <c r="E832" t="s">
        <v>32</v>
      </c>
      <c r="F832" t="s">
        <v>36</v>
      </c>
      <c r="G832" t="s">
        <v>68</v>
      </c>
      <c r="H832">
        <v>10.56</v>
      </c>
      <c r="I832">
        <v>8</v>
      </c>
      <c r="J832">
        <v>4.2240000000000002</v>
      </c>
      <c r="K832">
        <v>84.48</v>
      </c>
      <c r="L832" s="1">
        <v>43743</v>
      </c>
      <c r="M832" s="2">
        <v>0.73819444444444449</v>
      </c>
      <c r="N832" t="s">
        <v>33</v>
      </c>
      <c r="O832">
        <v>84.48</v>
      </c>
      <c r="P832">
        <v>4.7619047620000003</v>
      </c>
      <c r="Q832">
        <v>0</v>
      </c>
      <c r="R832">
        <v>7.46</v>
      </c>
      <c r="S832">
        <v>96.173500000000004</v>
      </c>
      <c r="T832">
        <v>16.840900000000001</v>
      </c>
    </row>
    <row r="833" spans="1:20" x14ac:dyDescent="0.3">
      <c r="A833" t="s">
        <v>1304</v>
      </c>
      <c r="B833" t="s">
        <v>51</v>
      </c>
      <c r="C833" t="s">
        <v>382</v>
      </c>
      <c r="D833" t="s">
        <v>53</v>
      </c>
      <c r="E833" t="s">
        <v>32</v>
      </c>
      <c r="F833" t="s">
        <v>36</v>
      </c>
      <c r="G833" t="s">
        <v>68</v>
      </c>
      <c r="H833">
        <v>62.57</v>
      </c>
      <c r="I833">
        <v>6</v>
      </c>
      <c r="J833">
        <v>18.771000000000001</v>
      </c>
      <c r="K833">
        <v>375.42</v>
      </c>
      <c r="L833" s="1">
        <v>43796</v>
      </c>
      <c r="M833" s="2">
        <v>0.77569444444444446</v>
      </c>
      <c r="N833" t="s">
        <v>33</v>
      </c>
      <c r="O833">
        <v>250.28</v>
      </c>
      <c r="P833">
        <v>4.7619047620000003</v>
      </c>
      <c r="Q833">
        <v>125.14</v>
      </c>
      <c r="R833">
        <v>7.46</v>
      </c>
      <c r="S833">
        <v>96.089100000000002</v>
      </c>
      <c r="T833">
        <v>21.9588</v>
      </c>
    </row>
    <row r="834" spans="1:20" x14ac:dyDescent="0.3">
      <c r="A834" t="s">
        <v>1305</v>
      </c>
      <c r="B834" t="s">
        <v>51</v>
      </c>
      <c r="C834" t="s">
        <v>356</v>
      </c>
      <c r="D834" t="s">
        <v>53</v>
      </c>
      <c r="E834" t="s">
        <v>24</v>
      </c>
      <c r="F834" t="s">
        <v>25</v>
      </c>
      <c r="G834" t="s">
        <v>68</v>
      </c>
      <c r="H834">
        <v>11.85</v>
      </c>
      <c r="I834">
        <v>15</v>
      </c>
      <c r="J834">
        <v>8.8874999999999993</v>
      </c>
      <c r="K834">
        <v>177.75</v>
      </c>
      <c r="L834" s="1">
        <v>43730</v>
      </c>
      <c r="M834" s="2">
        <v>0.69027777777777777</v>
      </c>
      <c r="N834" t="s">
        <v>33</v>
      </c>
      <c r="O834">
        <v>94.8</v>
      </c>
      <c r="P834">
        <v>4.7619047620000003</v>
      </c>
      <c r="Q834">
        <v>82.95</v>
      </c>
      <c r="R834">
        <v>7.46</v>
      </c>
      <c r="S834">
        <v>96.089100000000002</v>
      </c>
      <c r="T834">
        <v>21.9588</v>
      </c>
    </row>
    <row r="835" spans="1:20" x14ac:dyDescent="0.3">
      <c r="A835" t="s">
        <v>1306</v>
      </c>
      <c r="B835" t="s">
        <v>21</v>
      </c>
      <c r="C835" t="s">
        <v>1307</v>
      </c>
      <c r="D835" t="s">
        <v>23</v>
      </c>
      <c r="E835" t="s">
        <v>24</v>
      </c>
      <c r="F835" t="s">
        <v>36</v>
      </c>
      <c r="G835" t="s">
        <v>26</v>
      </c>
      <c r="H835">
        <v>91.3</v>
      </c>
      <c r="I835">
        <v>1</v>
      </c>
      <c r="J835">
        <v>4.5650000000000004</v>
      </c>
      <c r="K835">
        <v>91.3</v>
      </c>
      <c r="L835" s="1">
        <v>43766</v>
      </c>
      <c r="M835" s="2">
        <v>0.61250000000000004</v>
      </c>
      <c r="N835" t="s">
        <v>27</v>
      </c>
      <c r="O835">
        <v>91.3</v>
      </c>
      <c r="P835">
        <v>4.7619047620000003</v>
      </c>
      <c r="Q835">
        <v>0</v>
      </c>
      <c r="R835">
        <v>9.1999999999999993</v>
      </c>
      <c r="S835">
        <v>96.173500000000004</v>
      </c>
      <c r="T835">
        <v>16.840900000000001</v>
      </c>
    </row>
    <row r="836" spans="1:20" x14ac:dyDescent="0.3">
      <c r="A836" t="s">
        <v>1308</v>
      </c>
      <c r="B836" t="s">
        <v>51</v>
      </c>
      <c r="C836" t="s">
        <v>123</v>
      </c>
      <c r="D836" t="s">
        <v>53</v>
      </c>
      <c r="E836" t="s">
        <v>32</v>
      </c>
      <c r="F836" t="s">
        <v>25</v>
      </c>
      <c r="G836" t="s">
        <v>77</v>
      </c>
      <c r="H836">
        <v>40.729999999999997</v>
      </c>
      <c r="I836">
        <v>10</v>
      </c>
      <c r="J836">
        <v>20.364999999999998</v>
      </c>
      <c r="K836">
        <v>407.3</v>
      </c>
      <c r="L836" s="1">
        <v>43805</v>
      </c>
      <c r="M836" s="2">
        <v>0.45902777777777776</v>
      </c>
      <c r="N836" t="s">
        <v>27</v>
      </c>
      <c r="O836">
        <v>285.11</v>
      </c>
      <c r="P836">
        <v>4.7619047620000003</v>
      </c>
      <c r="Q836">
        <v>122.19</v>
      </c>
      <c r="R836">
        <v>6.48</v>
      </c>
      <c r="S836">
        <v>96.089100000000002</v>
      </c>
      <c r="T836">
        <v>21.9588</v>
      </c>
    </row>
    <row r="837" spans="1:20" x14ac:dyDescent="0.3">
      <c r="A837" t="s">
        <v>1309</v>
      </c>
      <c r="B837" t="s">
        <v>21</v>
      </c>
      <c r="C837" t="s">
        <v>1132</v>
      </c>
      <c r="D837" t="s">
        <v>23</v>
      </c>
      <c r="E837" t="s">
        <v>32</v>
      </c>
      <c r="F837" t="s">
        <v>36</v>
      </c>
      <c r="G837" t="s">
        <v>100</v>
      </c>
      <c r="H837">
        <v>52.38</v>
      </c>
      <c r="I837">
        <v>1</v>
      </c>
      <c r="J837">
        <v>2.6190000000000002</v>
      </c>
      <c r="K837">
        <v>52.38</v>
      </c>
      <c r="L837" s="1">
        <v>43673</v>
      </c>
      <c r="M837" s="2">
        <v>0.82222222222222219</v>
      </c>
      <c r="N837" t="s">
        <v>33</v>
      </c>
      <c r="O837">
        <v>52.38</v>
      </c>
      <c r="P837">
        <v>4.7619047620000003</v>
      </c>
      <c r="Q837">
        <v>0</v>
      </c>
      <c r="R837">
        <v>5.8</v>
      </c>
      <c r="S837">
        <v>96.173500000000004</v>
      </c>
      <c r="T837">
        <v>16.840900000000001</v>
      </c>
    </row>
    <row r="838" spans="1:20" x14ac:dyDescent="0.3">
      <c r="A838" t="s">
        <v>1310</v>
      </c>
      <c r="B838" t="s">
        <v>21</v>
      </c>
      <c r="C838" t="s">
        <v>185</v>
      </c>
      <c r="D838" t="s">
        <v>23</v>
      </c>
      <c r="E838" t="s">
        <v>32</v>
      </c>
      <c r="F838" t="s">
        <v>36</v>
      </c>
      <c r="G838" t="s">
        <v>100</v>
      </c>
      <c r="H838">
        <v>38.54</v>
      </c>
      <c r="I838">
        <v>5</v>
      </c>
      <c r="J838">
        <v>9.6349999999999998</v>
      </c>
      <c r="K838">
        <v>192.7</v>
      </c>
      <c r="L838" s="1">
        <v>43511</v>
      </c>
      <c r="M838" s="2">
        <v>0.56527777777777777</v>
      </c>
      <c r="N838" t="s">
        <v>27</v>
      </c>
      <c r="O838">
        <v>192.7</v>
      </c>
      <c r="P838">
        <v>4.7619047620000003</v>
      </c>
      <c r="Q838">
        <v>0</v>
      </c>
      <c r="R838">
        <v>5.6</v>
      </c>
      <c r="S838">
        <v>96.173500000000004</v>
      </c>
      <c r="T838">
        <v>16.840900000000001</v>
      </c>
    </row>
    <row r="839" spans="1:20" x14ac:dyDescent="0.3">
      <c r="A839" t="s">
        <v>1311</v>
      </c>
      <c r="B839" t="s">
        <v>51</v>
      </c>
      <c r="C839" t="s">
        <v>83</v>
      </c>
      <c r="D839" t="s">
        <v>53</v>
      </c>
      <c r="E839" t="s">
        <v>32</v>
      </c>
      <c r="F839" t="s">
        <v>36</v>
      </c>
      <c r="G839" t="s">
        <v>68</v>
      </c>
      <c r="H839">
        <v>44.63</v>
      </c>
      <c r="I839">
        <v>8</v>
      </c>
      <c r="J839">
        <v>17.852</v>
      </c>
      <c r="K839">
        <v>357.04</v>
      </c>
      <c r="L839" s="1">
        <v>43485</v>
      </c>
      <c r="M839" s="2">
        <v>0.83888888888888891</v>
      </c>
      <c r="N839" t="s">
        <v>37</v>
      </c>
      <c r="O839">
        <v>267.77999999999997</v>
      </c>
      <c r="P839">
        <v>4.7619047620000003</v>
      </c>
      <c r="Q839">
        <v>89.26</v>
      </c>
      <c r="R839">
        <v>6.12</v>
      </c>
      <c r="S839">
        <v>96.089100000000002</v>
      </c>
      <c r="T839">
        <v>21.9588</v>
      </c>
    </row>
    <row r="840" spans="1:20" x14ac:dyDescent="0.3">
      <c r="A840" t="s">
        <v>1312</v>
      </c>
      <c r="B840" t="s">
        <v>29</v>
      </c>
      <c r="C840" t="s">
        <v>658</v>
      </c>
      <c r="D840" t="s">
        <v>31</v>
      </c>
      <c r="E840" t="s">
        <v>32</v>
      </c>
      <c r="F840" t="s">
        <v>36</v>
      </c>
      <c r="G840" t="s">
        <v>60</v>
      </c>
      <c r="H840">
        <v>55.87</v>
      </c>
      <c r="I840">
        <v>12</v>
      </c>
      <c r="J840">
        <v>33.521999999999998</v>
      </c>
      <c r="K840">
        <v>670.44</v>
      </c>
      <c r="L840" s="1">
        <v>43792</v>
      </c>
      <c r="M840" s="2">
        <v>0.62569444444444444</v>
      </c>
      <c r="N840" t="s">
        <v>33</v>
      </c>
      <c r="O840">
        <v>558.70000000000005</v>
      </c>
      <c r="P840">
        <v>4.7619047620000003</v>
      </c>
      <c r="Q840">
        <v>111.74</v>
      </c>
      <c r="R840">
        <v>6.09</v>
      </c>
      <c r="S840">
        <v>96.078500000000005</v>
      </c>
      <c r="T840">
        <v>19.763300000000001</v>
      </c>
    </row>
    <row r="841" spans="1:20" x14ac:dyDescent="0.3">
      <c r="A841" t="s">
        <v>1313</v>
      </c>
      <c r="B841" t="s">
        <v>29</v>
      </c>
      <c r="C841" t="s">
        <v>1064</v>
      </c>
      <c r="D841" t="s">
        <v>31</v>
      </c>
      <c r="E841" t="s">
        <v>32</v>
      </c>
      <c r="F841" t="s">
        <v>25</v>
      </c>
      <c r="G841" t="s">
        <v>68</v>
      </c>
      <c r="H841">
        <v>29.22</v>
      </c>
      <c r="I841">
        <v>7</v>
      </c>
      <c r="J841">
        <v>10.227</v>
      </c>
      <c r="K841">
        <v>204.54</v>
      </c>
      <c r="L841" s="1">
        <v>43691</v>
      </c>
      <c r="M841" s="2">
        <v>0.4861111111111111</v>
      </c>
      <c r="N841" t="s">
        <v>27</v>
      </c>
      <c r="O841">
        <v>175.32</v>
      </c>
      <c r="P841">
        <v>4.7619047620000003</v>
      </c>
      <c r="Q841">
        <v>29.22</v>
      </c>
      <c r="R841">
        <v>5.25</v>
      </c>
      <c r="S841">
        <v>96.078500000000005</v>
      </c>
      <c r="T841">
        <v>19.763300000000001</v>
      </c>
    </row>
    <row r="842" spans="1:20" x14ac:dyDescent="0.3">
      <c r="A842" t="s">
        <v>1314</v>
      </c>
      <c r="B842" t="s">
        <v>21</v>
      </c>
      <c r="C842" t="s">
        <v>714</v>
      </c>
      <c r="D842" t="s">
        <v>23</v>
      </c>
      <c r="E842" t="s">
        <v>32</v>
      </c>
      <c r="F842" t="s">
        <v>36</v>
      </c>
      <c r="G842" t="s">
        <v>100</v>
      </c>
      <c r="H842">
        <v>51.94</v>
      </c>
      <c r="I842">
        <v>3</v>
      </c>
      <c r="J842">
        <v>7.7910000000000004</v>
      </c>
      <c r="K842">
        <v>155.82</v>
      </c>
      <c r="L842" s="1">
        <v>43739</v>
      </c>
      <c r="M842" s="2">
        <v>0.63958333333333328</v>
      </c>
      <c r="N842" t="s">
        <v>33</v>
      </c>
      <c r="O842">
        <v>155.82</v>
      </c>
      <c r="P842">
        <v>4.7619047620000003</v>
      </c>
      <c r="Q842">
        <v>0</v>
      </c>
      <c r="R842">
        <v>7.9</v>
      </c>
      <c r="S842">
        <v>96.173500000000004</v>
      </c>
      <c r="T842">
        <v>16.840900000000001</v>
      </c>
    </row>
    <row r="843" spans="1:20" x14ac:dyDescent="0.3">
      <c r="A843" t="s">
        <v>1315</v>
      </c>
      <c r="B843" t="s">
        <v>51</v>
      </c>
      <c r="C843" t="s">
        <v>454</v>
      </c>
      <c r="D843" t="s">
        <v>53</v>
      </c>
      <c r="E843" t="s">
        <v>32</v>
      </c>
      <c r="F843" t="s">
        <v>36</v>
      </c>
      <c r="G843" t="s">
        <v>60</v>
      </c>
      <c r="H843">
        <v>60.3</v>
      </c>
      <c r="I843">
        <v>1</v>
      </c>
      <c r="J843">
        <v>3.0150000000000001</v>
      </c>
      <c r="K843">
        <v>60.3</v>
      </c>
      <c r="L843" s="1">
        <v>43672</v>
      </c>
      <c r="M843" s="2">
        <v>0.73472222222222228</v>
      </c>
      <c r="N843" t="s">
        <v>33</v>
      </c>
      <c r="O843">
        <v>60.3</v>
      </c>
      <c r="P843">
        <v>4.7619047620000003</v>
      </c>
      <c r="Q843">
        <v>0</v>
      </c>
      <c r="R843">
        <v>7.2</v>
      </c>
      <c r="S843">
        <v>96.089100000000002</v>
      </c>
      <c r="T843">
        <v>21.9588</v>
      </c>
    </row>
    <row r="844" spans="1:20" x14ac:dyDescent="0.3">
      <c r="A844" t="s">
        <v>1316</v>
      </c>
      <c r="B844" t="s">
        <v>21</v>
      </c>
      <c r="C844" t="s">
        <v>152</v>
      </c>
      <c r="D844" t="s">
        <v>23</v>
      </c>
      <c r="E844" t="s">
        <v>32</v>
      </c>
      <c r="F844" t="s">
        <v>25</v>
      </c>
      <c r="G844" t="s">
        <v>68</v>
      </c>
      <c r="H844">
        <v>39.47</v>
      </c>
      <c r="I844">
        <v>2</v>
      </c>
      <c r="J844">
        <v>3.9470000000000001</v>
      </c>
      <c r="K844">
        <v>78.94</v>
      </c>
      <c r="L844" s="1">
        <v>43608</v>
      </c>
      <c r="M844" s="2">
        <v>0.67777777777777781</v>
      </c>
      <c r="N844" t="s">
        <v>37</v>
      </c>
      <c r="O844">
        <v>78.94</v>
      </c>
      <c r="P844">
        <v>4.7619047620000003</v>
      </c>
      <c r="Q844">
        <v>0</v>
      </c>
      <c r="R844">
        <v>5</v>
      </c>
      <c r="S844">
        <v>96.173500000000004</v>
      </c>
      <c r="T844">
        <v>16.840900000000001</v>
      </c>
    </row>
    <row r="845" spans="1:20" x14ac:dyDescent="0.3">
      <c r="A845" t="s">
        <v>1317</v>
      </c>
      <c r="B845" t="s">
        <v>29</v>
      </c>
      <c r="C845" t="s">
        <v>1318</v>
      </c>
      <c r="D845" t="s">
        <v>31</v>
      </c>
      <c r="E845" t="s">
        <v>32</v>
      </c>
      <c r="F845" t="s">
        <v>25</v>
      </c>
      <c r="G845" t="s">
        <v>63</v>
      </c>
      <c r="H845">
        <v>14.87</v>
      </c>
      <c r="I845">
        <v>2</v>
      </c>
      <c r="J845">
        <v>1.4870000000000001</v>
      </c>
      <c r="K845">
        <v>29.74</v>
      </c>
      <c r="L845" s="1">
        <v>43586</v>
      </c>
      <c r="M845" s="2">
        <v>0.76041666666666663</v>
      </c>
      <c r="N845" t="s">
        <v>37</v>
      </c>
      <c r="O845">
        <v>29.74</v>
      </c>
      <c r="P845">
        <v>4.7619047620000003</v>
      </c>
      <c r="Q845">
        <v>0</v>
      </c>
      <c r="R845">
        <v>9.3450000000000006</v>
      </c>
      <c r="S845">
        <v>96.078500000000005</v>
      </c>
      <c r="T845">
        <v>19.763300000000001</v>
      </c>
    </row>
    <row r="846" spans="1:20" x14ac:dyDescent="0.3">
      <c r="A846" t="s">
        <v>1319</v>
      </c>
      <c r="B846" t="s">
        <v>21</v>
      </c>
      <c r="C846" t="s">
        <v>432</v>
      </c>
      <c r="D846" t="s">
        <v>23</v>
      </c>
      <c r="E846" t="s">
        <v>32</v>
      </c>
      <c r="F846" t="s">
        <v>36</v>
      </c>
      <c r="G846" t="s">
        <v>100</v>
      </c>
      <c r="H846">
        <v>21.32</v>
      </c>
      <c r="I846">
        <v>1</v>
      </c>
      <c r="J846">
        <v>1.0660000000000001</v>
      </c>
      <c r="K846">
        <v>21.32</v>
      </c>
      <c r="L846" s="1">
        <v>43637</v>
      </c>
      <c r="M846" s="2">
        <v>0.52986111111111112</v>
      </c>
      <c r="N846" t="s">
        <v>33</v>
      </c>
      <c r="O846">
        <v>21.32</v>
      </c>
      <c r="P846">
        <v>4.7619047620000003</v>
      </c>
      <c r="Q846">
        <v>0</v>
      </c>
      <c r="R846">
        <v>5.9</v>
      </c>
      <c r="S846">
        <v>96.173500000000004</v>
      </c>
      <c r="T846">
        <v>16.840900000000001</v>
      </c>
    </row>
    <row r="847" spans="1:20" x14ac:dyDescent="0.3">
      <c r="A847" t="s">
        <v>1320</v>
      </c>
      <c r="B847" t="s">
        <v>21</v>
      </c>
      <c r="C847" t="s">
        <v>1050</v>
      </c>
      <c r="D847" t="s">
        <v>23</v>
      </c>
      <c r="E847" t="s">
        <v>32</v>
      </c>
      <c r="F847" t="s">
        <v>36</v>
      </c>
      <c r="G847" t="s">
        <v>60</v>
      </c>
      <c r="H847">
        <v>93.78</v>
      </c>
      <c r="I847">
        <v>3</v>
      </c>
      <c r="J847">
        <v>14.067</v>
      </c>
      <c r="K847">
        <v>281.33999999999997</v>
      </c>
      <c r="L847" s="1">
        <v>43565</v>
      </c>
      <c r="M847" s="2">
        <v>0.48055555555555557</v>
      </c>
      <c r="N847" t="s">
        <v>37</v>
      </c>
      <c r="O847">
        <v>281.33999999999997</v>
      </c>
      <c r="P847">
        <v>4.7619047620000003</v>
      </c>
      <c r="Q847">
        <v>0</v>
      </c>
      <c r="R847">
        <v>5.9</v>
      </c>
      <c r="S847">
        <v>96.173500000000004</v>
      </c>
      <c r="T847">
        <v>16.840900000000001</v>
      </c>
    </row>
    <row r="848" spans="1:20" x14ac:dyDescent="0.3">
      <c r="A848" t="s">
        <v>1321</v>
      </c>
      <c r="B848" t="s">
        <v>21</v>
      </c>
      <c r="C848" t="s">
        <v>1322</v>
      </c>
      <c r="D848" t="s">
        <v>23</v>
      </c>
      <c r="E848" t="s">
        <v>32</v>
      </c>
      <c r="F848" t="s">
        <v>36</v>
      </c>
      <c r="G848" t="s">
        <v>60</v>
      </c>
      <c r="H848">
        <v>73.260000000000005</v>
      </c>
      <c r="I848">
        <v>1</v>
      </c>
      <c r="J848">
        <v>3.6629999999999998</v>
      </c>
      <c r="K848">
        <v>73.260000000000005</v>
      </c>
      <c r="L848" s="1">
        <v>43668</v>
      </c>
      <c r="M848" s="2">
        <v>0.75555555555555554</v>
      </c>
      <c r="N848" t="s">
        <v>27</v>
      </c>
      <c r="O848">
        <v>73.260000000000005</v>
      </c>
      <c r="P848">
        <v>4.7619047620000003</v>
      </c>
      <c r="Q848">
        <v>0</v>
      </c>
      <c r="R848">
        <v>9.6999999999999993</v>
      </c>
      <c r="S848">
        <v>96.173500000000004</v>
      </c>
      <c r="T848">
        <v>16.840900000000001</v>
      </c>
    </row>
    <row r="849" spans="1:20" x14ac:dyDescent="0.3">
      <c r="A849" t="s">
        <v>1323</v>
      </c>
      <c r="B849" t="s">
        <v>29</v>
      </c>
      <c r="C849" t="s">
        <v>596</v>
      </c>
      <c r="D849" t="s">
        <v>31</v>
      </c>
      <c r="E849" t="s">
        <v>32</v>
      </c>
      <c r="F849" t="s">
        <v>25</v>
      </c>
      <c r="G849" t="s">
        <v>68</v>
      </c>
      <c r="H849">
        <v>22.38</v>
      </c>
      <c r="I849">
        <v>1</v>
      </c>
      <c r="J849">
        <v>1.119</v>
      </c>
      <c r="K849">
        <v>22.38</v>
      </c>
      <c r="L849" s="1">
        <v>43803</v>
      </c>
      <c r="M849" s="2">
        <v>0.71388888888888891</v>
      </c>
      <c r="N849" t="s">
        <v>37</v>
      </c>
      <c r="O849">
        <v>22.38</v>
      </c>
      <c r="P849">
        <v>4.7619047620000003</v>
      </c>
      <c r="Q849">
        <v>0</v>
      </c>
      <c r="R849">
        <v>9.0299999999999994</v>
      </c>
      <c r="S849">
        <v>96.078500000000005</v>
      </c>
      <c r="T849">
        <v>19.763300000000001</v>
      </c>
    </row>
    <row r="850" spans="1:20" x14ac:dyDescent="0.3">
      <c r="A850" t="s">
        <v>1324</v>
      </c>
      <c r="B850" t="s">
        <v>29</v>
      </c>
      <c r="C850" t="s">
        <v>780</v>
      </c>
      <c r="D850" t="s">
        <v>31</v>
      </c>
      <c r="E850" t="s">
        <v>32</v>
      </c>
      <c r="F850" t="s">
        <v>25</v>
      </c>
      <c r="G850" t="s">
        <v>63</v>
      </c>
      <c r="H850">
        <v>72.88</v>
      </c>
      <c r="I850">
        <v>11</v>
      </c>
      <c r="J850">
        <v>40.084000000000003</v>
      </c>
      <c r="K850">
        <v>801.68</v>
      </c>
      <c r="L850" s="1">
        <v>43591</v>
      </c>
      <c r="M850" s="2">
        <v>0.81805555555555554</v>
      </c>
      <c r="N850" t="s">
        <v>33</v>
      </c>
      <c r="O850">
        <v>655.92</v>
      </c>
      <c r="P850">
        <v>4.7619047620000003</v>
      </c>
      <c r="Q850">
        <v>145.76</v>
      </c>
      <c r="R850">
        <v>4.2</v>
      </c>
      <c r="S850">
        <v>96.078500000000005</v>
      </c>
      <c r="T850">
        <v>19.763300000000001</v>
      </c>
    </row>
    <row r="851" spans="1:20" x14ac:dyDescent="0.3">
      <c r="A851" t="s">
        <v>1325</v>
      </c>
      <c r="B851" t="s">
        <v>21</v>
      </c>
      <c r="C851" t="s">
        <v>1326</v>
      </c>
      <c r="D851" t="s">
        <v>23</v>
      </c>
      <c r="E851" t="s">
        <v>32</v>
      </c>
      <c r="F851" t="s">
        <v>25</v>
      </c>
      <c r="G851" t="s">
        <v>100</v>
      </c>
      <c r="H851">
        <v>99.1</v>
      </c>
      <c r="I851">
        <v>6</v>
      </c>
      <c r="J851">
        <v>29.73</v>
      </c>
      <c r="K851">
        <v>594.6</v>
      </c>
      <c r="L851" s="1">
        <v>43529</v>
      </c>
      <c r="M851" s="2">
        <v>0.5493055555555556</v>
      </c>
      <c r="N851" t="s">
        <v>33</v>
      </c>
      <c r="O851">
        <v>594.6</v>
      </c>
      <c r="P851">
        <v>4.7619047620000003</v>
      </c>
      <c r="Q851">
        <v>0</v>
      </c>
      <c r="R851">
        <v>4.2</v>
      </c>
      <c r="S851">
        <v>96.173500000000004</v>
      </c>
      <c r="T851">
        <v>16.840900000000001</v>
      </c>
    </row>
    <row r="852" spans="1:20" x14ac:dyDescent="0.3">
      <c r="A852" t="s">
        <v>1327</v>
      </c>
      <c r="B852" t="s">
        <v>21</v>
      </c>
      <c r="C852" t="s">
        <v>1328</v>
      </c>
      <c r="D852" t="s">
        <v>23</v>
      </c>
      <c r="E852" t="s">
        <v>32</v>
      </c>
      <c r="F852" t="s">
        <v>36</v>
      </c>
      <c r="G852" t="s">
        <v>100</v>
      </c>
      <c r="H852">
        <v>74.099999999999994</v>
      </c>
      <c r="I852">
        <v>1</v>
      </c>
      <c r="J852">
        <v>3.7050000000000001</v>
      </c>
      <c r="K852">
        <v>74.099999999999994</v>
      </c>
      <c r="L852" s="1">
        <v>43592</v>
      </c>
      <c r="M852" s="2">
        <v>0.46180555555555558</v>
      </c>
      <c r="N852" t="s">
        <v>33</v>
      </c>
      <c r="O852">
        <v>74.099999999999994</v>
      </c>
      <c r="P852">
        <v>4.7619047620000003</v>
      </c>
      <c r="Q852">
        <v>0</v>
      </c>
      <c r="R852">
        <v>9.1999999999999993</v>
      </c>
      <c r="S852">
        <v>96.173500000000004</v>
      </c>
      <c r="T852">
        <v>16.840900000000001</v>
      </c>
    </row>
    <row r="853" spans="1:20" x14ac:dyDescent="0.3">
      <c r="A853" t="s">
        <v>1329</v>
      </c>
      <c r="B853" t="s">
        <v>21</v>
      </c>
      <c r="C853" t="s">
        <v>783</v>
      </c>
      <c r="D853" t="s">
        <v>23</v>
      </c>
      <c r="E853" t="s">
        <v>32</v>
      </c>
      <c r="F853" t="s">
        <v>25</v>
      </c>
      <c r="G853" t="s">
        <v>100</v>
      </c>
      <c r="H853">
        <v>98.48</v>
      </c>
      <c r="I853">
        <v>2</v>
      </c>
      <c r="J853">
        <v>9.8480000000000008</v>
      </c>
      <c r="K853">
        <v>196.96</v>
      </c>
      <c r="L853" s="1">
        <v>43785</v>
      </c>
      <c r="M853" s="2">
        <v>0.42499999999999999</v>
      </c>
      <c r="N853" t="s">
        <v>27</v>
      </c>
      <c r="O853">
        <v>196.96</v>
      </c>
      <c r="P853">
        <v>4.7619047620000003</v>
      </c>
      <c r="Q853">
        <v>0</v>
      </c>
      <c r="R853">
        <v>9.1999999999999993</v>
      </c>
      <c r="S853">
        <v>96.173500000000004</v>
      </c>
      <c r="T853">
        <v>16.840900000000001</v>
      </c>
    </row>
    <row r="854" spans="1:20" x14ac:dyDescent="0.3">
      <c r="A854" t="s">
        <v>1330</v>
      </c>
      <c r="B854" t="s">
        <v>29</v>
      </c>
      <c r="C854" t="s">
        <v>154</v>
      </c>
      <c r="D854" t="s">
        <v>31</v>
      </c>
      <c r="E854" t="s">
        <v>32</v>
      </c>
      <c r="F854" t="s">
        <v>36</v>
      </c>
      <c r="G854" t="s">
        <v>26</v>
      </c>
      <c r="H854">
        <v>53.19</v>
      </c>
      <c r="I854">
        <v>8</v>
      </c>
      <c r="J854">
        <v>21.276</v>
      </c>
      <c r="K854">
        <v>425.52</v>
      </c>
      <c r="L854" s="1">
        <v>43649</v>
      </c>
      <c r="M854" s="2">
        <v>0.65416666666666667</v>
      </c>
      <c r="N854" t="s">
        <v>27</v>
      </c>
      <c r="O854">
        <v>372.33</v>
      </c>
      <c r="P854">
        <v>4.7619047620000003</v>
      </c>
      <c r="Q854">
        <v>53.19</v>
      </c>
      <c r="R854">
        <v>5.25</v>
      </c>
      <c r="S854">
        <v>96.078500000000005</v>
      </c>
      <c r="T854">
        <v>19.763300000000001</v>
      </c>
    </row>
    <row r="855" spans="1:20" x14ac:dyDescent="0.3">
      <c r="A855" t="s">
        <v>1331</v>
      </c>
      <c r="B855" t="s">
        <v>51</v>
      </c>
      <c r="C855" t="s">
        <v>83</v>
      </c>
      <c r="D855" t="s">
        <v>53</v>
      </c>
      <c r="E855" t="s">
        <v>32</v>
      </c>
      <c r="F855" t="s">
        <v>25</v>
      </c>
      <c r="G855" t="s">
        <v>60</v>
      </c>
      <c r="H855">
        <v>52.79</v>
      </c>
      <c r="I855">
        <v>14</v>
      </c>
      <c r="J855">
        <v>36.953000000000003</v>
      </c>
      <c r="K855">
        <v>739.06</v>
      </c>
      <c r="L855" s="1">
        <v>43589</v>
      </c>
      <c r="M855" s="2">
        <v>0.49861111111111112</v>
      </c>
      <c r="N855" t="s">
        <v>27</v>
      </c>
      <c r="O855">
        <v>527.9</v>
      </c>
      <c r="P855">
        <v>4.7619047620000003</v>
      </c>
      <c r="Q855">
        <v>211.16</v>
      </c>
      <c r="R855">
        <v>10</v>
      </c>
      <c r="S855">
        <v>96.089100000000002</v>
      </c>
      <c r="T855">
        <v>21.9588</v>
      </c>
    </row>
    <row r="856" spans="1:20" x14ac:dyDescent="0.3">
      <c r="A856" t="s">
        <v>1332</v>
      </c>
      <c r="B856" t="s">
        <v>21</v>
      </c>
      <c r="C856" t="s">
        <v>97</v>
      </c>
      <c r="D856" t="s">
        <v>23</v>
      </c>
      <c r="E856" t="s">
        <v>32</v>
      </c>
      <c r="F856" t="s">
        <v>25</v>
      </c>
      <c r="G856" t="s">
        <v>26</v>
      </c>
      <c r="H856">
        <v>95.95</v>
      </c>
      <c r="I856">
        <v>5</v>
      </c>
      <c r="J856">
        <v>23.987500000000001</v>
      </c>
      <c r="K856">
        <v>479.75</v>
      </c>
      <c r="L856" s="1">
        <v>43643</v>
      </c>
      <c r="M856" s="2">
        <v>0.59791666666666665</v>
      </c>
      <c r="N856" t="s">
        <v>27</v>
      </c>
      <c r="O856">
        <v>479.75</v>
      </c>
      <c r="P856">
        <v>4.7619047620000003</v>
      </c>
      <c r="Q856">
        <v>0</v>
      </c>
      <c r="R856">
        <v>8.8000000000000007</v>
      </c>
      <c r="S856">
        <v>96.173500000000004</v>
      </c>
      <c r="T856">
        <v>16.840900000000001</v>
      </c>
    </row>
    <row r="857" spans="1:20" x14ac:dyDescent="0.3">
      <c r="A857" t="s">
        <v>1333</v>
      </c>
      <c r="B857" t="s">
        <v>51</v>
      </c>
      <c r="C857" t="s">
        <v>331</v>
      </c>
      <c r="D857" t="s">
        <v>53</v>
      </c>
      <c r="E857" t="s">
        <v>32</v>
      </c>
      <c r="F857" t="s">
        <v>25</v>
      </c>
      <c r="G857" t="s">
        <v>100</v>
      </c>
      <c r="H857">
        <v>36.51</v>
      </c>
      <c r="I857">
        <v>13</v>
      </c>
      <c r="J857">
        <v>23.7315</v>
      </c>
      <c r="K857">
        <v>474.63</v>
      </c>
      <c r="L857" s="1">
        <v>43793</v>
      </c>
      <c r="M857" s="2">
        <v>0.45277777777777778</v>
      </c>
      <c r="N857" t="s">
        <v>33</v>
      </c>
      <c r="O857">
        <v>328.59</v>
      </c>
      <c r="P857">
        <v>4.7619047620000003</v>
      </c>
      <c r="Q857">
        <v>146.04</v>
      </c>
      <c r="R857">
        <v>5.04</v>
      </c>
      <c r="S857">
        <v>96.089100000000002</v>
      </c>
      <c r="T857">
        <v>21.9588</v>
      </c>
    </row>
    <row r="858" spans="1:20" x14ac:dyDescent="0.3">
      <c r="A858" t="s">
        <v>1334</v>
      </c>
      <c r="B858" t="s">
        <v>51</v>
      </c>
      <c r="C858" t="s">
        <v>1052</v>
      </c>
      <c r="D858" t="s">
        <v>53</v>
      </c>
      <c r="E858" t="s">
        <v>32</v>
      </c>
      <c r="F858" t="s">
        <v>36</v>
      </c>
      <c r="G858" t="s">
        <v>63</v>
      </c>
      <c r="H858">
        <v>21.12</v>
      </c>
      <c r="I858">
        <v>11</v>
      </c>
      <c r="J858">
        <v>11.616</v>
      </c>
      <c r="K858">
        <v>232.32</v>
      </c>
      <c r="L858" s="1">
        <v>43739</v>
      </c>
      <c r="M858" s="2">
        <v>0.81319444444444444</v>
      </c>
      <c r="N858" t="s">
        <v>33</v>
      </c>
      <c r="O858">
        <v>168.96</v>
      </c>
      <c r="P858">
        <v>4.7619047620000003</v>
      </c>
      <c r="Q858">
        <v>63.36</v>
      </c>
      <c r="R858">
        <v>7.56</v>
      </c>
      <c r="S858">
        <v>96.089100000000002</v>
      </c>
      <c r="T858">
        <v>21.9588</v>
      </c>
    </row>
    <row r="859" spans="1:20" x14ac:dyDescent="0.3">
      <c r="A859" t="s">
        <v>1335</v>
      </c>
      <c r="B859" t="s">
        <v>21</v>
      </c>
      <c r="C859" t="s">
        <v>354</v>
      </c>
      <c r="D859" t="s">
        <v>23</v>
      </c>
      <c r="E859" t="s">
        <v>32</v>
      </c>
      <c r="F859" t="s">
        <v>25</v>
      </c>
      <c r="G859" t="s">
        <v>77</v>
      </c>
      <c r="H859">
        <v>28.31</v>
      </c>
      <c r="I859">
        <v>4</v>
      </c>
      <c r="J859">
        <v>5.6619999999999999</v>
      </c>
      <c r="K859">
        <v>113.24</v>
      </c>
      <c r="L859" s="1">
        <v>43602</v>
      </c>
      <c r="M859" s="2">
        <v>0.77430555555555558</v>
      </c>
      <c r="N859" t="s">
        <v>33</v>
      </c>
      <c r="O859">
        <v>113.24</v>
      </c>
      <c r="P859">
        <v>4.7619047620000003</v>
      </c>
      <c r="Q859">
        <v>0</v>
      </c>
      <c r="R859">
        <v>8.1999999999999993</v>
      </c>
      <c r="S859">
        <v>96.173500000000004</v>
      </c>
      <c r="T859">
        <v>16.840900000000001</v>
      </c>
    </row>
    <row r="860" spans="1:20" x14ac:dyDescent="0.3">
      <c r="A860" t="s">
        <v>1336</v>
      </c>
      <c r="B860" t="s">
        <v>51</v>
      </c>
      <c r="C860" t="s">
        <v>803</v>
      </c>
      <c r="D860" t="s">
        <v>53</v>
      </c>
      <c r="E860" t="s">
        <v>32</v>
      </c>
      <c r="F860" t="s">
        <v>36</v>
      </c>
      <c r="G860" t="s">
        <v>26</v>
      </c>
      <c r="H860">
        <v>57.59</v>
      </c>
      <c r="I860">
        <v>8</v>
      </c>
      <c r="J860">
        <v>23.036000000000001</v>
      </c>
      <c r="K860">
        <v>460.72</v>
      </c>
      <c r="L860" s="1">
        <v>43480</v>
      </c>
      <c r="M860" s="2">
        <v>0.57708333333333328</v>
      </c>
      <c r="N860" t="s">
        <v>33</v>
      </c>
      <c r="O860">
        <v>345.54</v>
      </c>
      <c r="P860">
        <v>4.7619047620000003</v>
      </c>
      <c r="Q860">
        <v>115.18</v>
      </c>
      <c r="R860">
        <v>6.12</v>
      </c>
      <c r="S860">
        <v>96.089100000000002</v>
      </c>
      <c r="T860">
        <v>21.9588</v>
      </c>
    </row>
    <row r="861" spans="1:20" x14ac:dyDescent="0.3">
      <c r="A861" t="s">
        <v>1337</v>
      </c>
      <c r="B861" t="s">
        <v>21</v>
      </c>
      <c r="C861" t="s">
        <v>387</v>
      </c>
      <c r="D861" t="s">
        <v>23</v>
      </c>
      <c r="E861" t="s">
        <v>32</v>
      </c>
      <c r="F861" t="s">
        <v>25</v>
      </c>
      <c r="G861" t="s">
        <v>68</v>
      </c>
      <c r="H861">
        <v>47.63</v>
      </c>
      <c r="I861">
        <v>9</v>
      </c>
      <c r="J861">
        <v>21.433499999999999</v>
      </c>
      <c r="K861">
        <v>428.67</v>
      </c>
      <c r="L861" s="1">
        <v>43537</v>
      </c>
      <c r="M861" s="2">
        <v>0.52430555555555558</v>
      </c>
      <c r="N861" t="s">
        <v>33</v>
      </c>
      <c r="O861">
        <v>428.67</v>
      </c>
      <c r="P861">
        <v>4.7619047620000003</v>
      </c>
      <c r="Q861">
        <v>0</v>
      </c>
      <c r="R861">
        <v>5</v>
      </c>
      <c r="S861">
        <v>96.173500000000004</v>
      </c>
      <c r="T861">
        <v>16.840900000000001</v>
      </c>
    </row>
    <row r="862" spans="1:20" x14ac:dyDescent="0.3">
      <c r="A862" t="s">
        <v>1338</v>
      </c>
      <c r="B862" t="s">
        <v>29</v>
      </c>
      <c r="C862" t="s">
        <v>424</v>
      </c>
      <c r="D862" t="s">
        <v>31</v>
      </c>
      <c r="E862" t="s">
        <v>32</v>
      </c>
      <c r="F862" t="s">
        <v>25</v>
      </c>
      <c r="G862" t="s">
        <v>68</v>
      </c>
      <c r="H862">
        <v>86.27</v>
      </c>
      <c r="I862">
        <v>1</v>
      </c>
      <c r="J862">
        <v>4.3135000000000003</v>
      </c>
      <c r="K862">
        <v>86.27</v>
      </c>
      <c r="L862" s="1">
        <v>43493</v>
      </c>
      <c r="M862" s="2">
        <v>0.55833333333333335</v>
      </c>
      <c r="N862" t="s">
        <v>27</v>
      </c>
      <c r="O862">
        <v>86.27</v>
      </c>
      <c r="P862">
        <v>4.7619047620000003</v>
      </c>
      <c r="Q862">
        <v>0</v>
      </c>
      <c r="R862">
        <v>7.35</v>
      </c>
      <c r="S862">
        <v>96.078500000000005</v>
      </c>
      <c r="T862">
        <v>19.763300000000001</v>
      </c>
    </row>
    <row r="863" spans="1:20" x14ac:dyDescent="0.3">
      <c r="A863" t="s">
        <v>1339</v>
      </c>
      <c r="B863" t="s">
        <v>21</v>
      </c>
      <c r="C863" t="s">
        <v>700</v>
      </c>
      <c r="D863" t="s">
        <v>23</v>
      </c>
      <c r="E863" t="s">
        <v>32</v>
      </c>
      <c r="F863" t="s">
        <v>36</v>
      </c>
      <c r="G863" t="s">
        <v>68</v>
      </c>
      <c r="H863">
        <v>12.76</v>
      </c>
      <c r="I863">
        <v>2</v>
      </c>
      <c r="J863">
        <v>1.276</v>
      </c>
      <c r="K863">
        <v>25.52</v>
      </c>
      <c r="L863" s="1">
        <v>43655</v>
      </c>
      <c r="M863" s="2">
        <v>0.75416666666666665</v>
      </c>
      <c r="N863" t="s">
        <v>27</v>
      </c>
      <c r="O863">
        <v>25.52</v>
      </c>
      <c r="P863">
        <v>4.7619047620000003</v>
      </c>
      <c r="Q863">
        <v>0</v>
      </c>
      <c r="R863">
        <v>7.8</v>
      </c>
      <c r="S863">
        <v>96.173500000000004</v>
      </c>
      <c r="T863">
        <v>16.840900000000001</v>
      </c>
    </row>
    <row r="864" spans="1:20" x14ac:dyDescent="0.3">
      <c r="A864" t="s">
        <v>1340</v>
      </c>
      <c r="B864" t="s">
        <v>51</v>
      </c>
      <c r="C864" t="s">
        <v>91</v>
      </c>
      <c r="D864" t="s">
        <v>53</v>
      </c>
      <c r="E864" t="s">
        <v>32</v>
      </c>
      <c r="F864" t="s">
        <v>25</v>
      </c>
      <c r="G864" t="s">
        <v>68</v>
      </c>
      <c r="H864">
        <v>11.28</v>
      </c>
      <c r="I864">
        <v>13</v>
      </c>
      <c r="J864">
        <v>7.3319999999999999</v>
      </c>
      <c r="K864">
        <v>146.63999999999999</v>
      </c>
      <c r="L864" s="1">
        <v>43784</v>
      </c>
      <c r="M864" s="2">
        <v>0.49652777777777779</v>
      </c>
      <c r="N864" t="s">
        <v>37</v>
      </c>
      <c r="O864">
        <v>101.52</v>
      </c>
      <c r="P864">
        <v>4.7619047620000003</v>
      </c>
      <c r="Q864">
        <v>45.12</v>
      </c>
      <c r="R864">
        <v>5.16</v>
      </c>
      <c r="S864">
        <v>96.089100000000002</v>
      </c>
      <c r="T864">
        <v>21.9588</v>
      </c>
    </row>
    <row r="865" spans="1:20" x14ac:dyDescent="0.3">
      <c r="A865" t="s">
        <v>1341</v>
      </c>
      <c r="B865" t="s">
        <v>51</v>
      </c>
      <c r="C865" t="s">
        <v>636</v>
      </c>
      <c r="D865" t="s">
        <v>53</v>
      </c>
      <c r="E865" t="s">
        <v>32</v>
      </c>
      <c r="F865" t="s">
        <v>25</v>
      </c>
      <c r="G865" t="s">
        <v>68</v>
      </c>
      <c r="H865">
        <v>51.07</v>
      </c>
      <c r="I865">
        <v>10</v>
      </c>
      <c r="J865">
        <v>25.535</v>
      </c>
      <c r="K865">
        <v>510.7</v>
      </c>
      <c r="L865" s="1">
        <v>43720</v>
      </c>
      <c r="M865" s="2">
        <v>0.48749999999999999</v>
      </c>
      <c r="N865" t="s">
        <v>33</v>
      </c>
      <c r="O865">
        <v>357.49</v>
      </c>
      <c r="P865">
        <v>4.7619047620000003</v>
      </c>
      <c r="Q865">
        <v>153.21</v>
      </c>
      <c r="R865">
        <v>8.4</v>
      </c>
      <c r="S865">
        <v>96.089100000000002</v>
      </c>
      <c r="T865">
        <v>21.9588</v>
      </c>
    </row>
    <row r="866" spans="1:20" x14ac:dyDescent="0.3">
      <c r="A866" t="s">
        <v>1342</v>
      </c>
      <c r="B866" t="s">
        <v>21</v>
      </c>
      <c r="C866" t="s">
        <v>1343</v>
      </c>
      <c r="D866" t="s">
        <v>23</v>
      </c>
      <c r="E866" t="s">
        <v>32</v>
      </c>
      <c r="F866" t="s">
        <v>25</v>
      </c>
      <c r="G866" t="s">
        <v>68</v>
      </c>
      <c r="H866">
        <v>79.59</v>
      </c>
      <c r="I866">
        <v>3</v>
      </c>
      <c r="J866">
        <v>11.938499999999999</v>
      </c>
      <c r="K866">
        <v>238.77</v>
      </c>
      <c r="L866" s="1">
        <v>43608</v>
      </c>
      <c r="M866" s="2">
        <v>0.60416666666666663</v>
      </c>
      <c r="N866" t="s">
        <v>33</v>
      </c>
      <c r="O866">
        <v>238.77</v>
      </c>
      <c r="P866">
        <v>4.7619047620000003</v>
      </c>
      <c r="Q866">
        <v>0</v>
      </c>
      <c r="R866">
        <v>6.6</v>
      </c>
      <c r="S866">
        <v>96.173500000000004</v>
      </c>
      <c r="T866">
        <v>16.840900000000001</v>
      </c>
    </row>
    <row r="867" spans="1:20" x14ac:dyDescent="0.3">
      <c r="A867" t="s">
        <v>1344</v>
      </c>
      <c r="B867" t="s">
        <v>29</v>
      </c>
      <c r="C867" t="s">
        <v>999</v>
      </c>
      <c r="D867" t="s">
        <v>31</v>
      </c>
      <c r="E867" t="s">
        <v>32</v>
      </c>
      <c r="F867" t="s">
        <v>36</v>
      </c>
      <c r="G867" t="s">
        <v>26</v>
      </c>
      <c r="H867">
        <v>33.81</v>
      </c>
      <c r="I867">
        <v>4</v>
      </c>
      <c r="J867">
        <v>6.7619999999999996</v>
      </c>
      <c r="K867">
        <v>135.24</v>
      </c>
      <c r="L867" s="1">
        <v>43614</v>
      </c>
      <c r="M867" s="2">
        <v>0.63263888888888886</v>
      </c>
      <c r="N867" t="s">
        <v>27</v>
      </c>
      <c r="O867">
        <v>101.43</v>
      </c>
      <c r="P867">
        <v>4.7619047620000003</v>
      </c>
      <c r="Q867">
        <v>33.81</v>
      </c>
      <c r="R867">
        <v>7.665</v>
      </c>
      <c r="S867">
        <v>96.078500000000005</v>
      </c>
      <c r="T867">
        <v>19.763300000000001</v>
      </c>
    </row>
    <row r="868" spans="1:20" x14ac:dyDescent="0.3">
      <c r="A868" t="s">
        <v>1345</v>
      </c>
      <c r="B868" t="s">
        <v>51</v>
      </c>
      <c r="C868" t="s">
        <v>1346</v>
      </c>
      <c r="D868" t="s">
        <v>53</v>
      </c>
      <c r="E868" t="s">
        <v>32</v>
      </c>
      <c r="F868" t="s">
        <v>36</v>
      </c>
      <c r="G868" t="s">
        <v>68</v>
      </c>
      <c r="H868">
        <v>90.53</v>
      </c>
      <c r="I868">
        <v>11</v>
      </c>
      <c r="J868">
        <v>49.791499999999999</v>
      </c>
      <c r="K868">
        <v>995.83</v>
      </c>
      <c r="L868" s="1">
        <v>43547</v>
      </c>
      <c r="M868" s="2">
        <v>0.6166666666666667</v>
      </c>
      <c r="N868" t="s">
        <v>37</v>
      </c>
      <c r="O868">
        <v>724.24</v>
      </c>
      <c r="P868">
        <v>4.7619047620000003</v>
      </c>
      <c r="Q868">
        <v>271.58999999999997</v>
      </c>
      <c r="R868">
        <v>7.8</v>
      </c>
      <c r="S868">
        <v>96.089100000000002</v>
      </c>
      <c r="T868">
        <v>21.9588</v>
      </c>
    </row>
    <row r="869" spans="1:20" x14ac:dyDescent="0.3">
      <c r="A869" t="s">
        <v>1347</v>
      </c>
      <c r="B869" t="s">
        <v>29</v>
      </c>
      <c r="C869" t="s">
        <v>1150</v>
      </c>
      <c r="D869" t="s">
        <v>31</v>
      </c>
      <c r="E869" t="s">
        <v>32</v>
      </c>
      <c r="F869" t="s">
        <v>25</v>
      </c>
      <c r="G869" t="s">
        <v>100</v>
      </c>
      <c r="H869">
        <v>62.82</v>
      </c>
      <c r="I869">
        <v>2</v>
      </c>
      <c r="J869">
        <v>6.282</v>
      </c>
      <c r="K869">
        <v>125.64</v>
      </c>
      <c r="L869" s="1">
        <v>43780</v>
      </c>
      <c r="M869" s="2">
        <v>0.52500000000000002</v>
      </c>
      <c r="N869" t="s">
        <v>27</v>
      </c>
      <c r="O869">
        <v>125.64</v>
      </c>
      <c r="P869">
        <v>4.7619047620000003</v>
      </c>
      <c r="Q869">
        <v>0</v>
      </c>
      <c r="R869">
        <v>5.1449999999999996</v>
      </c>
      <c r="S869">
        <v>96.078500000000005</v>
      </c>
      <c r="T869">
        <v>19.763300000000001</v>
      </c>
    </row>
    <row r="870" spans="1:20" x14ac:dyDescent="0.3">
      <c r="A870" t="s">
        <v>1348</v>
      </c>
      <c r="B870" t="s">
        <v>29</v>
      </c>
      <c r="C870" t="s">
        <v>1349</v>
      </c>
      <c r="D870" t="s">
        <v>31</v>
      </c>
      <c r="E870" t="s">
        <v>24</v>
      </c>
      <c r="F870" t="s">
        <v>36</v>
      </c>
      <c r="G870" t="s">
        <v>100</v>
      </c>
      <c r="H870">
        <v>24.31</v>
      </c>
      <c r="I870">
        <v>6</v>
      </c>
      <c r="J870">
        <v>7.2930000000000001</v>
      </c>
      <c r="K870">
        <v>145.86000000000001</v>
      </c>
      <c r="L870" s="1">
        <v>43734</v>
      </c>
      <c r="M870" s="2">
        <v>0.79791666666666672</v>
      </c>
      <c r="N870" t="s">
        <v>37</v>
      </c>
      <c r="O870">
        <v>72.930000000000007</v>
      </c>
      <c r="P870">
        <v>4.7619047620000003</v>
      </c>
      <c r="Q870">
        <v>72.930000000000007</v>
      </c>
      <c r="R870">
        <v>4.5149999999999997</v>
      </c>
      <c r="S870">
        <v>96.078500000000005</v>
      </c>
      <c r="T870">
        <v>19.763300000000001</v>
      </c>
    </row>
    <row r="871" spans="1:20" x14ac:dyDescent="0.3">
      <c r="A871" t="s">
        <v>1350</v>
      </c>
      <c r="B871" t="s">
        <v>21</v>
      </c>
      <c r="C871" t="s">
        <v>365</v>
      </c>
      <c r="D871" t="s">
        <v>23</v>
      </c>
      <c r="E871" t="s">
        <v>32</v>
      </c>
      <c r="F871" t="s">
        <v>36</v>
      </c>
      <c r="G871" t="s">
        <v>100</v>
      </c>
      <c r="H871">
        <v>64.59</v>
      </c>
      <c r="I871">
        <v>4</v>
      </c>
      <c r="J871">
        <v>12.917999999999999</v>
      </c>
      <c r="K871">
        <v>258.36</v>
      </c>
      <c r="L871" s="1">
        <v>43528</v>
      </c>
      <c r="M871" s="2">
        <v>0.56597222222222221</v>
      </c>
      <c r="N871" t="s">
        <v>27</v>
      </c>
      <c r="O871">
        <v>258.36</v>
      </c>
      <c r="P871">
        <v>4.7619047620000003</v>
      </c>
      <c r="Q871">
        <v>0</v>
      </c>
      <c r="R871">
        <v>9.3000000000000007</v>
      </c>
      <c r="S871">
        <v>96.173500000000004</v>
      </c>
      <c r="T871">
        <v>16.840900000000001</v>
      </c>
    </row>
    <row r="872" spans="1:20" x14ac:dyDescent="0.3">
      <c r="A872" t="s">
        <v>1351</v>
      </c>
      <c r="B872" t="s">
        <v>21</v>
      </c>
      <c r="C872" t="s">
        <v>1297</v>
      </c>
      <c r="D872" t="s">
        <v>23</v>
      </c>
      <c r="E872" t="s">
        <v>24</v>
      </c>
      <c r="F872" t="s">
        <v>36</v>
      </c>
      <c r="G872" t="s">
        <v>100</v>
      </c>
      <c r="H872">
        <v>24.82</v>
      </c>
      <c r="I872">
        <v>10</v>
      </c>
      <c r="J872">
        <v>12.41</v>
      </c>
      <c r="K872">
        <v>248.2</v>
      </c>
      <c r="L872" s="1">
        <v>43645</v>
      </c>
      <c r="M872" s="2">
        <v>0.43958333333333333</v>
      </c>
      <c r="N872" t="s">
        <v>37</v>
      </c>
      <c r="O872">
        <v>173.74</v>
      </c>
      <c r="P872">
        <v>4.7619047620000003</v>
      </c>
      <c r="Q872">
        <v>74.459999999999994</v>
      </c>
      <c r="R872">
        <v>7.1</v>
      </c>
      <c r="S872">
        <v>96.173500000000004</v>
      </c>
      <c r="T872">
        <v>16.840900000000001</v>
      </c>
    </row>
    <row r="873" spans="1:20" x14ac:dyDescent="0.3">
      <c r="A873" t="s">
        <v>1352</v>
      </c>
      <c r="B873" t="s">
        <v>29</v>
      </c>
      <c r="C873" t="s">
        <v>107</v>
      </c>
      <c r="D873" t="s">
        <v>31</v>
      </c>
      <c r="E873" t="s">
        <v>32</v>
      </c>
      <c r="F873" t="s">
        <v>36</v>
      </c>
      <c r="G873" t="s">
        <v>100</v>
      </c>
      <c r="H873">
        <v>56.5</v>
      </c>
      <c r="I873">
        <v>1</v>
      </c>
      <c r="J873">
        <v>2.8250000000000002</v>
      </c>
      <c r="K873">
        <v>56.5</v>
      </c>
      <c r="L873" s="1">
        <v>43541</v>
      </c>
      <c r="M873" s="2">
        <v>0.65625</v>
      </c>
      <c r="N873" t="s">
        <v>27</v>
      </c>
      <c r="O873">
        <v>56.5</v>
      </c>
      <c r="P873">
        <v>4.7619047620000003</v>
      </c>
      <c r="Q873">
        <v>0</v>
      </c>
      <c r="R873">
        <v>10</v>
      </c>
      <c r="S873">
        <v>96.078500000000005</v>
      </c>
      <c r="T873">
        <v>19.763300000000001</v>
      </c>
    </row>
    <row r="874" spans="1:20" x14ac:dyDescent="0.3">
      <c r="A874" t="s">
        <v>1353</v>
      </c>
      <c r="B874" t="s">
        <v>51</v>
      </c>
      <c r="C874" t="s">
        <v>575</v>
      </c>
      <c r="D874" t="s">
        <v>53</v>
      </c>
      <c r="E874" t="s">
        <v>24</v>
      </c>
      <c r="F874" t="s">
        <v>25</v>
      </c>
      <c r="G874" t="s">
        <v>60</v>
      </c>
      <c r="H874">
        <v>21.43</v>
      </c>
      <c r="I874">
        <v>20</v>
      </c>
      <c r="J874">
        <v>21.43</v>
      </c>
      <c r="K874">
        <v>428.6</v>
      </c>
      <c r="L874" s="1">
        <v>43561</v>
      </c>
      <c r="M874" s="2">
        <v>0.49375000000000002</v>
      </c>
      <c r="N874" t="s">
        <v>33</v>
      </c>
      <c r="O874">
        <v>214.3</v>
      </c>
      <c r="P874">
        <v>4.7619047620000003</v>
      </c>
      <c r="Q874">
        <v>214.3</v>
      </c>
      <c r="R874">
        <v>7.44</v>
      </c>
      <c r="S874">
        <v>96.089100000000002</v>
      </c>
      <c r="T874">
        <v>21.9588</v>
      </c>
    </row>
    <row r="875" spans="1:20" x14ac:dyDescent="0.3">
      <c r="A875" t="s">
        <v>1354</v>
      </c>
      <c r="B875" t="s">
        <v>21</v>
      </c>
      <c r="C875" t="s">
        <v>1355</v>
      </c>
      <c r="D875" t="s">
        <v>23</v>
      </c>
      <c r="E875" t="s">
        <v>24</v>
      </c>
      <c r="F875" t="s">
        <v>36</v>
      </c>
      <c r="G875" t="s">
        <v>68</v>
      </c>
      <c r="H875">
        <v>89.06</v>
      </c>
      <c r="I875">
        <v>8</v>
      </c>
      <c r="J875">
        <v>35.624000000000002</v>
      </c>
      <c r="K875">
        <v>712.48</v>
      </c>
      <c r="L875" s="1">
        <v>43630</v>
      </c>
      <c r="M875" s="2">
        <v>0.72638888888888886</v>
      </c>
      <c r="N875" t="s">
        <v>33</v>
      </c>
      <c r="O875">
        <v>534.36</v>
      </c>
      <c r="P875">
        <v>4.7619047620000003</v>
      </c>
      <c r="Q875">
        <v>178.12</v>
      </c>
      <c r="R875">
        <v>9.9</v>
      </c>
      <c r="S875">
        <v>96.173500000000004</v>
      </c>
      <c r="T875">
        <v>16.840900000000001</v>
      </c>
    </row>
    <row r="876" spans="1:20" x14ac:dyDescent="0.3">
      <c r="A876" t="s">
        <v>1356</v>
      </c>
      <c r="B876" t="s">
        <v>21</v>
      </c>
      <c r="C876" t="s">
        <v>1172</v>
      </c>
      <c r="D876" t="s">
        <v>23</v>
      </c>
      <c r="E876" t="s">
        <v>24</v>
      </c>
      <c r="F876" t="s">
        <v>36</v>
      </c>
      <c r="G876" t="s">
        <v>77</v>
      </c>
      <c r="H876">
        <v>23.29</v>
      </c>
      <c r="I876">
        <v>6</v>
      </c>
      <c r="J876">
        <v>6.9870000000000001</v>
      </c>
      <c r="K876">
        <v>139.74</v>
      </c>
      <c r="L876" s="1">
        <v>43504</v>
      </c>
      <c r="M876" s="2">
        <v>0.49444444444444446</v>
      </c>
      <c r="N876" t="s">
        <v>37</v>
      </c>
      <c r="O876">
        <v>93.16</v>
      </c>
      <c r="P876">
        <v>4.7619047620000003</v>
      </c>
      <c r="Q876">
        <v>46.58</v>
      </c>
      <c r="R876">
        <v>5.9</v>
      </c>
      <c r="S876">
        <v>96.173500000000004</v>
      </c>
      <c r="T876">
        <v>16.840900000000001</v>
      </c>
    </row>
    <row r="877" spans="1:20" x14ac:dyDescent="0.3">
      <c r="A877" t="s">
        <v>1357</v>
      </c>
      <c r="B877" t="s">
        <v>29</v>
      </c>
      <c r="C877" t="s">
        <v>862</v>
      </c>
      <c r="D877" t="s">
        <v>31</v>
      </c>
      <c r="E877" t="s">
        <v>32</v>
      </c>
      <c r="F877" t="s">
        <v>36</v>
      </c>
      <c r="G877" t="s">
        <v>77</v>
      </c>
      <c r="H877">
        <v>65.260000000000005</v>
      </c>
      <c r="I877">
        <v>10</v>
      </c>
      <c r="J877">
        <v>32.630000000000003</v>
      </c>
      <c r="K877">
        <v>652.6</v>
      </c>
      <c r="L877" s="1">
        <v>43521</v>
      </c>
      <c r="M877" s="2">
        <v>0.58611111111111114</v>
      </c>
      <c r="N877" t="s">
        <v>27</v>
      </c>
      <c r="O877">
        <v>522.08000000000004</v>
      </c>
      <c r="P877">
        <v>4.7619047620000003</v>
      </c>
      <c r="Q877">
        <v>130.52000000000001</v>
      </c>
      <c r="R877">
        <v>6.6150000000000002</v>
      </c>
      <c r="S877">
        <v>96.078500000000005</v>
      </c>
      <c r="T877">
        <v>19.763300000000001</v>
      </c>
    </row>
    <row r="878" spans="1:20" x14ac:dyDescent="0.3">
      <c r="A878" t="s">
        <v>1358</v>
      </c>
      <c r="B878" t="s">
        <v>29</v>
      </c>
      <c r="C878" t="s">
        <v>217</v>
      </c>
      <c r="D878" t="s">
        <v>31</v>
      </c>
      <c r="E878" t="s">
        <v>32</v>
      </c>
      <c r="F878" t="s">
        <v>36</v>
      </c>
      <c r="G878" t="s">
        <v>100</v>
      </c>
      <c r="H878">
        <v>52.35</v>
      </c>
      <c r="I878">
        <v>1</v>
      </c>
      <c r="J878">
        <v>2.6175000000000002</v>
      </c>
      <c r="K878">
        <v>52.35</v>
      </c>
      <c r="L878" s="1">
        <v>43533</v>
      </c>
      <c r="M878" s="2">
        <v>0.74236111111111114</v>
      </c>
      <c r="N878" t="s">
        <v>33</v>
      </c>
      <c r="O878">
        <v>52.35</v>
      </c>
      <c r="P878">
        <v>4.7619047620000003</v>
      </c>
      <c r="Q878">
        <v>0</v>
      </c>
      <c r="R878">
        <v>4.2</v>
      </c>
      <c r="S878">
        <v>96.078500000000005</v>
      </c>
      <c r="T878">
        <v>19.763300000000001</v>
      </c>
    </row>
    <row r="879" spans="1:20" x14ac:dyDescent="0.3">
      <c r="A879" t="s">
        <v>1359</v>
      </c>
      <c r="B879" t="s">
        <v>51</v>
      </c>
      <c r="C879" t="s">
        <v>361</v>
      </c>
      <c r="D879" t="s">
        <v>53</v>
      </c>
      <c r="E879" t="s">
        <v>32</v>
      </c>
      <c r="F879" t="s">
        <v>36</v>
      </c>
      <c r="G879" t="s">
        <v>60</v>
      </c>
      <c r="H879">
        <v>39.75</v>
      </c>
      <c r="I879">
        <v>1</v>
      </c>
      <c r="J879">
        <v>1.9875</v>
      </c>
      <c r="K879">
        <v>39.75</v>
      </c>
      <c r="L879" s="1">
        <v>43495</v>
      </c>
      <c r="M879" s="2">
        <v>0.84652777777777777</v>
      </c>
      <c r="N879" t="s">
        <v>33</v>
      </c>
      <c r="O879">
        <v>39.75</v>
      </c>
      <c r="P879">
        <v>4.7619047620000003</v>
      </c>
      <c r="Q879">
        <v>0</v>
      </c>
      <c r="R879">
        <v>7.32</v>
      </c>
      <c r="S879">
        <v>96.089100000000002</v>
      </c>
      <c r="T879">
        <v>21.9588</v>
      </c>
    </row>
    <row r="880" spans="1:20" x14ac:dyDescent="0.3">
      <c r="A880" t="s">
        <v>1360</v>
      </c>
      <c r="B880" t="s">
        <v>21</v>
      </c>
      <c r="C880" t="s">
        <v>1361</v>
      </c>
      <c r="D880" t="s">
        <v>23</v>
      </c>
      <c r="E880" t="s">
        <v>32</v>
      </c>
      <c r="F880" t="s">
        <v>25</v>
      </c>
      <c r="G880" t="s">
        <v>60</v>
      </c>
      <c r="H880">
        <v>90.02</v>
      </c>
      <c r="I880">
        <v>8</v>
      </c>
      <c r="J880">
        <v>36.008000000000003</v>
      </c>
      <c r="K880">
        <v>720.16</v>
      </c>
      <c r="L880" s="1">
        <v>43726</v>
      </c>
      <c r="M880" s="2">
        <v>0.67222222222222228</v>
      </c>
      <c r="N880" t="s">
        <v>37</v>
      </c>
      <c r="O880">
        <v>720.16</v>
      </c>
      <c r="P880">
        <v>4.7619047620000003</v>
      </c>
      <c r="Q880">
        <v>0</v>
      </c>
      <c r="R880">
        <v>4.5</v>
      </c>
      <c r="S880">
        <v>96.173500000000004</v>
      </c>
      <c r="T880">
        <v>16.840900000000001</v>
      </c>
    </row>
    <row r="881" spans="1:20" x14ac:dyDescent="0.3">
      <c r="A881" t="s">
        <v>1362</v>
      </c>
      <c r="B881" t="s">
        <v>51</v>
      </c>
      <c r="C881" t="s">
        <v>859</v>
      </c>
      <c r="D881" t="s">
        <v>53</v>
      </c>
      <c r="E881" t="s">
        <v>32</v>
      </c>
      <c r="F881" t="s">
        <v>25</v>
      </c>
      <c r="G881" t="s">
        <v>60</v>
      </c>
      <c r="H881">
        <v>12.1</v>
      </c>
      <c r="I881">
        <v>11</v>
      </c>
      <c r="J881">
        <v>6.6550000000000002</v>
      </c>
      <c r="K881">
        <v>133.1</v>
      </c>
      <c r="L881" s="1">
        <v>43671</v>
      </c>
      <c r="M881" s="2">
        <v>0.4284722222222222</v>
      </c>
      <c r="N881" t="s">
        <v>27</v>
      </c>
      <c r="O881">
        <v>96.8</v>
      </c>
      <c r="P881">
        <v>4.7619047620000003</v>
      </c>
      <c r="Q881">
        <v>36.299999999999997</v>
      </c>
      <c r="R881">
        <v>10</v>
      </c>
      <c r="S881">
        <v>96.089100000000002</v>
      </c>
      <c r="T881">
        <v>21.9588</v>
      </c>
    </row>
    <row r="882" spans="1:20" x14ac:dyDescent="0.3">
      <c r="A882" t="s">
        <v>1363</v>
      </c>
      <c r="B882" t="s">
        <v>51</v>
      </c>
      <c r="C882" t="s">
        <v>52</v>
      </c>
      <c r="D882" t="s">
        <v>53</v>
      </c>
      <c r="E882" t="s">
        <v>32</v>
      </c>
      <c r="F882" t="s">
        <v>25</v>
      </c>
      <c r="G882" t="s">
        <v>63</v>
      </c>
      <c r="H882">
        <v>33.21</v>
      </c>
      <c r="I882">
        <v>14</v>
      </c>
      <c r="J882">
        <v>23.247</v>
      </c>
      <c r="K882">
        <v>464.94</v>
      </c>
      <c r="L882" s="1">
        <v>43815</v>
      </c>
      <c r="M882" s="2">
        <v>0.60069444444444442</v>
      </c>
      <c r="N882" t="s">
        <v>27</v>
      </c>
      <c r="O882">
        <v>332.1</v>
      </c>
      <c r="P882">
        <v>4.7619047620000003</v>
      </c>
      <c r="Q882">
        <v>132.84</v>
      </c>
      <c r="R882">
        <v>7.2</v>
      </c>
      <c r="S882">
        <v>96.089100000000002</v>
      </c>
      <c r="T882">
        <v>21.9588</v>
      </c>
    </row>
    <row r="883" spans="1:20" x14ac:dyDescent="0.3">
      <c r="A883" t="s">
        <v>1364</v>
      </c>
      <c r="B883" t="s">
        <v>29</v>
      </c>
      <c r="C883" t="s">
        <v>183</v>
      </c>
      <c r="D883" t="s">
        <v>31</v>
      </c>
      <c r="E883" t="s">
        <v>32</v>
      </c>
      <c r="F883" t="s">
        <v>25</v>
      </c>
      <c r="G883" t="s">
        <v>100</v>
      </c>
      <c r="H883">
        <v>10.18</v>
      </c>
      <c r="I883">
        <v>10</v>
      </c>
      <c r="J883">
        <v>5.09</v>
      </c>
      <c r="K883">
        <v>101.8</v>
      </c>
      <c r="L883" s="1">
        <v>43709</v>
      </c>
      <c r="M883" s="2">
        <v>0.53541666666666665</v>
      </c>
      <c r="N883" t="s">
        <v>37</v>
      </c>
      <c r="O883">
        <v>81.44</v>
      </c>
      <c r="P883">
        <v>4.7619047620000003</v>
      </c>
      <c r="Q883">
        <v>20.36</v>
      </c>
      <c r="R883">
        <v>9.9749999999999996</v>
      </c>
      <c r="S883">
        <v>96.078500000000005</v>
      </c>
      <c r="T883">
        <v>19.763300000000001</v>
      </c>
    </row>
    <row r="884" spans="1:20" x14ac:dyDescent="0.3">
      <c r="A884" t="s">
        <v>1365</v>
      </c>
      <c r="B884" t="s">
        <v>51</v>
      </c>
      <c r="C884" t="s">
        <v>791</v>
      </c>
      <c r="D884" t="s">
        <v>53</v>
      </c>
      <c r="E884" t="s">
        <v>32</v>
      </c>
      <c r="F884" t="s">
        <v>36</v>
      </c>
      <c r="G884" t="s">
        <v>68</v>
      </c>
      <c r="H884">
        <v>31.99</v>
      </c>
      <c r="I884">
        <v>14</v>
      </c>
      <c r="J884">
        <v>22.393000000000001</v>
      </c>
      <c r="K884">
        <v>447.86</v>
      </c>
      <c r="L884" s="1">
        <v>43665</v>
      </c>
      <c r="M884" s="2">
        <v>0.63749999999999996</v>
      </c>
      <c r="N884" t="s">
        <v>37</v>
      </c>
      <c r="O884">
        <v>319.89999999999998</v>
      </c>
      <c r="P884">
        <v>4.7619047620000003</v>
      </c>
      <c r="Q884">
        <v>127.96</v>
      </c>
      <c r="R884">
        <v>10</v>
      </c>
      <c r="S884">
        <v>96.089100000000002</v>
      </c>
      <c r="T884">
        <v>21.9588</v>
      </c>
    </row>
    <row r="885" spans="1:20" x14ac:dyDescent="0.3">
      <c r="A885" t="s">
        <v>1366</v>
      </c>
      <c r="B885" t="s">
        <v>21</v>
      </c>
      <c r="C885" t="s">
        <v>1367</v>
      </c>
      <c r="D885" t="s">
        <v>23</v>
      </c>
      <c r="E885" t="s">
        <v>32</v>
      </c>
      <c r="F885" t="s">
        <v>25</v>
      </c>
      <c r="G885" t="s">
        <v>77</v>
      </c>
      <c r="H885">
        <v>34.42</v>
      </c>
      <c r="I885">
        <v>6</v>
      </c>
      <c r="J885">
        <v>10.326000000000001</v>
      </c>
      <c r="K885">
        <v>206.52</v>
      </c>
      <c r="L885" s="1">
        <v>43790</v>
      </c>
      <c r="M885" s="2">
        <v>0.53125</v>
      </c>
      <c r="N885" t="s">
        <v>27</v>
      </c>
      <c r="O885">
        <v>206.52</v>
      </c>
      <c r="P885">
        <v>4.7619047620000003</v>
      </c>
      <c r="Q885">
        <v>0</v>
      </c>
      <c r="R885">
        <v>7.5</v>
      </c>
      <c r="S885">
        <v>96.173500000000004</v>
      </c>
      <c r="T885">
        <v>16.840900000000001</v>
      </c>
    </row>
    <row r="886" spans="1:20" x14ac:dyDescent="0.3">
      <c r="A886" t="s">
        <v>1368</v>
      </c>
      <c r="B886" t="s">
        <v>21</v>
      </c>
      <c r="C886" t="s">
        <v>1369</v>
      </c>
      <c r="D886" t="s">
        <v>23</v>
      </c>
      <c r="E886" t="s">
        <v>32</v>
      </c>
      <c r="F886" t="s">
        <v>25</v>
      </c>
      <c r="G886" t="s">
        <v>63</v>
      </c>
      <c r="H886">
        <v>83.34</v>
      </c>
      <c r="I886">
        <v>2</v>
      </c>
      <c r="J886">
        <v>8.3339999999999996</v>
      </c>
      <c r="K886">
        <v>166.68</v>
      </c>
      <c r="L886" s="1">
        <v>43708</v>
      </c>
      <c r="M886" s="2">
        <v>0.56736111111111109</v>
      </c>
      <c r="N886" t="s">
        <v>33</v>
      </c>
      <c r="O886">
        <v>166.68</v>
      </c>
      <c r="P886">
        <v>4.7619047620000003</v>
      </c>
      <c r="Q886">
        <v>0</v>
      </c>
      <c r="R886">
        <v>7.6</v>
      </c>
      <c r="S886">
        <v>96.173500000000004</v>
      </c>
      <c r="T886">
        <v>16.840900000000001</v>
      </c>
    </row>
    <row r="887" spans="1:20" x14ac:dyDescent="0.3">
      <c r="A887" t="s">
        <v>1370</v>
      </c>
      <c r="B887" t="s">
        <v>21</v>
      </c>
      <c r="C887" t="s">
        <v>1328</v>
      </c>
      <c r="D887" t="s">
        <v>23</v>
      </c>
      <c r="E887" t="s">
        <v>32</v>
      </c>
      <c r="F887" t="s">
        <v>36</v>
      </c>
      <c r="G887" t="s">
        <v>68</v>
      </c>
      <c r="H887">
        <v>45.58</v>
      </c>
      <c r="I887">
        <v>7</v>
      </c>
      <c r="J887">
        <v>15.952999999999999</v>
      </c>
      <c r="K887">
        <v>319.06</v>
      </c>
      <c r="L887" s="1">
        <v>43736</v>
      </c>
      <c r="M887" s="2">
        <v>0.41875000000000001</v>
      </c>
      <c r="N887" t="s">
        <v>33</v>
      </c>
      <c r="O887">
        <v>319.06</v>
      </c>
      <c r="P887">
        <v>4.7619047620000003</v>
      </c>
      <c r="Q887">
        <v>0</v>
      </c>
      <c r="R887">
        <v>5</v>
      </c>
      <c r="S887">
        <v>96.173500000000004</v>
      </c>
      <c r="T887">
        <v>16.840900000000001</v>
      </c>
    </row>
    <row r="888" spans="1:20" x14ac:dyDescent="0.3">
      <c r="A888" t="s">
        <v>1371</v>
      </c>
      <c r="B888" t="s">
        <v>21</v>
      </c>
      <c r="C888" t="s">
        <v>179</v>
      </c>
      <c r="D888" t="s">
        <v>23</v>
      </c>
      <c r="E888" t="s">
        <v>32</v>
      </c>
      <c r="F888" t="s">
        <v>36</v>
      </c>
      <c r="G888" t="s">
        <v>63</v>
      </c>
      <c r="H888">
        <v>87.9</v>
      </c>
      <c r="I888">
        <v>1</v>
      </c>
      <c r="J888">
        <v>4.3949999999999996</v>
      </c>
      <c r="K888">
        <v>87.9</v>
      </c>
      <c r="L888" s="1">
        <v>43580</v>
      </c>
      <c r="M888" s="2">
        <v>0.8208333333333333</v>
      </c>
      <c r="N888" t="s">
        <v>27</v>
      </c>
      <c r="O888">
        <v>87.9</v>
      </c>
      <c r="P888">
        <v>4.7619047620000003</v>
      </c>
      <c r="Q888">
        <v>0</v>
      </c>
      <c r="R888">
        <v>6.7</v>
      </c>
      <c r="S888">
        <v>96.173500000000004</v>
      </c>
      <c r="T888">
        <v>16.840900000000001</v>
      </c>
    </row>
    <row r="889" spans="1:20" x14ac:dyDescent="0.3">
      <c r="A889" t="s">
        <v>1372</v>
      </c>
      <c r="B889" t="s">
        <v>21</v>
      </c>
      <c r="C889" t="s">
        <v>1373</v>
      </c>
      <c r="D889" t="s">
        <v>23</v>
      </c>
      <c r="E889" t="s">
        <v>32</v>
      </c>
      <c r="F889" t="s">
        <v>25</v>
      </c>
      <c r="G889" t="s">
        <v>60</v>
      </c>
      <c r="H889">
        <v>73.47</v>
      </c>
      <c r="I889">
        <v>10</v>
      </c>
      <c r="J889">
        <v>36.734999999999999</v>
      </c>
      <c r="K889">
        <v>734.7</v>
      </c>
      <c r="L889" s="1">
        <v>43511</v>
      </c>
      <c r="M889" s="2">
        <v>0.55138888888888893</v>
      </c>
      <c r="N889" t="s">
        <v>27</v>
      </c>
      <c r="O889">
        <v>734.7</v>
      </c>
      <c r="P889">
        <v>4.7619047620000003</v>
      </c>
      <c r="Q889">
        <v>0</v>
      </c>
      <c r="R889">
        <v>9.5</v>
      </c>
      <c r="S889">
        <v>96.173500000000004</v>
      </c>
      <c r="T889">
        <v>16.840900000000001</v>
      </c>
    </row>
    <row r="890" spans="1:20" x14ac:dyDescent="0.3">
      <c r="A890" t="s">
        <v>1374</v>
      </c>
      <c r="B890" t="s">
        <v>29</v>
      </c>
      <c r="C890" t="s">
        <v>367</v>
      </c>
      <c r="D890" t="s">
        <v>31</v>
      </c>
      <c r="E890" t="s">
        <v>32</v>
      </c>
      <c r="F890" t="s">
        <v>25</v>
      </c>
      <c r="G890" t="s">
        <v>100</v>
      </c>
      <c r="H890">
        <v>12.19</v>
      </c>
      <c r="I890">
        <v>10</v>
      </c>
      <c r="J890">
        <v>6.0949999999999998</v>
      </c>
      <c r="K890">
        <v>121.9</v>
      </c>
      <c r="L890" s="1">
        <v>43722</v>
      </c>
      <c r="M890" s="2">
        <v>0.53263888888888888</v>
      </c>
      <c r="N890" t="s">
        <v>27</v>
      </c>
      <c r="O890">
        <v>97.52</v>
      </c>
      <c r="P890">
        <v>4.7619047620000003</v>
      </c>
      <c r="Q890">
        <v>24.38</v>
      </c>
      <c r="R890">
        <v>7.14</v>
      </c>
      <c r="S890">
        <v>96.078500000000005</v>
      </c>
      <c r="T890">
        <v>19.763300000000001</v>
      </c>
    </row>
    <row r="891" spans="1:20" x14ac:dyDescent="0.3">
      <c r="A891" t="s">
        <v>1375</v>
      </c>
      <c r="B891" t="s">
        <v>21</v>
      </c>
      <c r="C891" t="s">
        <v>606</v>
      </c>
      <c r="D891" t="s">
        <v>23</v>
      </c>
      <c r="E891" t="s">
        <v>32</v>
      </c>
      <c r="F891" t="s">
        <v>36</v>
      </c>
      <c r="G891" t="s">
        <v>68</v>
      </c>
      <c r="H891">
        <v>76.92</v>
      </c>
      <c r="I891">
        <v>10</v>
      </c>
      <c r="J891">
        <v>38.46</v>
      </c>
      <c r="K891">
        <v>769.2</v>
      </c>
      <c r="L891" s="1">
        <v>43819</v>
      </c>
      <c r="M891" s="2">
        <v>0.82847222222222228</v>
      </c>
      <c r="N891" t="s">
        <v>27</v>
      </c>
      <c r="O891">
        <v>769.2</v>
      </c>
      <c r="P891">
        <v>4.7619047620000003</v>
      </c>
      <c r="Q891">
        <v>0</v>
      </c>
      <c r="R891">
        <v>5.6</v>
      </c>
      <c r="S891">
        <v>96.173500000000004</v>
      </c>
      <c r="T891">
        <v>16.840900000000001</v>
      </c>
    </row>
    <row r="892" spans="1:20" x14ac:dyDescent="0.3">
      <c r="A892" t="s">
        <v>1376</v>
      </c>
      <c r="B892" t="s">
        <v>29</v>
      </c>
      <c r="C892" t="s">
        <v>1377</v>
      </c>
      <c r="D892" t="s">
        <v>31</v>
      </c>
      <c r="E892" t="s">
        <v>32</v>
      </c>
      <c r="F892" t="s">
        <v>25</v>
      </c>
      <c r="G892" t="s">
        <v>26</v>
      </c>
      <c r="H892">
        <v>83.66</v>
      </c>
      <c r="I892">
        <v>6</v>
      </c>
      <c r="J892">
        <v>25.097999999999999</v>
      </c>
      <c r="K892">
        <v>501.96</v>
      </c>
      <c r="L892" s="1">
        <v>43724</v>
      </c>
      <c r="M892" s="2">
        <v>0.43472222222222223</v>
      </c>
      <c r="N892" t="s">
        <v>33</v>
      </c>
      <c r="O892">
        <v>418.3</v>
      </c>
      <c r="P892">
        <v>4.7619047620000003</v>
      </c>
      <c r="Q892">
        <v>83.66</v>
      </c>
      <c r="R892">
        <v>7.56</v>
      </c>
      <c r="S892">
        <v>96.078500000000005</v>
      </c>
      <c r="T892">
        <v>19.763300000000001</v>
      </c>
    </row>
    <row r="893" spans="1:20" x14ac:dyDescent="0.3">
      <c r="A893" t="s">
        <v>1378</v>
      </c>
      <c r="B893" t="s">
        <v>51</v>
      </c>
      <c r="C893" t="s">
        <v>656</v>
      </c>
      <c r="D893" t="s">
        <v>53</v>
      </c>
      <c r="E893" t="s">
        <v>32</v>
      </c>
      <c r="F893" t="s">
        <v>25</v>
      </c>
      <c r="G893" t="s">
        <v>68</v>
      </c>
      <c r="H893">
        <v>57.91</v>
      </c>
      <c r="I893">
        <v>11</v>
      </c>
      <c r="J893">
        <v>31.8505</v>
      </c>
      <c r="K893">
        <v>637.01</v>
      </c>
      <c r="L893" s="1">
        <v>43657</v>
      </c>
      <c r="M893" s="2">
        <v>0.62916666666666665</v>
      </c>
      <c r="N893" t="s">
        <v>33</v>
      </c>
      <c r="O893">
        <v>463.28</v>
      </c>
      <c r="P893">
        <v>4.7619047620000003</v>
      </c>
      <c r="Q893">
        <v>173.73</v>
      </c>
      <c r="R893">
        <v>9.7200000000000006</v>
      </c>
      <c r="S893">
        <v>96.089100000000002</v>
      </c>
      <c r="T893">
        <v>21.9588</v>
      </c>
    </row>
    <row r="894" spans="1:20" x14ac:dyDescent="0.3">
      <c r="A894" t="s">
        <v>1379</v>
      </c>
      <c r="B894" t="s">
        <v>29</v>
      </c>
      <c r="C894" t="s">
        <v>278</v>
      </c>
      <c r="D894" t="s">
        <v>31</v>
      </c>
      <c r="E894" t="s">
        <v>32</v>
      </c>
      <c r="F894" t="s">
        <v>25</v>
      </c>
      <c r="G894" t="s">
        <v>68</v>
      </c>
      <c r="H894">
        <v>92.49</v>
      </c>
      <c r="I894">
        <v>6</v>
      </c>
      <c r="J894">
        <v>27.747</v>
      </c>
      <c r="K894">
        <v>554.94000000000005</v>
      </c>
      <c r="L894" s="1">
        <v>43584</v>
      </c>
      <c r="M894" s="2">
        <v>0.69097222222222221</v>
      </c>
      <c r="N894" t="s">
        <v>37</v>
      </c>
      <c r="O894">
        <v>462.45</v>
      </c>
      <c r="P894">
        <v>4.7619047620000003</v>
      </c>
      <c r="Q894">
        <v>92.49</v>
      </c>
      <c r="R894">
        <v>9.0299999999999994</v>
      </c>
      <c r="S894">
        <v>96.078500000000005</v>
      </c>
      <c r="T894">
        <v>19.763300000000001</v>
      </c>
    </row>
    <row r="895" spans="1:20" x14ac:dyDescent="0.3">
      <c r="A895" t="s">
        <v>1380</v>
      </c>
      <c r="B895" t="s">
        <v>51</v>
      </c>
      <c r="C895" t="s">
        <v>328</v>
      </c>
      <c r="D895" t="s">
        <v>53</v>
      </c>
      <c r="E895" t="s">
        <v>32</v>
      </c>
      <c r="F895" t="s">
        <v>36</v>
      </c>
      <c r="G895" t="s">
        <v>68</v>
      </c>
      <c r="H895">
        <v>28.38</v>
      </c>
      <c r="I895">
        <v>7</v>
      </c>
      <c r="J895">
        <v>9.9329999999999998</v>
      </c>
      <c r="K895">
        <v>198.66</v>
      </c>
      <c r="L895" s="1">
        <v>43762</v>
      </c>
      <c r="M895" s="2">
        <v>0.87291666666666667</v>
      </c>
      <c r="N895" t="s">
        <v>33</v>
      </c>
      <c r="O895">
        <v>141.9</v>
      </c>
      <c r="P895">
        <v>4.7619047620000003</v>
      </c>
      <c r="Q895">
        <v>56.76</v>
      </c>
      <c r="R895">
        <v>10</v>
      </c>
      <c r="S895">
        <v>96.089100000000002</v>
      </c>
      <c r="T895">
        <v>21.9588</v>
      </c>
    </row>
    <row r="896" spans="1:20" x14ac:dyDescent="0.3">
      <c r="A896" t="s">
        <v>1381</v>
      </c>
      <c r="B896" t="s">
        <v>51</v>
      </c>
      <c r="C896" t="s">
        <v>95</v>
      </c>
      <c r="D896" t="s">
        <v>53</v>
      </c>
      <c r="E896" t="s">
        <v>32</v>
      </c>
      <c r="F896" t="s">
        <v>36</v>
      </c>
      <c r="G896" t="s">
        <v>68</v>
      </c>
      <c r="H896">
        <v>50.45</v>
      </c>
      <c r="I896">
        <v>8</v>
      </c>
      <c r="J896">
        <v>20.18</v>
      </c>
      <c r="K896">
        <v>403.6</v>
      </c>
      <c r="L896" s="1">
        <v>43546</v>
      </c>
      <c r="M896" s="2">
        <v>0.63611111111111107</v>
      </c>
      <c r="N896" t="s">
        <v>37</v>
      </c>
      <c r="O896">
        <v>302.7</v>
      </c>
      <c r="P896">
        <v>4.7619047620000003</v>
      </c>
      <c r="Q896">
        <v>100.9</v>
      </c>
      <c r="R896">
        <v>10</v>
      </c>
      <c r="S896">
        <v>96.089100000000002</v>
      </c>
      <c r="T896">
        <v>21.9588</v>
      </c>
    </row>
    <row r="897" spans="1:20" x14ac:dyDescent="0.3">
      <c r="A897" t="s">
        <v>1382</v>
      </c>
      <c r="B897" t="s">
        <v>51</v>
      </c>
      <c r="C897" t="s">
        <v>333</v>
      </c>
      <c r="D897" t="s">
        <v>53</v>
      </c>
      <c r="E897" t="s">
        <v>32</v>
      </c>
      <c r="F897" t="s">
        <v>36</v>
      </c>
      <c r="G897" t="s">
        <v>68</v>
      </c>
      <c r="H897">
        <v>99.16</v>
      </c>
      <c r="I897">
        <v>11</v>
      </c>
      <c r="J897">
        <v>54.537999999999997</v>
      </c>
      <c r="K897">
        <v>1090.76</v>
      </c>
      <c r="L897" s="1">
        <v>43745</v>
      </c>
      <c r="M897" s="2">
        <v>0.74097222222222225</v>
      </c>
      <c r="N897" t="s">
        <v>37</v>
      </c>
      <c r="O897">
        <v>793.28</v>
      </c>
      <c r="P897">
        <v>4.7619047620000003</v>
      </c>
      <c r="Q897">
        <v>297.48</v>
      </c>
      <c r="R897">
        <v>5.04</v>
      </c>
      <c r="S897">
        <v>96.089100000000002</v>
      </c>
      <c r="T897">
        <v>21.9588</v>
      </c>
    </row>
    <row r="898" spans="1:20" x14ac:dyDescent="0.3">
      <c r="A898" t="s">
        <v>1383</v>
      </c>
      <c r="B898" t="s">
        <v>29</v>
      </c>
      <c r="C898" t="s">
        <v>685</v>
      </c>
      <c r="D898" t="s">
        <v>31</v>
      </c>
      <c r="E898" t="s">
        <v>32</v>
      </c>
      <c r="F898" t="s">
        <v>36</v>
      </c>
      <c r="G898" t="s">
        <v>68</v>
      </c>
      <c r="H898">
        <v>60.74</v>
      </c>
      <c r="I898">
        <v>8</v>
      </c>
      <c r="J898">
        <v>24.295999999999999</v>
      </c>
      <c r="K898">
        <v>485.92</v>
      </c>
      <c r="L898" s="1">
        <v>43761</v>
      </c>
      <c r="M898" s="2">
        <v>0.68263888888888891</v>
      </c>
      <c r="N898" t="s">
        <v>27</v>
      </c>
      <c r="O898">
        <v>425.18</v>
      </c>
      <c r="P898">
        <v>4.7619047620000003</v>
      </c>
      <c r="Q898">
        <v>60.74</v>
      </c>
      <c r="R898">
        <v>5.25</v>
      </c>
      <c r="S898">
        <v>96.078500000000005</v>
      </c>
      <c r="T898">
        <v>19.763300000000001</v>
      </c>
    </row>
    <row r="899" spans="1:20" x14ac:dyDescent="0.3">
      <c r="A899" t="s">
        <v>1384</v>
      </c>
      <c r="B899" t="s">
        <v>29</v>
      </c>
      <c r="C899" t="s">
        <v>509</v>
      </c>
      <c r="D899" t="s">
        <v>31</v>
      </c>
      <c r="E899" t="s">
        <v>32</v>
      </c>
      <c r="F899" t="s">
        <v>25</v>
      </c>
      <c r="G899" t="s">
        <v>68</v>
      </c>
      <c r="H899">
        <v>47.27</v>
      </c>
      <c r="I899">
        <v>7</v>
      </c>
      <c r="J899">
        <v>16.544499999999999</v>
      </c>
      <c r="K899">
        <v>330.89</v>
      </c>
      <c r="L899" s="1">
        <v>43468</v>
      </c>
      <c r="M899" s="2">
        <v>0.4284722222222222</v>
      </c>
      <c r="N899" t="s">
        <v>33</v>
      </c>
      <c r="O899">
        <v>283.62</v>
      </c>
      <c r="P899">
        <v>4.7619047620000003</v>
      </c>
      <c r="Q899">
        <v>47.27</v>
      </c>
      <c r="R899">
        <v>9.24</v>
      </c>
      <c r="S899">
        <v>96.078500000000005</v>
      </c>
      <c r="T899">
        <v>19.763300000000001</v>
      </c>
    </row>
    <row r="900" spans="1:20" x14ac:dyDescent="0.3">
      <c r="A900" t="s">
        <v>1385</v>
      </c>
      <c r="B900" t="s">
        <v>29</v>
      </c>
      <c r="C900" t="s">
        <v>347</v>
      </c>
      <c r="D900" t="s">
        <v>31</v>
      </c>
      <c r="E900" t="s">
        <v>32</v>
      </c>
      <c r="F900" t="s">
        <v>36</v>
      </c>
      <c r="G900" t="s">
        <v>68</v>
      </c>
      <c r="H900">
        <v>85.6</v>
      </c>
      <c r="I900">
        <v>8</v>
      </c>
      <c r="J900">
        <v>34.24</v>
      </c>
      <c r="K900">
        <v>684.8</v>
      </c>
      <c r="L900" s="1">
        <v>43679</v>
      </c>
      <c r="M900" s="2">
        <v>0.57638888888888884</v>
      </c>
      <c r="N900" t="s">
        <v>33</v>
      </c>
      <c r="O900">
        <v>599.20000000000005</v>
      </c>
      <c r="P900">
        <v>4.7619047620000003</v>
      </c>
      <c r="Q900">
        <v>85.6</v>
      </c>
      <c r="R900">
        <v>5.5650000000000004</v>
      </c>
      <c r="S900">
        <v>96.078500000000005</v>
      </c>
      <c r="T900">
        <v>19.763300000000001</v>
      </c>
    </row>
    <row r="901" spans="1:20" x14ac:dyDescent="0.3">
      <c r="A901" t="s">
        <v>1386</v>
      </c>
      <c r="B901" t="s">
        <v>21</v>
      </c>
      <c r="C901" t="s">
        <v>1387</v>
      </c>
      <c r="D901" t="s">
        <v>23</v>
      </c>
      <c r="E901" t="s">
        <v>32</v>
      </c>
      <c r="F901" t="s">
        <v>36</v>
      </c>
      <c r="G901" t="s">
        <v>68</v>
      </c>
      <c r="H901">
        <v>35.04</v>
      </c>
      <c r="I901">
        <v>9</v>
      </c>
      <c r="J901">
        <v>15.768000000000001</v>
      </c>
      <c r="K901">
        <v>315.36</v>
      </c>
      <c r="L901" s="1">
        <v>43518</v>
      </c>
      <c r="M901" s="2">
        <v>0.80347222222222225</v>
      </c>
      <c r="N901" t="s">
        <v>27</v>
      </c>
      <c r="O901">
        <v>315.36</v>
      </c>
      <c r="P901">
        <v>4.7619047620000003</v>
      </c>
      <c r="Q901">
        <v>0</v>
      </c>
      <c r="R901">
        <v>4.5999999999999996</v>
      </c>
      <c r="S901">
        <v>96.173500000000004</v>
      </c>
      <c r="T901">
        <v>16.840900000000001</v>
      </c>
    </row>
    <row r="902" spans="1:20" x14ac:dyDescent="0.3">
      <c r="A902" t="s">
        <v>1388</v>
      </c>
      <c r="B902" t="s">
        <v>29</v>
      </c>
      <c r="C902" t="s">
        <v>1389</v>
      </c>
      <c r="D902" t="s">
        <v>31</v>
      </c>
      <c r="E902" t="s">
        <v>32</v>
      </c>
      <c r="F902" t="s">
        <v>25</v>
      </c>
      <c r="G902" t="s">
        <v>68</v>
      </c>
      <c r="H902">
        <v>44.84</v>
      </c>
      <c r="I902">
        <v>11</v>
      </c>
      <c r="J902">
        <v>24.661999999999999</v>
      </c>
      <c r="K902">
        <v>493.24</v>
      </c>
      <c r="L902" s="1">
        <v>43805</v>
      </c>
      <c r="M902" s="2">
        <v>0.58333333333333337</v>
      </c>
      <c r="N902" t="s">
        <v>37</v>
      </c>
      <c r="O902">
        <v>403.56</v>
      </c>
      <c r="P902">
        <v>4.7619047620000003</v>
      </c>
      <c r="Q902">
        <v>89.68</v>
      </c>
      <c r="R902">
        <v>7.875</v>
      </c>
      <c r="S902">
        <v>96.078500000000005</v>
      </c>
      <c r="T902">
        <v>19.763300000000001</v>
      </c>
    </row>
    <row r="903" spans="1:20" x14ac:dyDescent="0.3">
      <c r="A903" t="s">
        <v>1390</v>
      </c>
      <c r="B903" t="s">
        <v>51</v>
      </c>
      <c r="C903" t="s">
        <v>665</v>
      </c>
      <c r="D903" t="s">
        <v>53</v>
      </c>
      <c r="E903" t="s">
        <v>32</v>
      </c>
      <c r="F903" t="s">
        <v>36</v>
      </c>
      <c r="G903" t="s">
        <v>68</v>
      </c>
      <c r="H903">
        <v>45.97</v>
      </c>
      <c r="I903">
        <v>6</v>
      </c>
      <c r="J903">
        <v>13.791</v>
      </c>
      <c r="K903">
        <v>275.82</v>
      </c>
      <c r="L903" s="1">
        <v>43608</v>
      </c>
      <c r="M903" s="2">
        <v>0.50138888888888888</v>
      </c>
      <c r="N903" t="s">
        <v>27</v>
      </c>
      <c r="O903">
        <v>183.88</v>
      </c>
      <c r="P903">
        <v>4.7619047620000003</v>
      </c>
      <c r="Q903">
        <v>91.94</v>
      </c>
      <c r="R903">
        <v>6.12</v>
      </c>
      <c r="S903">
        <v>96.089100000000002</v>
      </c>
      <c r="T903">
        <v>21.9588</v>
      </c>
    </row>
    <row r="904" spans="1:20" x14ac:dyDescent="0.3">
      <c r="A904" t="s">
        <v>1391</v>
      </c>
      <c r="B904" t="s">
        <v>21</v>
      </c>
      <c r="C904" t="s">
        <v>1294</v>
      </c>
      <c r="D904" t="s">
        <v>23</v>
      </c>
      <c r="E904" t="s">
        <v>32</v>
      </c>
      <c r="F904" t="s">
        <v>25</v>
      </c>
      <c r="G904" t="s">
        <v>26</v>
      </c>
      <c r="H904">
        <v>27.73</v>
      </c>
      <c r="I904">
        <v>5</v>
      </c>
      <c r="J904">
        <v>6.9325000000000001</v>
      </c>
      <c r="K904">
        <v>138.65</v>
      </c>
      <c r="L904" s="1">
        <v>43612</v>
      </c>
      <c r="M904" s="2">
        <v>0.84791666666666665</v>
      </c>
      <c r="N904" t="s">
        <v>37</v>
      </c>
      <c r="O904">
        <v>138.65</v>
      </c>
      <c r="P904">
        <v>4.7619047620000003</v>
      </c>
      <c r="Q904">
        <v>0</v>
      </c>
      <c r="R904">
        <v>4.2</v>
      </c>
      <c r="S904">
        <v>96.173500000000004</v>
      </c>
      <c r="T904">
        <v>16.840900000000001</v>
      </c>
    </row>
    <row r="905" spans="1:20" x14ac:dyDescent="0.3">
      <c r="A905" t="s">
        <v>1392</v>
      </c>
      <c r="B905" t="s">
        <v>21</v>
      </c>
      <c r="C905" t="s">
        <v>1146</v>
      </c>
      <c r="D905" t="s">
        <v>23</v>
      </c>
      <c r="E905" t="s">
        <v>32</v>
      </c>
      <c r="F905" t="s">
        <v>36</v>
      </c>
      <c r="G905" t="s">
        <v>63</v>
      </c>
      <c r="H905">
        <v>11.53</v>
      </c>
      <c r="I905">
        <v>7</v>
      </c>
      <c r="J905">
        <v>4.0354999999999999</v>
      </c>
      <c r="K905">
        <v>80.709999999999994</v>
      </c>
      <c r="L905" s="1">
        <v>43477</v>
      </c>
      <c r="M905" s="2">
        <v>0.73263888888888884</v>
      </c>
      <c r="N905" t="s">
        <v>33</v>
      </c>
      <c r="O905">
        <v>80.709999999999994</v>
      </c>
      <c r="P905">
        <v>4.7619047620000003</v>
      </c>
      <c r="Q905">
        <v>0</v>
      </c>
      <c r="R905">
        <v>8.1</v>
      </c>
      <c r="S905">
        <v>96.173500000000004</v>
      </c>
      <c r="T905">
        <v>16.840900000000001</v>
      </c>
    </row>
    <row r="906" spans="1:20" x14ac:dyDescent="0.3">
      <c r="A906" t="s">
        <v>1393</v>
      </c>
      <c r="B906" t="s">
        <v>29</v>
      </c>
      <c r="C906" t="s">
        <v>1394</v>
      </c>
      <c r="D906" t="s">
        <v>31</v>
      </c>
      <c r="E906" t="s">
        <v>32</v>
      </c>
      <c r="F906" t="s">
        <v>25</v>
      </c>
      <c r="G906" t="s">
        <v>26</v>
      </c>
      <c r="H906">
        <v>58.32</v>
      </c>
      <c r="I906">
        <v>2</v>
      </c>
      <c r="J906">
        <v>5.8319999999999999</v>
      </c>
      <c r="K906">
        <v>116.64</v>
      </c>
      <c r="L906" s="1">
        <v>43743</v>
      </c>
      <c r="M906" s="2">
        <v>0.52916666666666667</v>
      </c>
      <c r="N906" t="s">
        <v>27</v>
      </c>
      <c r="O906">
        <v>116.64</v>
      </c>
      <c r="P906">
        <v>4.7619047620000003</v>
      </c>
      <c r="Q906">
        <v>0</v>
      </c>
      <c r="R906">
        <v>6.3</v>
      </c>
      <c r="S906">
        <v>96.078500000000005</v>
      </c>
      <c r="T906">
        <v>19.763300000000001</v>
      </c>
    </row>
    <row r="907" spans="1:20" x14ac:dyDescent="0.3">
      <c r="A907" t="s">
        <v>1395</v>
      </c>
      <c r="B907" t="s">
        <v>29</v>
      </c>
      <c r="C907" t="s">
        <v>270</v>
      </c>
      <c r="D907" t="s">
        <v>31</v>
      </c>
      <c r="E907" t="s">
        <v>32</v>
      </c>
      <c r="F907" t="s">
        <v>25</v>
      </c>
      <c r="G907" t="s">
        <v>77</v>
      </c>
      <c r="H907">
        <v>78.38</v>
      </c>
      <c r="I907">
        <v>5</v>
      </c>
      <c r="J907">
        <v>19.594999999999999</v>
      </c>
      <c r="K907">
        <v>391.9</v>
      </c>
      <c r="L907" s="1">
        <v>43696</v>
      </c>
      <c r="M907" s="2">
        <v>0.74722222222222223</v>
      </c>
      <c r="N907" t="s">
        <v>33</v>
      </c>
      <c r="O907">
        <v>313.52</v>
      </c>
      <c r="P907">
        <v>4.7619047620000003</v>
      </c>
      <c r="Q907">
        <v>78.38</v>
      </c>
      <c r="R907">
        <v>8.2949999999999999</v>
      </c>
      <c r="S907">
        <v>96.078500000000005</v>
      </c>
      <c r="T907">
        <v>19.763300000000001</v>
      </c>
    </row>
    <row r="908" spans="1:20" x14ac:dyDescent="0.3">
      <c r="A908" t="s">
        <v>1396</v>
      </c>
      <c r="B908" t="s">
        <v>29</v>
      </c>
      <c r="C908" t="s">
        <v>1397</v>
      </c>
      <c r="D908" t="s">
        <v>31</v>
      </c>
      <c r="E908" t="s">
        <v>32</v>
      </c>
      <c r="F908" t="s">
        <v>36</v>
      </c>
      <c r="G908" t="s">
        <v>26</v>
      </c>
      <c r="H908">
        <v>84.61</v>
      </c>
      <c r="I908">
        <v>12</v>
      </c>
      <c r="J908">
        <v>50.765999999999998</v>
      </c>
      <c r="K908">
        <v>1015.32</v>
      </c>
      <c r="L908" s="1">
        <v>43602</v>
      </c>
      <c r="M908" s="2">
        <v>0.79027777777777775</v>
      </c>
      <c r="N908" t="s">
        <v>37</v>
      </c>
      <c r="O908">
        <v>846.1</v>
      </c>
      <c r="P908">
        <v>4.7619047620000003</v>
      </c>
      <c r="Q908">
        <v>169.22</v>
      </c>
      <c r="R908">
        <v>9.24</v>
      </c>
      <c r="S908">
        <v>96.078500000000005</v>
      </c>
      <c r="T908">
        <v>19.763300000000001</v>
      </c>
    </row>
    <row r="909" spans="1:20" x14ac:dyDescent="0.3">
      <c r="A909" t="s">
        <v>1398</v>
      </c>
      <c r="B909" t="s">
        <v>51</v>
      </c>
      <c r="C909" t="s">
        <v>821</v>
      </c>
      <c r="D909" t="s">
        <v>53</v>
      </c>
      <c r="E909" t="s">
        <v>32</v>
      </c>
      <c r="F909" t="s">
        <v>25</v>
      </c>
      <c r="G909" t="s">
        <v>26</v>
      </c>
      <c r="H909">
        <v>82.88</v>
      </c>
      <c r="I909">
        <v>7</v>
      </c>
      <c r="J909">
        <v>29.007999999999999</v>
      </c>
      <c r="K909">
        <v>580.16</v>
      </c>
      <c r="L909" s="1">
        <v>43538</v>
      </c>
      <c r="M909" s="2">
        <v>0.58888888888888891</v>
      </c>
      <c r="N909" t="s">
        <v>37</v>
      </c>
      <c r="O909">
        <v>414.4</v>
      </c>
      <c r="P909">
        <v>4.7619047620000003</v>
      </c>
      <c r="Q909">
        <v>165.76</v>
      </c>
      <c r="R909">
        <v>7.92</v>
      </c>
      <c r="S909">
        <v>96.089100000000002</v>
      </c>
      <c r="T909">
        <v>21.9588</v>
      </c>
    </row>
    <row r="910" spans="1:20" x14ac:dyDescent="0.3">
      <c r="A910" t="s">
        <v>1399</v>
      </c>
      <c r="B910" t="s">
        <v>21</v>
      </c>
      <c r="C910" t="s">
        <v>1400</v>
      </c>
      <c r="D910" t="s">
        <v>23</v>
      </c>
      <c r="E910" t="s">
        <v>32</v>
      </c>
      <c r="F910" t="s">
        <v>25</v>
      </c>
      <c r="G910" t="s">
        <v>63</v>
      </c>
      <c r="H910">
        <v>79.540000000000006</v>
      </c>
      <c r="I910">
        <v>2</v>
      </c>
      <c r="J910">
        <v>7.9539999999999997</v>
      </c>
      <c r="K910">
        <v>159.08000000000001</v>
      </c>
      <c r="L910" s="1">
        <v>43689</v>
      </c>
      <c r="M910" s="2">
        <v>0.6875</v>
      </c>
      <c r="N910" t="s">
        <v>27</v>
      </c>
      <c r="O910">
        <v>159.08000000000001</v>
      </c>
      <c r="P910">
        <v>4.7619047620000003</v>
      </c>
      <c r="Q910">
        <v>0</v>
      </c>
      <c r="R910">
        <v>6.2</v>
      </c>
      <c r="S910">
        <v>96.173500000000004</v>
      </c>
      <c r="T910">
        <v>16.840900000000001</v>
      </c>
    </row>
    <row r="911" spans="1:20" x14ac:dyDescent="0.3">
      <c r="A911" t="s">
        <v>1401</v>
      </c>
      <c r="B911" t="s">
        <v>51</v>
      </c>
      <c r="C911" t="s">
        <v>119</v>
      </c>
      <c r="D911" t="s">
        <v>53</v>
      </c>
      <c r="E911" t="s">
        <v>32</v>
      </c>
      <c r="F911" t="s">
        <v>25</v>
      </c>
      <c r="G911" t="s">
        <v>77</v>
      </c>
      <c r="H911">
        <v>49.01</v>
      </c>
      <c r="I911">
        <v>14</v>
      </c>
      <c r="J911">
        <v>34.307000000000002</v>
      </c>
      <c r="K911">
        <v>686.14</v>
      </c>
      <c r="L911" s="1">
        <v>43694</v>
      </c>
      <c r="M911" s="2">
        <v>0.44722222222222224</v>
      </c>
      <c r="N911" t="s">
        <v>37</v>
      </c>
      <c r="O911">
        <v>490.1</v>
      </c>
      <c r="P911">
        <v>4.7619047620000003</v>
      </c>
      <c r="Q911">
        <v>196.04</v>
      </c>
      <c r="R911">
        <v>5.04</v>
      </c>
      <c r="S911">
        <v>96.089100000000002</v>
      </c>
      <c r="T911">
        <v>21.9588</v>
      </c>
    </row>
    <row r="912" spans="1:20" x14ac:dyDescent="0.3">
      <c r="A912" t="s">
        <v>1402</v>
      </c>
      <c r="B912" t="s">
        <v>51</v>
      </c>
      <c r="C912" t="s">
        <v>1258</v>
      </c>
      <c r="D912" t="s">
        <v>53</v>
      </c>
      <c r="E912" t="s">
        <v>32</v>
      </c>
      <c r="F912" t="s">
        <v>25</v>
      </c>
      <c r="G912" t="s">
        <v>63</v>
      </c>
      <c r="H912">
        <v>29.15</v>
      </c>
      <c r="I912">
        <v>4</v>
      </c>
      <c r="J912">
        <v>5.83</v>
      </c>
      <c r="K912">
        <v>116.6</v>
      </c>
      <c r="L912" s="1">
        <v>43744</v>
      </c>
      <c r="M912" s="2">
        <v>0.85347222222222219</v>
      </c>
      <c r="N912" t="s">
        <v>37</v>
      </c>
      <c r="O912">
        <v>87.45</v>
      </c>
      <c r="P912">
        <v>4.7619047620000003</v>
      </c>
      <c r="Q912">
        <v>29.15</v>
      </c>
      <c r="R912">
        <v>8.76</v>
      </c>
      <c r="S912">
        <v>96.089100000000002</v>
      </c>
      <c r="T912">
        <v>21.9588</v>
      </c>
    </row>
    <row r="913" spans="1:20" x14ac:dyDescent="0.3">
      <c r="A913" t="s">
        <v>1403</v>
      </c>
      <c r="B913" t="s">
        <v>29</v>
      </c>
      <c r="C913" t="s">
        <v>675</v>
      </c>
      <c r="D913" t="s">
        <v>31</v>
      </c>
      <c r="E913" t="s">
        <v>32</v>
      </c>
      <c r="F913" t="s">
        <v>25</v>
      </c>
      <c r="G913" t="s">
        <v>60</v>
      </c>
      <c r="H913">
        <v>56.13</v>
      </c>
      <c r="I913">
        <v>5</v>
      </c>
      <c r="J913">
        <v>14.032500000000001</v>
      </c>
      <c r="K913">
        <v>280.64999999999998</v>
      </c>
      <c r="L913" s="1">
        <v>43542</v>
      </c>
      <c r="M913" s="2">
        <v>0.48819444444444443</v>
      </c>
      <c r="N913" t="s">
        <v>27</v>
      </c>
      <c r="O913">
        <v>224.52</v>
      </c>
      <c r="P913">
        <v>4.7619047620000003</v>
      </c>
      <c r="Q913">
        <v>56.13</v>
      </c>
      <c r="R913">
        <v>9.0299999999999994</v>
      </c>
      <c r="S913">
        <v>96.078500000000005</v>
      </c>
      <c r="T913">
        <v>19.763300000000001</v>
      </c>
    </row>
    <row r="914" spans="1:20" x14ac:dyDescent="0.3">
      <c r="A914" t="s">
        <v>1404</v>
      </c>
      <c r="B914" t="s">
        <v>21</v>
      </c>
      <c r="C914" t="s">
        <v>462</v>
      </c>
      <c r="D914" t="s">
        <v>23</v>
      </c>
      <c r="E914" t="s">
        <v>32</v>
      </c>
      <c r="F914" t="s">
        <v>25</v>
      </c>
      <c r="G914" t="s">
        <v>77</v>
      </c>
      <c r="H914">
        <v>93.12</v>
      </c>
      <c r="I914">
        <v>8</v>
      </c>
      <c r="J914">
        <v>37.247999999999998</v>
      </c>
      <c r="K914">
        <v>744.96</v>
      </c>
      <c r="L914" s="1">
        <v>43721</v>
      </c>
      <c r="M914" s="2">
        <v>0.42291666666666666</v>
      </c>
      <c r="N914" t="s">
        <v>33</v>
      </c>
      <c r="O914">
        <v>744.96</v>
      </c>
      <c r="P914">
        <v>4.7619047620000003</v>
      </c>
      <c r="Q914">
        <v>0</v>
      </c>
      <c r="R914">
        <v>6.8</v>
      </c>
      <c r="S914">
        <v>96.173500000000004</v>
      </c>
      <c r="T914">
        <v>16.840900000000001</v>
      </c>
    </row>
    <row r="915" spans="1:20" x14ac:dyDescent="0.3">
      <c r="A915" t="s">
        <v>1405</v>
      </c>
      <c r="B915" t="s">
        <v>21</v>
      </c>
      <c r="C915" t="s">
        <v>1406</v>
      </c>
      <c r="D915" t="s">
        <v>23</v>
      </c>
      <c r="E915" t="s">
        <v>32</v>
      </c>
      <c r="F915" t="s">
        <v>36</v>
      </c>
      <c r="G915" t="s">
        <v>100</v>
      </c>
      <c r="H915">
        <v>51.34</v>
      </c>
      <c r="I915">
        <v>8</v>
      </c>
      <c r="J915">
        <v>20.536000000000001</v>
      </c>
      <c r="K915">
        <v>410.72</v>
      </c>
      <c r="L915" s="1">
        <v>43648</v>
      </c>
      <c r="M915" s="2">
        <v>0.41666666666666669</v>
      </c>
      <c r="N915" t="s">
        <v>27</v>
      </c>
      <c r="O915">
        <v>410.72</v>
      </c>
      <c r="P915">
        <v>4.7619047620000003</v>
      </c>
      <c r="Q915">
        <v>0</v>
      </c>
      <c r="R915">
        <v>7.6</v>
      </c>
      <c r="S915">
        <v>96.173500000000004</v>
      </c>
      <c r="T915">
        <v>16.840900000000001</v>
      </c>
    </row>
    <row r="916" spans="1:20" x14ac:dyDescent="0.3">
      <c r="A916" t="s">
        <v>1407</v>
      </c>
      <c r="B916" t="s">
        <v>21</v>
      </c>
      <c r="C916" t="s">
        <v>1408</v>
      </c>
      <c r="D916" t="s">
        <v>23</v>
      </c>
      <c r="E916" t="s">
        <v>32</v>
      </c>
      <c r="F916" t="s">
        <v>25</v>
      </c>
      <c r="G916" t="s">
        <v>63</v>
      </c>
      <c r="H916">
        <v>99.6</v>
      </c>
      <c r="I916">
        <v>3</v>
      </c>
      <c r="J916">
        <v>14.94</v>
      </c>
      <c r="K916">
        <v>298.8</v>
      </c>
      <c r="L916" s="1">
        <v>43812</v>
      </c>
      <c r="M916" s="2">
        <v>0.78125</v>
      </c>
      <c r="N916" t="s">
        <v>33</v>
      </c>
      <c r="O916">
        <v>298.8</v>
      </c>
      <c r="P916">
        <v>4.7619047620000003</v>
      </c>
      <c r="Q916">
        <v>0</v>
      </c>
      <c r="R916">
        <v>5.8</v>
      </c>
      <c r="S916">
        <v>96.173500000000004</v>
      </c>
      <c r="T916">
        <v>16.840900000000001</v>
      </c>
    </row>
    <row r="917" spans="1:20" x14ac:dyDescent="0.3">
      <c r="A917" t="s">
        <v>1409</v>
      </c>
      <c r="B917" t="s">
        <v>29</v>
      </c>
      <c r="C917" t="s">
        <v>819</v>
      </c>
      <c r="D917" t="s">
        <v>31</v>
      </c>
      <c r="E917" t="s">
        <v>32</v>
      </c>
      <c r="F917" t="s">
        <v>25</v>
      </c>
      <c r="G917" t="s">
        <v>60</v>
      </c>
      <c r="H917">
        <v>35.49</v>
      </c>
      <c r="I917">
        <v>7</v>
      </c>
      <c r="J917">
        <v>12.4215</v>
      </c>
      <c r="K917">
        <v>248.43</v>
      </c>
      <c r="L917" s="1">
        <v>43543</v>
      </c>
      <c r="M917" s="2">
        <v>0.52777777777777779</v>
      </c>
      <c r="N917" t="s">
        <v>33</v>
      </c>
      <c r="O917">
        <v>212.94</v>
      </c>
      <c r="P917">
        <v>4.7619047620000003</v>
      </c>
      <c r="Q917">
        <v>35.49</v>
      </c>
      <c r="R917">
        <v>4.3049999999999997</v>
      </c>
      <c r="S917">
        <v>96.078500000000005</v>
      </c>
      <c r="T917">
        <v>19.763300000000001</v>
      </c>
    </row>
    <row r="918" spans="1:20" x14ac:dyDescent="0.3">
      <c r="A918" t="s">
        <v>1410</v>
      </c>
      <c r="B918" t="s">
        <v>29</v>
      </c>
      <c r="C918" t="s">
        <v>323</v>
      </c>
      <c r="D918" t="s">
        <v>31</v>
      </c>
      <c r="E918" t="s">
        <v>32</v>
      </c>
      <c r="F918" t="s">
        <v>36</v>
      </c>
      <c r="G918" t="s">
        <v>68</v>
      </c>
      <c r="H918">
        <v>42.85</v>
      </c>
      <c r="I918">
        <v>1</v>
      </c>
      <c r="J918">
        <v>2.1425000000000001</v>
      </c>
      <c r="K918">
        <v>42.85</v>
      </c>
      <c r="L918" s="1">
        <v>43525</v>
      </c>
      <c r="M918" s="2">
        <v>0.65</v>
      </c>
      <c r="N918" t="s">
        <v>37</v>
      </c>
      <c r="O918">
        <v>42.85</v>
      </c>
      <c r="P918">
        <v>4.7619047620000003</v>
      </c>
      <c r="Q918">
        <v>0</v>
      </c>
      <c r="R918">
        <v>9.7650000000000006</v>
      </c>
      <c r="S918">
        <v>96.078500000000005</v>
      </c>
      <c r="T918">
        <v>19.763300000000001</v>
      </c>
    </row>
    <row r="919" spans="1:20" x14ac:dyDescent="0.3">
      <c r="A919" t="s">
        <v>1411</v>
      </c>
      <c r="B919" t="s">
        <v>21</v>
      </c>
      <c r="C919" t="s">
        <v>589</v>
      </c>
      <c r="D919" t="s">
        <v>23</v>
      </c>
      <c r="E919" t="s">
        <v>32</v>
      </c>
      <c r="F919" t="s">
        <v>25</v>
      </c>
      <c r="G919" t="s">
        <v>100</v>
      </c>
      <c r="H919">
        <v>94.67</v>
      </c>
      <c r="I919">
        <v>4</v>
      </c>
      <c r="J919">
        <v>18.934000000000001</v>
      </c>
      <c r="K919">
        <v>378.68</v>
      </c>
      <c r="L919" s="1">
        <v>43665</v>
      </c>
      <c r="M919" s="2">
        <v>0.50277777777777777</v>
      </c>
      <c r="N919" t="s">
        <v>33</v>
      </c>
      <c r="O919">
        <v>378.68</v>
      </c>
      <c r="P919">
        <v>4.7619047620000003</v>
      </c>
      <c r="Q919">
        <v>0</v>
      </c>
      <c r="R919">
        <v>6.8</v>
      </c>
      <c r="S919">
        <v>96.173500000000004</v>
      </c>
      <c r="T919">
        <v>16.840900000000001</v>
      </c>
    </row>
    <row r="920" spans="1:20" x14ac:dyDescent="0.3">
      <c r="A920" t="s">
        <v>1412</v>
      </c>
      <c r="B920" t="s">
        <v>51</v>
      </c>
      <c r="C920" t="s">
        <v>426</v>
      </c>
      <c r="D920" t="s">
        <v>53</v>
      </c>
      <c r="E920" t="s">
        <v>32</v>
      </c>
      <c r="F920" t="s">
        <v>36</v>
      </c>
      <c r="G920" t="s">
        <v>77</v>
      </c>
      <c r="H920">
        <v>68.97</v>
      </c>
      <c r="I920">
        <v>4</v>
      </c>
      <c r="J920">
        <v>13.794</v>
      </c>
      <c r="K920">
        <v>275.88</v>
      </c>
      <c r="L920" s="1">
        <v>43766</v>
      </c>
      <c r="M920" s="2">
        <v>0.47638888888888886</v>
      </c>
      <c r="N920" t="s">
        <v>27</v>
      </c>
      <c r="O920">
        <v>206.91</v>
      </c>
      <c r="P920">
        <v>4.7619047620000003</v>
      </c>
      <c r="Q920">
        <v>68.97</v>
      </c>
      <c r="R920">
        <v>10</v>
      </c>
      <c r="S920">
        <v>96.089100000000002</v>
      </c>
      <c r="T920">
        <v>21.9588</v>
      </c>
    </row>
    <row r="921" spans="1:20" x14ac:dyDescent="0.3">
      <c r="A921" t="s">
        <v>1413</v>
      </c>
      <c r="B921" t="s">
        <v>51</v>
      </c>
      <c r="C921" t="s">
        <v>382</v>
      </c>
      <c r="D921" t="s">
        <v>53</v>
      </c>
      <c r="E921" t="s">
        <v>32</v>
      </c>
      <c r="F921" t="s">
        <v>25</v>
      </c>
      <c r="G921" t="s">
        <v>60</v>
      </c>
      <c r="H921">
        <v>26.26</v>
      </c>
      <c r="I921">
        <v>4</v>
      </c>
      <c r="J921">
        <v>5.2519999999999998</v>
      </c>
      <c r="K921">
        <v>105.04</v>
      </c>
      <c r="L921" s="1">
        <v>43642</v>
      </c>
      <c r="M921" s="2">
        <v>0.52500000000000002</v>
      </c>
      <c r="N921" t="s">
        <v>27</v>
      </c>
      <c r="O921">
        <v>78.78</v>
      </c>
      <c r="P921">
        <v>4.7619047620000003</v>
      </c>
      <c r="Q921">
        <v>26.26</v>
      </c>
      <c r="R921">
        <v>7.56</v>
      </c>
      <c r="S921">
        <v>96.089100000000002</v>
      </c>
      <c r="T921">
        <v>21.9588</v>
      </c>
    </row>
    <row r="922" spans="1:20" x14ac:dyDescent="0.3">
      <c r="A922" t="s">
        <v>1414</v>
      </c>
      <c r="B922" t="s">
        <v>29</v>
      </c>
      <c r="C922" t="s">
        <v>1415</v>
      </c>
      <c r="D922" t="s">
        <v>31</v>
      </c>
      <c r="E922" t="s">
        <v>32</v>
      </c>
      <c r="F922" t="s">
        <v>25</v>
      </c>
      <c r="G922" t="s">
        <v>77</v>
      </c>
      <c r="H922">
        <v>35.79</v>
      </c>
      <c r="I922">
        <v>11</v>
      </c>
      <c r="J922">
        <v>19.6845</v>
      </c>
      <c r="K922">
        <v>393.69</v>
      </c>
      <c r="L922" s="1">
        <v>43572</v>
      </c>
      <c r="M922" s="2">
        <v>0.62916666666666665</v>
      </c>
      <c r="N922" t="s">
        <v>37</v>
      </c>
      <c r="O922">
        <v>322.11</v>
      </c>
      <c r="P922">
        <v>4.7619047620000003</v>
      </c>
      <c r="Q922">
        <v>71.58</v>
      </c>
      <c r="R922">
        <v>5.3550000000000004</v>
      </c>
      <c r="S922">
        <v>96.078500000000005</v>
      </c>
      <c r="T922">
        <v>19.763300000000001</v>
      </c>
    </row>
    <row r="923" spans="1:20" x14ac:dyDescent="0.3">
      <c r="A923" t="s">
        <v>1416</v>
      </c>
      <c r="B923" t="s">
        <v>51</v>
      </c>
      <c r="C923" t="s">
        <v>52</v>
      </c>
      <c r="D923" t="s">
        <v>53</v>
      </c>
      <c r="E923" t="s">
        <v>32</v>
      </c>
      <c r="F923" t="s">
        <v>25</v>
      </c>
      <c r="G923" t="s">
        <v>77</v>
      </c>
      <c r="H923">
        <v>16.37</v>
      </c>
      <c r="I923">
        <v>8</v>
      </c>
      <c r="J923">
        <v>6.548</v>
      </c>
      <c r="K923">
        <v>130.96</v>
      </c>
      <c r="L923" s="1">
        <v>43671</v>
      </c>
      <c r="M923" s="2">
        <v>0.45694444444444443</v>
      </c>
      <c r="N923" t="s">
        <v>33</v>
      </c>
      <c r="O923">
        <v>98.22</v>
      </c>
      <c r="P923">
        <v>4.7619047620000003</v>
      </c>
      <c r="Q923">
        <v>32.74</v>
      </c>
      <c r="R923">
        <v>8.4</v>
      </c>
      <c r="S923">
        <v>96.089100000000002</v>
      </c>
      <c r="T923">
        <v>21.9588</v>
      </c>
    </row>
    <row r="924" spans="1:20" x14ac:dyDescent="0.3">
      <c r="A924" t="s">
        <v>1417</v>
      </c>
      <c r="B924" t="s">
        <v>29</v>
      </c>
      <c r="C924" t="s">
        <v>1418</v>
      </c>
      <c r="D924" t="s">
        <v>31</v>
      </c>
      <c r="E924" t="s">
        <v>32</v>
      </c>
      <c r="F924" t="s">
        <v>25</v>
      </c>
      <c r="G924" t="s">
        <v>77</v>
      </c>
      <c r="H924">
        <v>12.73</v>
      </c>
      <c r="I924">
        <v>2</v>
      </c>
      <c r="J924">
        <v>1.2729999999999999</v>
      </c>
      <c r="K924">
        <v>25.46</v>
      </c>
      <c r="L924" s="1">
        <v>43566</v>
      </c>
      <c r="M924" s="2">
        <v>0.50694444444444442</v>
      </c>
      <c r="N924" t="s">
        <v>37</v>
      </c>
      <c r="O924">
        <v>25.46</v>
      </c>
      <c r="P924">
        <v>4.7619047620000003</v>
      </c>
      <c r="Q924">
        <v>0</v>
      </c>
      <c r="R924">
        <v>5.46</v>
      </c>
      <c r="S924">
        <v>96.078500000000005</v>
      </c>
      <c r="T924">
        <v>19.763300000000001</v>
      </c>
    </row>
    <row r="925" spans="1:20" x14ac:dyDescent="0.3">
      <c r="A925" t="s">
        <v>1419</v>
      </c>
      <c r="B925" t="s">
        <v>29</v>
      </c>
      <c r="C925" t="s">
        <v>1292</v>
      </c>
      <c r="D925" t="s">
        <v>31</v>
      </c>
      <c r="E925" t="s">
        <v>32</v>
      </c>
      <c r="F925" t="s">
        <v>25</v>
      </c>
      <c r="G925" t="s">
        <v>68</v>
      </c>
      <c r="H925">
        <v>83.14</v>
      </c>
      <c r="I925">
        <v>8</v>
      </c>
      <c r="J925">
        <v>33.256</v>
      </c>
      <c r="K925">
        <v>665.12</v>
      </c>
      <c r="L925" s="1">
        <v>43673</v>
      </c>
      <c r="M925" s="2">
        <v>0.43819444444444444</v>
      </c>
      <c r="N925" t="s">
        <v>37</v>
      </c>
      <c r="O925">
        <v>581.98</v>
      </c>
      <c r="P925">
        <v>4.7619047620000003</v>
      </c>
      <c r="Q925">
        <v>83.14</v>
      </c>
      <c r="R925">
        <v>6.93</v>
      </c>
      <c r="S925">
        <v>96.078500000000005</v>
      </c>
      <c r="T925">
        <v>19.763300000000001</v>
      </c>
    </row>
    <row r="926" spans="1:20" x14ac:dyDescent="0.3">
      <c r="A926" t="s">
        <v>1420</v>
      </c>
      <c r="B926" t="s">
        <v>29</v>
      </c>
      <c r="C926" t="s">
        <v>1064</v>
      </c>
      <c r="D926" t="s">
        <v>31</v>
      </c>
      <c r="E926" t="s">
        <v>32</v>
      </c>
      <c r="F926" t="s">
        <v>25</v>
      </c>
      <c r="G926" t="s">
        <v>68</v>
      </c>
      <c r="H926">
        <v>35.22</v>
      </c>
      <c r="I926">
        <v>7</v>
      </c>
      <c r="J926">
        <v>12.327</v>
      </c>
      <c r="K926">
        <v>246.54</v>
      </c>
      <c r="L926" s="1">
        <v>43785</v>
      </c>
      <c r="M926" s="2">
        <v>0.5756944444444444</v>
      </c>
      <c r="N926" t="s">
        <v>27</v>
      </c>
      <c r="O926">
        <v>211.32</v>
      </c>
      <c r="P926">
        <v>4.7619047620000003</v>
      </c>
      <c r="Q926">
        <v>35.22</v>
      </c>
      <c r="R926">
        <v>6.8250000000000002</v>
      </c>
      <c r="S926">
        <v>96.078500000000005</v>
      </c>
      <c r="T926">
        <v>19.763300000000001</v>
      </c>
    </row>
    <row r="927" spans="1:20" x14ac:dyDescent="0.3">
      <c r="A927" t="s">
        <v>1421</v>
      </c>
      <c r="B927" t="s">
        <v>51</v>
      </c>
      <c r="C927" t="s">
        <v>392</v>
      </c>
      <c r="D927" t="s">
        <v>53</v>
      </c>
      <c r="E927" t="s">
        <v>32</v>
      </c>
      <c r="F927" t="s">
        <v>25</v>
      </c>
      <c r="G927" t="s">
        <v>60</v>
      </c>
      <c r="H927">
        <v>13.78</v>
      </c>
      <c r="I927">
        <v>6</v>
      </c>
      <c r="J927">
        <v>4.1340000000000003</v>
      </c>
      <c r="K927">
        <v>82.68</v>
      </c>
      <c r="L927" s="1">
        <v>43512</v>
      </c>
      <c r="M927" s="2">
        <v>0.46527777777777779</v>
      </c>
      <c r="N927" t="s">
        <v>27</v>
      </c>
      <c r="O927">
        <v>55.12</v>
      </c>
      <c r="P927">
        <v>4.7619047620000003</v>
      </c>
      <c r="Q927">
        <v>27.56</v>
      </c>
      <c r="R927">
        <v>10</v>
      </c>
      <c r="S927">
        <v>96.089100000000002</v>
      </c>
      <c r="T927">
        <v>21.9588</v>
      </c>
    </row>
    <row r="928" spans="1:20" x14ac:dyDescent="0.3">
      <c r="A928" t="s">
        <v>1422</v>
      </c>
      <c r="B928" t="s">
        <v>51</v>
      </c>
      <c r="C928" t="s">
        <v>1423</v>
      </c>
      <c r="D928" t="s">
        <v>53</v>
      </c>
      <c r="E928" t="s">
        <v>32</v>
      </c>
      <c r="F928" t="s">
        <v>36</v>
      </c>
      <c r="G928" t="s">
        <v>68</v>
      </c>
      <c r="H928">
        <v>88.31</v>
      </c>
      <c r="I928">
        <v>1</v>
      </c>
      <c r="J928">
        <v>4.4154999999999998</v>
      </c>
      <c r="K928">
        <v>88.31</v>
      </c>
      <c r="L928" s="1">
        <v>43583</v>
      </c>
      <c r="M928" s="2">
        <v>0.73472222222222228</v>
      </c>
      <c r="N928" t="s">
        <v>37</v>
      </c>
      <c r="O928">
        <v>88.31</v>
      </c>
      <c r="P928">
        <v>4.7619047620000003</v>
      </c>
      <c r="Q928">
        <v>0</v>
      </c>
      <c r="R928">
        <v>6.24</v>
      </c>
      <c r="S928">
        <v>96.089100000000002</v>
      </c>
      <c r="T928">
        <v>21.9588</v>
      </c>
    </row>
    <row r="929" spans="1:20" x14ac:dyDescent="0.3">
      <c r="A929" t="s">
        <v>1424</v>
      </c>
      <c r="B929" t="s">
        <v>21</v>
      </c>
      <c r="C929" t="s">
        <v>74</v>
      </c>
      <c r="D929" t="s">
        <v>23</v>
      </c>
      <c r="E929" t="s">
        <v>32</v>
      </c>
      <c r="F929" t="s">
        <v>25</v>
      </c>
      <c r="G929" t="s">
        <v>26</v>
      </c>
      <c r="H929">
        <v>39.619999999999997</v>
      </c>
      <c r="I929">
        <v>9</v>
      </c>
      <c r="J929">
        <v>17.829000000000001</v>
      </c>
      <c r="K929">
        <v>356.58</v>
      </c>
      <c r="L929" s="1">
        <v>43765</v>
      </c>
      <c r="M929" s="2">
        <v>0.74583333333333335</v>
      </c>
      <c r="N929" t="s">
        <v>37</v>
      </c>
      <c r="O929">
        <v>356.58</v>
      </c>
      <c r="P929">
        <v>4.7619047620000003</v>
      </c>
      <c r="Q929">
        <v>0</v>
      </c>
      <c r="R929">
        <v>6.8</v>
      </c>
      <c r="S929">
        <v>96.173500000000004</v>
      </c>
      <c r="T929">
        <v>16.840900000000001</v>
      </c>
    </row>
    <row r="930" spans="1:20" x14ac:dyDescent="0.3">
      <c r="A930" t="s">
        <v>1425</v>
      </c>
      <c r="B930" t="s">
        <v>51</v>
      </c>
      <c r="C930" t="s">
        <v>102</v>
      </c>
      <c r="D930" t="s">
        <v>53</v>
      </c>
      <c r="E930" t="s">
        <v>32</v>
      </c>
      <c r="F930" t="s">
        <v>25</v>
      </c>
      <c r="G930" t="s">
        <v>60</v>
      </c>
      <c r="H930">
        <v>88.25</v>
      </c>
      <c r="I930">
        <v>13</v>
      </c>
      <c r="J930">
        <v>57.362499999999997</v>
      </c>
      <c r="K930">
        <v>1147.25</v>
      </c>
      <c r="L930" s="1">
        <v>43744</v>
      </c>
      <c r="M930" s="2">
        <v>0.86875000000000002</v>
      </c>
      <c r="N930" t="s">
        <v>37</v>
      </c>
      <c r="O930">
        <v>794.25</v>
      </c>
      <c r="P930">
        <v>4.7619047620000003</v>
      </c>
      <c r="Q930">
        <v>353</v>
      </c>
      <c r="R930">
        <v>9.1199999999999992</v>
      </c>
      <c r="S930">
        <v>96.089100000000002</v>
      </c>
      <c r="T930">
        <v>21.9588</v>
      </c>
    </row>
    <row r="931" spans="1:20" x14ac:dyDescent="0.3">
      <c r="A931" t="s">
        <v>1426</v>
      </c>
      <c r="B931" t="s">
        <v>51</v>
      </c>
      <c r="C931" t="s">
        <v>791</v>
      </c>
      <c r="D931" t="s">
        <v>53</v>
      </c>
      <c r="E931" t="s">
        <v>32</v>
      </c>
      <c r="F931" t="s">
        <v>36</v>
      </c>
      <c r="G931" t="s">
        <v>68</v>
      </c>
      <c r="H931">
        <v>25.31</v>
      </c>
      <c r="I931">
        <v>3</v>
      </c>
      <c r="J931">
        <v>3.7965</v>
      </c>
      <c r="K931">
        <v>75.930000000000007</v>
      </c>
      <c r="L931" s="1">
        <v>43539</v>
      </c>
      <c r="M931" s="2">
        <v>0.80972222222222223</v>
      </c>
      <c r="N931" t="s">
        <v>27</v>
      </c>
      <c r="O931">
        <v>50.62</v>
      </c>
      <c r="P931">
        <v>4.7619047620000003</v>
      </c>
      <c r="Q931">
        <v>25.31</v>
      </c>
      <c r="R931">
        <v>8.64</v>
      </c>
      <c r="S931">
        <v>96.089100000000002</v>
      </c>
      <c r="T931">
        <v>21.9588</v>
      </c>
    </row>
    <row r="932" spans="1:20" x14ac:dyDescent="0.3">
      <c r="A932" t="s">
        <v>1427</v>
      </c>
      <c r="B932" t="s">
        <v>51</v>
      </c>
      <c r="C932" t="s">
        <v>52</v>
      </c>
      <c r="D932" t="s">
        <v>53</v>
      </c>
      <c r="E932" t="s">
        <v>32</v>
      </c>
      <c r="F932" t="s">
        <v>36</v>
      </c>
      <c r="G932" t="s">
        <v>77</v>
      </c>
      <c r="H932">
        <v>99.92</v>
      </c>
      <c r="I932">
        <v>8</v>
      </c>
      <c r="J932">
        <v>39.968000000000004</v>
      </c>
      <c r="K932">
        <v>799.36</v>
      </c>
      <c r="L932" s="1">
        <v>43663</v>
      </c>
      <c r="M932" s="2">
        <v>0.56458333333333333</v>
      </c>
      <c r="N932" t="s">
        <v>27</v>
      </c>
      <c r="O932">
        <v>599.52</v>
      </c>
      <c r="P932">
        <v>4.7619047620000003</v>
      </c>
      <c r="Q932">
        <v>199.84</v>
      </c>
      <c r="R932">
        <v>8.52</v>
      </c>
      <c r="S932">
        <v>96.089100000000002</v>
      </c>
      <c r="T932">
        <v>21.9588</v>
      </c>
    </row>
    <row r="933" spans="1:20" x14ac:dyDescent="0.3">
      <c r="A933" t="s">
        <v>1428</v>
      </c>
      <c r="B933" t="s">
        <v>29</v>
      </c>
      <c r="C933" t="s">
        <v>1429</v>
      </c>
      <c r="D933" t="s">
        <v>31</v>
      </c>
      <c r="E933" t="s">
        <v>32</v>
      </c>
      <c r="F933" t="s">
        <v>25</v>
      </c>
      <c r="G933" t="s">
        <v>68</v>
      </c>
      <c r="H933">
        <v>83.35</v>
      </c>
      <c r="I933">
        <v>2</v>
      </c>
      <c r="J933">
        <v>8.3350000000000009</v>
      </c>
      <c r="K933">
        <v>166.7</v>
      </c>
      <c r="L933" s="1">
        <v>43824</v>
      </c>
      <c r="M933" s="2">
        <v>0.58680555555555558</v>
      </c>
      <c r="N933" t="s">
        <v>37</v>
      </c>
      <c r="O933">
        <v>166.7</v>
      </c>
      <c r="P933">
        <v>4.7619047620000003</v>
      </c>
      <c r="Q933">
        <v>0</v>
      </c>
      <c r="R933">
        <v>9.9749999999999996</v>
      </c>
      <c r="S933">
        <v>96.078500000000005</v>
      </c>
      <c r="T933">
        <v>19.763300000000001</v>
      </c>
    </row>
    <row r="934" spans="1:20" x14ac:dyDescent="0.3">
      <c r="A934" t="s">
        <v>1430</v>
      </c>
      <c r="B934" t="s">
        <v>21</v>
      </c>
      <c r="C934" t="s">
        <v>971</v>
      </c>
      <c r="D934" t="s">
        <v>23</v>
      </c>
      <c r="E934" t="s">
        <v>32</v>
      </c>
      <c r="F934" t="s">
        <v>25</v>
      </c>
      <c r="G934" t="s">
        <v>68</v>
      </c>
      <c r="H934">
        <v>74.44</v>
      </c>
      <c r="I934">
        <v>10</v>
      </c>
      <c r="J934">
        <v>37.22</v>
      </c>
      <c r="K934">
        <v>744.4</v>
      </c>
      <c r="L934" s="1">
        <v>43745</v>
      </c>
      <c r="M934" s="2">
        <v>0.4861111111111111</v>
      </c>
      <c r="N934" t="s">
        <v>27</v>
      </c>
      <c r="O934">
        <v>744.4</v>
      </c>
      <c r="P934">
        <v>4.7619047620000003</v>
      </c>
      <c r="Q934">
        <v>0</v>
      </c>
      <c r="R934">
        <v>5.0999999999999996</v>
      </c>
      <c r="S934">
        <v>96.173500000000004</v>
      </c>
      <c r="T934">
        <v>16.840900000000001</v>
      </c>
    </row>
    <row r="935" spans="1:20" x14ac:dyDescent="0.3">
      <c r="A935" t="s">
        <v>1431</v>
      </c>
      <c r="B935" t="s">
        <v>29</v>
      </c>
      <c r="C935" t="s">
        <v>158</v>
      </c>
      <c r="D935" t="s">
        <v>31</v>
      </c>
      <c r="E935" t="s">
        <v>32</v>
      </c>
      <c r="F935" t="s">
        <v>36</v>
      </c>
      <c r="G935" t="s">
        <v>68</v>
      </c>
      <c r="H935">
        <v>64.08</v>
      </c>
      <c r="I935">
        <v>8</v>
      </c>
      <c r="J935">
        <v>25.632000000000001</v>
      </c>
      <c r="K935">
        <v>512.64</v>
      </c>
      <c r="L935" s="1">
        <v>43650</v>
      </c>
      <c r="M935" s="2">
        <v>0.51875000000000004</v>
      </c>
      <c r="N935" t="s">
        <v>27</v>
      </c>
      <c r="O935">
        <v>448.56</v>
      </c>
      <c r="P935">
        <v>4.7619047620000003</v>
      </c>
      <c r="Q935">
        <v>64.08</v>
      </c>
      <c r="R935">
        <v>7.98</v>
      </c>
      <c r="S935">
        <v>96.078500000000005</v>
      </c>
      <c r="T935">
        <v>19.763300000000001</v>
      </c>
    </row>
    <row r="936" spans="1:20" x14ac:dyDescent="0.3">
      <c r="A936" t="s">
        <v>1432</v>
      </c>
      <c r="B936" t="s">
        <v>51</v>
      </c>
      <c r="C936" t="s">
        <v>192</v>
      </c>
      <c r="D936" t="s">
        <v>53</v>
      </c>
      <c r="E936" t="s">
        <v>32</v>
      </c>
      <c r="F936" t="s">
        <v>25</v>
      </c>
      <c r="G936" t="s">
        <v>68</v>
      </c>
      <c r="H936">
        <v>63.15</v>
      </c>
      <c r="I936">
        <v>8</v>
      </c>
      <c r="J936">
        <v>25.26</v>
      </c>
      <c r="K936">
        <v>505.2</v>
      </c>
      <c r="L936" s="1">
        <v>43516</v>
      </c>
      <c r="M936" s="2">
        <v>0.85</v>
      </c>
      <c r="N936" t="s">
        <v>27</v>
      </c>
      <c r="O936">
        <v>378.9</v>
      </c>
      <c r="P936">
        <v>4.7619047620000003</v>
      </c>
      <c r="Q936">
        <v>126.3</v>
      </c>
      <c r="R936">
        <v>10</v>
      </c>
      <c r="S936">
        <v>96.089100000000002</v>
      </c>
      <c r="T936">
        <v>21.9588</v>
      </c>
    </row>
    <row r="937" spans="1:20" x14ac:dyDescent="0.3">
      <c r="A937" t="s">
        <v>1433</v>
      </c>
      <c r="B937" t="s">
        <v>29</v>
      </c>
      <c r="C937" t="s">
        <v>592</v>
      </c>
      <c r="D937" t="s">
        <v>31</v>
      </c>
      <c r="E937" t="s">
        <v>32</v>
      </c>
      <c r="F937" t="s">
        <v>36</v>
      </c>
      <c r="G937" t="s">
        <v>68</v>
      </c>
      <c r="H937">
        <v>85.72</v>
      </c>
      <c r="I937">
        <v>4</v>
      </c>
      <c r="J937">
        <v>17.143999999999998</v>
      </c>
      <c r="K937">
        <v>342.88</v>
      </c>
      <c r="L937" s="1">
        <v>43580</v>
      </c>
      <c r="M937" s="2">
        <v>0.87430555555555556</v>
      </c>
      <c r="N937" t="s">
        <v>27</v>
      </c>
      <c r="O937">
        <v>257.16000000000003</v>
      </c>
      <c r="P937">
        <v>4.7619047620000003</v>
      </c>
      <c r="Q937">
        <v>85.72</v>
      </c>
      <c r="R937">
        <v>5.3550000000000004</v>
      </c>
      <c r="S937">
        <v>96.078500000000005</v>
      </c>
      <c r="T937">
        <v>19.763300000000001</v>
      </c>
    </row>
    <row r="938" spans="1:20" x14ac:dyDescent="0.3">
      <c r="A938" t="s">
        <v>1434</v>
      </c>
      <c r="B938" t="s">
        <v>29</v>
      </c>
      <c r="C938" t="s">
        <v>1435</v>
      </c>
      <c r="D938" t="s">
        <v>31</v>
      </c>
      <c r="E938" t="s">
        <v>32</v>
      </c>
      <c r="F938" t="s">
        <v>25</v>
      </c>
      <c r="G938" t="s">
        <v>68</v>
      </c>
      <c r="H938">
        <v>78.89</v>
      </c>
      <c r="I938">
        <v>8</v>
      </c>
      <c r="J938">
        <v>31.556000000000001</v>
      </c>
      <c r="K938">
        <v>631.12</v>
      </c>
      <c r="L938" s="1">
        <v>43778</v>
      </c>
      <c r="M938" s="2">
        <v>0.82499999999999996</v>
      </c>
      <c r="N938" t="s">
        <v>27</v>
      </c>
      <c r="O938">
        <v>552.23</v>
      </c>
      <c r="P938">
        <v>4.7619047620000003</v>
      </c>
      <c r="Q938">
        <v>78.89</v>
      </c>
      <c r="R938">
        <v>7.875</v>
      </c>
      <c r="S938">
        <v>96.078500000000005</v>
      </c>
      <c r="T938">
        <v>19.763300000000001</v>
      </c>
    </row>
    <row r="939" spans="1:20" x14ac:dyDescent="0.3">
      <c r="A939" t="s">
        <v>1436</v>
      </c>
      <c r="B939" t="s">
        <v>21</v>
      </c>
      <c r="C939" t="s">
        <v>1437</v>
      </c>
      <c r="D939" t="s">
        <v>23</v>
      </c>
      <c r="E939" t="s">
        <v>32</v>
      </c>
      <c r="F939" t="s">
        <v>25</v>
      </c>
      <c r="G939" t="s">
        <v>68</v>
      </c>
      <c r="H939">
        <v>89.48</v>
      </c>
      <c r="I939">
        <v>5</v>
      </c>
      <c r="J939">
        <v>22.37</v>
      </c>
      <c r="K939">
        <v>447.4</v>
      </c>
      <c r="L939" s="1">
        <v>43541</v>
      </c>
      <c r="M939" s="2">
        <v>0.42916666666666664</v>
      </c>
      <c r="N939" t="s">
        <v>33</v>
      </c>
      <c r="O939">
        <v>447.4</v>
      </c>
      <c r="P939">
        <v>4.7619047620000003</v>
      </c>
      <c r="Q939">
        <v>0</v>
      </c>
      <c r="R939">
        <v>7.4</v>
      </c>
      <c r="S939">
        <v>96.173500000000004</v>
      </c>
      <c r="T939">
        <v>16.840900000000001</v>
      </c>
    </row>
    <row r="940" spans="1:20" x14ac:dyDescent="0.3">
      <c r="A940" t="s">
        <v>1438</v>
      </c>
      <c r="B940" t="s">
        <v>21</v>
      </c>
      <c r="C940" t="s">
        <v>339</v>
      </c>
      <c r="D940" t="s">
        <v>23</v>
      </c>
      <c r="E940" t="s">
        <v>32</v>
      </c>
      <c r="F940" t="s">
        <v>25</v>
      </c>
      <c r="G940" t="s">
        <v>68</v>
      </c>
      <c r="H940">
        <v>92.09</v>
      </c>
      <c r="I940">
        <v>3</v>
      </c>
      <c r="J940">
        <v>13.813499999999999</v>
      </c>
      <c r="K940">
        <v>276.27</v>
      </c>
      <c r="L940" s="1">
        <v>43724</v>
      </c>
      <c r="M940" s="2">
        <v>0.68541666666666667</v>
      </c>
      <c r="N940" t="s">
        <v>33</v>
      </c>
      <c r="O940">
        <v>276.27</v>
      </c>
      <c r="P940">
        <v>4.7619047620000003</v>
      </c>
      <c r="Q940">
        <v>0</v>
      </c>
      <c r="R940">
        <v>4.2</v>
      </c>
      <c r="S940">
        <v>96.173500000000004</v>
      </c>
      <c r="T940">
        <v>16.840900000000001</v>
      </c>
    </row>
    <row r="941" spans="1:20" x14ac:dyDescent="0.3">
      <c r="A941" t="s">
        <v>1439</v>
      </c>
      <c r="B941" t="s">
        <v>29</v>
      </c>
      <c r="C941" t="s">
        <v>999</v>
      </c>
      <c r="D941" t="s">
        <v>31</v>
      </c>
      <c r="E941" t="s">
        <v>32</v>
      </c>
      <c r="F941" t="s">
        <v>25</v>
      </c>
      <c r="G941" t="s">
        <v>68</v>
      </c>
      <c r="H941">
        <v>57.29</v>
      </c>
      <c r="I941">
        <v>7</v>
      </c>
      <c r="J941">
        <v>20.051500000000001</v>
      </c>
      <c r="K941">
        <v>401.03</v>
      </c>
      <c r="L941" s="1">
        <v>43498</v>
      </c>
      <c r="M941" s="2">
        <v>0.71111111111111114</v>
      </c>
      <c r="N941" t="s">
        <v>27</v>
      </c>
      <c r="O941">
        <v>343.74</v>
      </c>
      <c r="P941">
        <v>4.7619047620000003</v>
      </c>
      <c r="Q941">
        <v>57.29</v>
      </c>
      <c r="R941">
        <v>6.1950000000000003</v>
      </c>
      <c r="S941">
        <v>96.078500000000005</v>
      </c>
      <c r="T941">
        <v>19.763300000000001</v>
      </c>
    </row>
    <row r="942" spans="1:20" x14ac:dyDescent="0.3">
      <c r="A942" t="s">
        <v>1440</v>
      </c>
      <c r="B942" t="s">
        <v>21</v>
      </c>
      <c r="C942" t="s">
        <v>1441</v>
      </c>
      <c r="D942" t="s">
        <v>23</v>
      </c>
      <c r="E942" t="s">
        <v>32</v>
      </c>
      <c r="F942" t="s">
        <v>36</v>
      </c>
      <c r="G942" t="s">
        <v>68</v>
      </c>
      <c r="H942">
        <v>66.52</v>
      </c>
      <c r="I942">
        <v>4</v>
      </c>
      <c r="J942">
        <v>13.304</v>
      </c>
      <c r="K942">
        <v>266.08</v>
      </c>
      <c r="L942" s="1">
        <v>43556</v>
      </c>
      <c r="M942" s="2">
        <v>0.75972222222222219</v>
      </c>
      <c r="N942" t="s">
        <v>27</v>
      </c>
      <c r="O942">
        <v>266.08</v>
      </c>
      <c r="P942">
        <v>4.7619047620000003</v>
      </c>
      <c r="Q942">
        <v>0</v>
      </c>
      <c r="R942">
        <v>6.9</v>
      </c>
      <c r="S942">
        <v>96.173500000000004</v>
      </c>
      <c r="T942">
        <v>16.840900000000001</v>
      </c>
    </row>
    <row r="943" spans="1:20" x14ac:dyDescent="0.3">
      <c r="A943" t="s">
        <v>1442</v>
      </c>
      <c r="B943" t="s">
        <v>29</v>
      </c>
      <c r="C943" t="s">
        <v>1010</v>
      </c>
      <c r="D943" t="s">
        <v>31</v>
      </c>
      <c r="E943" t="s">
        <v>32</v>
      </c>
      <c r="F943" t="s">
        <v>36</v>
      </c>
      <c r="G943" t="s">
        <v>68</v>
      </c>
      <c r="H943">
        <v>99.82</v>
      </c>
      <c r="I943">
        <v>11</v>
      </c>
      <c r="J943">
        <v>54.901000000000003</v>
      </c>
      <c r="K943">
        <v>1098.02</v>
      </c>
      <c r="L943" s="1">
        <v>43691</v>
      </c>
      <c r="M943" s="2">
        <v>0.4465277777777778</v>
      </c>
      <c r="N943" t="s">
        <v>33</v>
      </c>
      <c r="O943">
        <v>898.38</v>
      </c>
      <c r="P943">
        <v>4.7619047620000003</v>
      </c>
      <c r="Q943">
        <v>199.64</v>
      </c>
      <c r="R943">
        <v>6.93</v>
      </c>
      <c r="S943">
        <v>96.078500000000005</v>
      </c>
      <c r="T943">
        <v>19.763300000000001</v>
      </c>
    </row>
    <row r="944" spans="1:20" x14ac:dyDescent="0.3">
      <c r="A944" t="s">
        <v>1443</v>
      </c>
      <c r="B944" t="s">
        <v>21</v>
      </c>
      <c r="C944" t="s">
        <v>1300</v>
      </c>
      <c r="D944" t="s">
        <v>23</v>
      </c>
      <c r="E944" t="s">
        <v>32</v>
      </c>
      <c r="F944" t="s">
        <v>25</v>
      </c>
      <c r="G944" t="s">
        <v>77</v>
      </c>
      <c r="H944">
        <v>45.68</v>
      </c>
      <c r="I944">
        <v>10</v>
      </c>
      <c r="J944">
        <v>22.84</v>
      </c>
      <c r="K944">
        <v>456.8</v>
      </c>
      <c r="L944" s="1">
        <v>43696</v>
      </c>
      <c r="M944" s="2">
        <v>0.8125</v>
      </c>
      <c r="N944" t="s">
        <v>27</v>
      </c>
      <c r="O944">
        <v>456.8</v>
      </c>
      <c r="P944">
        <v>4.7619047620000003</v>
      </c>
      <c r="Q944">
        <v>0</v>
      </c>
      <c r="R944">
        <v>5.7</v>
      </c>
      <c r="S944">
        <v>96.173500000000004</v>
      </c>
      <c r="T944">
        <v>16.840900000000001</v>
      </c>
    </row>
    <row r="945" spans="1:20" x14ac:dyDescent="0.3">
      <c r="A945" t="s">
        <v>1444</v>
      </c>
      <c r="B945" t="s">
        <v>21</v>
      </c>
      <c r="C945" t="s">
        <v>238</v>
      </c>
      <c r="D945" t="s">
        <v>23</v>
      </c>
      <c r="E945" t="s">
        <v>32</v>
      </c>
      <c r="F945" t="s">
        <v>36</v>
      </c>
      <c r="G945" t="s">
        <v>26</v>
      </c>
      <c r="H945">
        <v>50.79</v>
      </c>
      <c r="I945">
        <v>5</v>
      </c>
      <c r="J945">
        <v>12.6975</v>
      </c>
      <c r="K945">
        <v>253.95</v>
      </c>
      <c r="L945" s="1">
        <v>43620</v>
      </c>
      <c r="M945" s="2">
        <v>0.62013888888888891</v>
      </c>
      <c r="N945" t="s">
        <v>37</v>
      </c>
      <c r="O945">
        <v>253.95</v>
      </c>
      <c r="P945">
        <v>4.7619047620000003</v>
      </c>
      <c r="Q945">
        <v>0</v>
      </c>
      <c r="R945">
        <v>5.3</v>
      </c>
      <c r="S945">
        <v>96.173500000000004</v>
      </c>
      <c r="T945">
        <v>16.840900000000001</v>
      </c>
    </row>
    <row r="946" spans="1:20" x14ac:dyDescent="0.3">
      <c r="A946" t="s">
        <v>1445</v>
      </c>
      <c r="B946" t="s">
        <v>21</v>
      </c>
      <c r="C946" t="s">
        <v>743</v>
      </c>
      <c r="D946" t="s">
        <v>23</v>
      </c>
      <c r="E946" t="s">
        <v>32</v>
      </c>
      <c r="F946" t="s">
        <v>36</v>
      </c>
      <c r="G946" t="s">
        <v>26</v>
      </c>
      <c r="H946">
        <v>10.08</v>
      </c>
      <c r="I946">
        <v>7</v>
      </c>
      <c r="J946">
        <v>3.528</v>
      </c>
      <c r="K946">
        <v>70.56</v>
      </c>
      <c r="L946" s="1">
        <v>43787</v>
      </c>
      <c r="M946" s="2">
        <v>0.84305555555555556</v>
      </c>
      <c r="N946" t="s">
        <v>33</v>
      </c>
      <c r="O946">
        <v>70.56</v>
      </c>
      <c r="P946">
        <v>4.7619047620000003</v>
      </c>
      <c r="Q946">
        <v>0</v>
      </c>
      <c r="R946">
        <v>4.2</v>
      </c>
      <c r="S946">
        <v>96.173500000000004</v>
      </c>
      <c r="T946">
        <v>16.840900000000001</v>
      </c>
    </row>
    <row r="947" spans="1:20" x14ac:dyDescent="0.3">
      <c r="A947" t="s">
        <v>1446</v>
      </c>
      <c r="B947" t="s">
        <v>21</v>
      </c>
      <c r="C947" t="s">
        <v>1447</v>
      </c>
      <c r="D947" t="s">
        <v>23</v>
      </c>
      <c r="E947" t="s">
        <v>32</v>
      </c>
      <c r="F947" t="s">
        <v>25</v>
      </c>
      <c r="G947" t="s">
        <v>60</v>
      </c>
      <c r="H947">
        <v>93.88</v>
      </c>
      <c r="I947">
        <v>7</v>
      </c>
      <c r="J947">
        <v>32.857999999999997</v>
      </c>
      <c r="K947">
        <v>657.16</v>
      </c>
      <c r="L947" s="1">
        <v>43476</v>
      </c>
      <c r="M947" s="2">
        <v>0.49375000000000002</v>
      </c>
      <c r="N947" t="s">
        <v>37</v>
      </c>
      <c r="O947">
        <v>657.16</v>
      </c>
      <c r="P947">
        <v>4.7619047620000003</v>
      </c>
      <c r="Q947">
        <v>0</v>
      </c>
      <c r="R947">
        <v>7.3</v>
      </c>
      <c r="S947">
        <v>96.173500000000004</v>
      </c>
      <c r="T947">
        <v>16.840900000000001</v>
      </c>
    </row>
    <row r="948" spans="1:20" x14ac:dyDescent="0.3">
      <c r="A948" t="s">
        <v>1448</v>
      </c>
      <c r="B948" t="s">
        <v>29</v>
      </c>
      <c r="C948" t="s">
        <v>371</v>
      </c>
      <c r="D948" t="s">
        <v>31</v>
      </c>
      <c r="E948" t="s">
        <v>32</v>
      </c>
      <c r="F948" t="s">
        <v>36</v>
      </c>
      <c r="G948" t="s">
        <v>60</v>
      </c>
      <c r="H948">
        <v>84.25</v>
      </c>
      <c r="I948">
        <v>2</v>
      </c>
      <c r="J948">
        <v>8.4250000000000007</v>
      </c>
      <c r="K948">
        <v>168.5</v>
      </c>
      <c r="L948" s="1">
        <v>43553</v>
      </c>
      <c r="M948" s="2">
        <v>0.59236111111111112</v>
      </c>
      <c r="N948" t="s">
        <v>37</v>
      </c>
      <c r="O948">
        <v>168.5</v>
      </c>
      <c r="P948">
        <v>4.7619047620000003</v>
      </c>
      <c r="Q948">
        <v>0</v>
      </c>
      <c r="R948">
        <v>5.5650000000000004</v>
      </c>
      <c r="S948">
        <v>96.078500000000005</v>
      </c>
      <c r="T948">
        <v>19.763300000000001</v>
      </c>
    </row>
    <row r="949" spans="1:20" x14ac:dyDescent="0.3">
      <c r="A949" t="s">
        <v>1449</v>
      </c>
      <c r="B949" t="s">
        <v>51</v>
      </c>
      <c r="C949" t="s">
        <v>872</v>
      </c>
      <c r="D949" t="s">
        <v>53</v>
      </c>
      <c r="E949" t="s">
        <v>32</v>
      </c>
      <c r="F949" t="s">
        <v>36</v>
      </c>
      <c r="G949" t="s">
        <v>100</v>
      </c>
      <c r="H949">
        <v>53.78</v>
      </c>
      <c r="I949">
        <v>1</v>
      </c>
      <c r="J949">
        <v>2.6890000000000001</v>
      </c>
      <c r="K949">
        <v>53.78</v>
      </c>
      <c r="L949" s="1">
        <v>43521</v>
      </c>
      <c r="M949" s="2">
        <v>0.84236111111111112</v>
      </c>
      <c r="N949" t="s">
        <v>27</v>
      </c>
      <c r="O949">
        <v>53.78</v>
      </c>
      <c r="P949">
        <v>4.7619047620000003</v>
      </c>
      <c r="Q949">
        <v>0</v>
      </c>
      <c r="R949">
        <v>5.64</v>
      </c>
      <c r="S949">
        <v>96.089100000000002</v>
      </c>
      <c r="T949">
        <v>21.9588</v>
      </c>
    </row>
    <row r="950" spans="1:20" x14ac:dyDescent="0.3">
      <c r="A950" t="s">
        <v>1450</v>
      </c>
      <c r="B950" t="s">
        <v>29</v>
      </c>
      <c r="C950" t="s">
        <v>1418</v>
      </c>
      <c r="D950" t="s">
        <v>31</v>
      </c>
      <c r="E950" t="s">
        <v>32</v>
      </c>
      <c r="F950" t="s">
        <v>36</v>
      </c>
      <c r="G950" t="s">
        <v>77</v>
      </c>
      <c r="H950">
        <v>35.81</v>
      </c>
      <c r="I950">
        <v>6</v>
      </c>
      <c r="J950">
        <v>10.743</v>
      </c>
      <c r="K950">
        <v>214.86</v>
      </c>
      <c r="L950" s="1">
        <v>43636</v>
      </c>
      <c r="M950" s="2">
        <v>0.78055555555555556</v>
      </c>
      <c r="N950" t="s">
        <v>27</v>
      </c>
      <c r="O950">
        <v>179.05</v>
      </c>
      <c r="P950">
        <v>4.7619047620000003</v>
      </c>
      <c r="Q950">
        <v>35.81</v>
      </c>
      <c r="R950">
        <v>8.2949999999999999</v>
      </c>
      <c r="S950">
        <v>96.078500000000005</v>
      </c>
      <c r="T950">
        <v>19.763300000000001</v>
      </c>
    </row>
    <row r="951" spans="1:20" x14ac:dyDescent="0.3">
      <c r="A951" t="s">
        <v>1451</v>
      </c>
      <c r="B951" t="s">
        <v>51</v>
      </c>
      <c r="C951" t="s">
        <v>844</v>
      </c>
      <c r="D951" t="s">
        <v>53</v>
      </c>
      <c r="E951" t="s">
        <v>32</v>
      </c>
      <c r="F951" t="s">
        <v>25</v>
      </c>
      <c r="G951" t="s">
        <v>63</v>
      </c>
      <c r="H951">
        <v>26.43</v>
      </c>
      <c r="I951">
        <v>11</v>
      </c>
      <c r="J951">
        <v>14.5365</v>
      </c>
      <c r="K951">
        <v>290.73</v>
      </c>
      <c r="L951" s="1">
        <v>43522</v>
      </c>
      <c r="M951" s="2">
        <v>0.60138888888888886</v>
      </c>
      <c r="N951" t="s">
        <v>27</v>
      </c>
      <c r="O951">
        <v>211.44</v>
      </c>
      <c r="P951">
        <v>4.7619047620000003</v>
      </c>
      <c r="Q951">
        <v>79.290000000000006</v>
      </c>
      <c r="R951">
        <v>10</v>
      </c>
      <c r="S951">
        <v>96.089100000000002</v>
      </c>
      <c r="T951">
        <v>21.9588</v>
      </c>
    </row>
    <row r="952" spans="1:20" x14ac:dyDescent="0.3">
      <c r="A952" t="s">
        <v>1452</v>
      </c>
      <c r="B952" t="s">
        <v>51</v>
      </c>
      <c r="C952" t="s">
        <v>296</v>
      </c>
      <c r="D952" t="s">
        <v>53</v>
      </c>
      <c r="E952" t="s">
        <v>32</v>
      </c>
      <c r="F952" t="s">
        <v>36</v>
      </c>
      <c r="G952" t="s">
        <v>26</v>
      </c>
      <c r="H952">
        <v>39.909999999999997</v>
      </c>
      <c r="I952">
        <v>4</v>
      </c>
      <c r="J952">
        <v>7.9820000000000002</v>
      </c>
      <c r="K952">
        <v>159.63999999999999</v>
      </c>
      <c r="L952" s="1">
        <v>43742</v>
      </c>
      <c r="M952" s="2">
        <v>0.52777777777777779</v>
      </c>
      <c r="N952" t="s">
        <v>27</v>
      </c>
      <c r="O952">
        <v>119.73</v>
      </c>
      <c r="P952">
        <v>4.7619047620000003</v>
      </c>
      <c r="Q952">
        <v>39.909999999999997</v>
      </c>
      <c r="R952">
        <v>10</v>
      </c>
      <c r="S952">
        <v>96.089100000000002</v>
      </c>
      <c r="T952">
        <v>21.9588</v>
      </c>
    </row>
    <row r="953" spans="1:20" x14ac:dyDescent="0.3">
      <c r="A953" t="s">
        <v>1453</v>
      </c>
      <c r="B953" t="s">
        <v>51</v>
      </c>
      <c r="C953" t="s">
        <v>791</v>
      </c>
      <c r="D953" t="s">
        <v>53</v>
      </c>
      <c r="E953" t="s">
        <v>24</v>
      </c>
      <c r="F953" t="s">
        <v>25</v>
      </c>
      <c r="G953" t="s">
        <v>77</v>
      </c>
      <c r="H953">
        <v>21.9</v>
      </c>
      <c r="I953">
        <v>6</v>
      </c>
      <c r="J953">
        <v>6.57</v>
      </c>
      <c r="K953">
        <v>131.4</v>
      </c>
      <c r="L953" s="1">
        <v>43774</v>
      </c>
      <c r="M953" s="2">
        <v>0.77986111111111112</v>
      </c>
      <c r="N953" t="s">
        <v>27</v>
      </c>
      <c r="O953">
        <v>65.7</v>
      </c>
      <c r="P953">
        <v>4.7619047620000003</v>
      </c>
      <c r="Q953">
        <v>65.7</v>
      </c>
      <c r="R953">
        <v>5.64</v>
      </c>
      <c r="S953">
        <v>96.089100000000002</v>
      </c>
      <c r="T953">
        <v>21.9588</v>
      </c>
    </row>
    <row r="954" spans="1:20" x14ac:dyDescent="0.3">
      <c r="A954" t="s">
        <v>1454</v>
      </c>
      <c r="B954" t="s">
        <v>51</v>
      </c>
      <c r="C954" t="s">
        <v>67</v>
      </c>
      <c r="D954" t="s">
        <v>53</v>
      </c>
      <c r="E954" t="s">
        <v>24</v>
      </c>
      <c r="F954" t="s">
        <v>25</v>
      </c>
      <c r="G954" t="s">
        <v>63</v>
      </c>
      <c r="H954">
        <v>62.85</v>
      </c>
      <c r="I954">
        <v>8</v>
      </c>
      <c r="J954">
        <v>25.14</v>
      </c>
      <c r="K954">
        <v>502.8</v>
      </c>
      <c r="L954" s="1">
        <v>43619</v>
      </c>
      <c r="M954" s="2">
        <v>0.55694444444444446</v>
      </c>
      <c r="N954" t="s">
        <v>27</v>
      </c>
      <c r="O954">
        <v>251.4</v>
      </c>
      <c r="P954">
        <v>4.7619047620000003</v>
      </c>
      <c r="Q954">
        <v>251.4</v>
      </c>
      <c r="R954">
        <v>10</v>
      </c>
      <c r="S954">
        <v>96.089100000000002</v>
      </c>
      <c r="T954">
        <v>21.9588</v>
      </c>
    </row>
    <row r="955" spans="1:20" x14ac:dyDescent="0.3">
      <c r="A955" t="s">
        <v>1455</v>
      </c>
      <c r="B955" t="s">
        <v>29</v>
      </c>
      <c r="C955" t="s">
        <v>810</v>
      </c>
      <c r="D955" t="s">
        <v>31</v>
      </c>
      <c r="E955" t="s">
        <v>24</v>
      </c>
      <c r="F955" t="s">
        <v>25</v>
      </c>
      <c r="G955" t="s">
        <v>63</v>
      </c>
      <c r="H955">
        <v>21.04</v>
      </c>
      <c r="I955">
        <v>7</v>
      </c>
      <c r="J955">
        <v>7.3639999999999999</v>
      </c>
      <c r="K955">
        <v>147.28</v>
      </c>
      <c r="L955" s="1">
        <v>43550</v>
      </c>
      <c r="M955" s="2">
        <v>0.58194444444444449</v>
      </c>
      <c r="N955" t="s">
        <v>33</v>
      </c>
      <c r="O955">
        <v>84.16</v>
      </c>
      <c r="P955">
        <v>4.7619047620000003</v>
      </c>
      <c r="Q955">
        <v>63.12</v>
      </c>
      <c r="R955">
        <v>7.98</v>
      </c>
      <c r="S955">
        <v>96.078500000000005</v>
      </c>
      <c r="T955">
        <v>19.763300000000001</v>
      </c>
    </row>
    <row r="956" spans="1:20" x14ac:dyDescent="0.3">
      <c r="A956" t="s">
        <v>1456</v>
      </c>
      <c r="B956" t="s">
        <v>51</v>
      </c>
      <c r="C956" t="s">
        <v>440</v>
      </c>
      <c r="D956" t="s">
        <v>53</v>
      </c>
      <c r="E956" t="s">
        <v>24</v>
      </c>
      <c r="F956" t="s">
        <v>36</v>
      </c>
      <c r="G956" t="s">
        <v>77</v>
      </c>
      <c r="H956">
        <v>65.91</v>
      </c>
      <c r="I956">
        <v>11</v>
      </c>
      <c r="J956">
        <v>36.250500000000002</v>
      </c>
      <c r="K956">
        <v>725.01</v>
      </c>
      <c r="L956" s="1">
        <v>43527</v>
      </c>
      <c r="M956" s="2">
        <v>0.48958333333333331</v>
      </c>
      <c r="N956" t="s">
        <v>33</v>
      </c>
      <c r="O956">
        <v>395.46</v>
      </c>
      <c r="P956">
        <v>4.7619047620000003</v>
      </c>
      <c r="Q956">
        <v>329.55</v>
      </c>
      <c r="R956">
        <v>6.84</v>
      </c>
      <c r="S956">
        <v>96.089100000000002</v>
      </c>
      <c r="T956">
        <v>21.9588</v>
      </c>
    </row>
    <row r="957" spans="1:20" x14ac:dyDescent="0.3">
      <c r="A957" t="s">
        <v>1457</v>
      </c>
      <c r="B957" t="s">
        <v>21</v>
      </c>
      <c r="C957" t="s">
        <v>294</v>
      </c>
      <c r="D957" t="s">
        <v>23</v>
      </c>
      <c r="E957" t="s">
        <v>32</v>
      </c>
      <c r="F957" t="s">
        <v>25</v>
      </c>
      <c r="G957" t="s">
        <v>100</v>
      </c>
      <c r="H957">
        <v>42.57</v>
      </c>
      <c r="I957">
        <v>7</v>
      </c>
      <c r="J957">
        <v>14.8995</v>
      </c>
      <c r="K957">
        <v>297.99</v>
      </c>
      <c r="L957" s="1">
        <v>43623</v>
      </c>
      <c r="M957" s="2">
        <v>0.49375000000000002</v>
      </c>
      <c r="N957" t="s">
        <v>33</v>
      </c>
      <c r="O957">
        <v>297.99</v>
      </c>
      <c r="P957">
        <v>4.7619047620000003</v>
      </c>
      <c r="Q957">
        <v>0</v>
      </c>
      <c r="R957">
        <v>6.8</v>
      </c>
      <c r="S957">
        <v>96.173500000000004</v>
      </c>
      <c r="T957">
        <v>16.840900000000001</v>
      </c>
    </row>
    <row r="958" spans="1:20" x14ac:dyDescent="0.3">
      <c r="A958" t="s">
        <v>1458</v>
      </c>
      <c r="B958" t="s">
        <v>29</v>
      </c>
      <c r="C958" t="s">
        <v>209</v>
      </c>
      <c r="D958" t="s">
        <v>31</v>
      </c>
      <c r="E958" t="s">
        <v>24</v>
      </c>
      <c r="F958" t="s">
        <v>36</v>
      </c>
      <c r="G958" t="s">
        <v>63</v>
      </c>
      <c r="H958">
        <v>50.49</v>
      </c>
      <c r="I958">
        <v>15</v>
      </c>
      <c r="J958">
        <v>37.8675</v>
      </c>
      <c r="K958">
        <v>757.35</v>
      </c>
      <c r="L958" s="1">
        <v>43788</v>
      </c>
      <c r="M958" s="2">
        <v>0.71944444444444444</v>
      </c>
      <c r="N958" t="s">
        <v>33</v>
      </c>
      <c r="O958">
        <v>454.41</v>
      </c>
      <c r="P958">
        <v>4.7619047620000003</v>
      </c>
      <c r="Q958">
        <v>302.94</v>
      </c>
      <c r="R958">
        <v>5.67</v>
      </c>
      <c r="S958">
        <v>96.078500000000005</v>
      </c>
      <c r="T958">
        <v>19.763300000000001</v>
      </c>
    </row>
    <row r="959" spans="1:20" x14ac:dyDescent="0.3">
      <c r="A959" t="s">
        <v>1459</v>
      </c>
      <c r="B959" t="s">
        <v>51</v>
      </c>
      <c r="C959" t="s">
        <v>318</v>
      </c>
      <c r="D959" t="s">
        <v>53</v>
      </c>
      <c r="E959" t="s">
        <v>32</v>
      </c>
      <c r="F959" t="s">
        <v>36</v>
      </c>
      <c r="G959" t="s">
        <v>60</v>
      </c>
      <c r="H959">
        <v>46.02</v>
      </c>
      <c r="I959">
        <v>8</v>
      </c>
      <c r="J959">
        <v>18.408000000000001</v>
      </c>
      <c r="K959">
        <v>368.16</v>
      </c>
      <c r="L959" s="1">
        <v>43697</v>
      </c>
      <c r="M959" s="2">
        <v>0.66319444444444442</v>
      </c>
      <c r="N959" t="s">
        <v>33</v>
      </c>
      <c r="O959">
        <v>276.12</v>
      </c>
      <c r="P959">
        <v>4.7619047620000003</v>
      </c>
      <c r="Q959">
        <v>92.04</v>
      </c>
      <c r="R959">
        <v>8.52</v>
      </c>
      <c r="S959">
        <v>96.089100000000002</v>
      </c>
      <c r="T959">
        <v>21.9588</v>
      </c>
    </row>
    <row r="960" spans="1:20" x14ac:dyDescent="0.3">
      <c r="A960" t="s">
        <v>1460</v>
      </c>
      <c r="B960" t="s">
        <v>29</v>
      </c>
      <c r="C960" t="s">
        <v>109</v>
      </c>
      <c r="D960" t="s">
        <v>31</v>
      </c>
      <c r="E960" t="s">
        <v>32</v>
      </c>
      <c r="F960" t="s">
        <v>25</v>
      </c>
      <c r="G960" t="s">
        <v>77</v>
      </c>
      <c r="H960">
        <v>15.8</v>
      </c>
      <c r="I960">
        <v>12</v>
      </c>
      <c r="J960">
        <v>9.48</v>
      </c>
      <c r="K960">
        <v>189.6</v>
      </c>
      <c r="L960" s="1">
        <v>43517</v>
      </c>
      <c r="M960" s="2">
        <v>0.50486111111111109</v>
      </c>
      <c r="N960" t="s">
        <v>33</v>
      </c>
      <c r="O960">
        <v>158</v>
      </c>
      <c r="P960">
        <v>4.7619047620000003</v>
      </c>
      <c r="Q960">
        <v>31.6</v>
      </c>
      <c r="R960">
        <v>8.19</v>
      </c>
      <c r="S960">
        <v>96.078500000000005</v>
      </c>
      <c r="T960">
        <v>19.763300000000001</v>
      </c>
    </row>
    <row r="961" spans="1:20" x14ac:dyDescent="0.3">
      <c r="A961" t="s">
        <v>1461</v>
      </c>
      <c r="B961" t="s">
        <v>21</v>
      </c>
      <c r="C961" t="s">
        <v>1462</v>
      </c>
      <c r="D961" t="s">
        <v>23</v>
      </c>
      <c r="E961" t="s">
        <v>24</v>
      </c>
      <c r="F961" t="s">
        <v>25</v>
      </c>
      <c r="G961" t="s">
        <v>63</v>
      </c>
      <c r="H961">
        <v>98.66</v>
      </c>
      <c r="I961">
        <v>13</v>
      </c>
      <c r="J961">
        <v>64.129000000000005</v>
      </c>
      <c r="K961">
        <v>1282.58</v>
      </c>
      <c r="L961" s="1">
        <v>43673</v>
      </c>
      <c r="M961" s="2">
        <v>0.62986111111111109</v>
      </c>
      <c r="N961" t="s">
        <v>33</v>
      </c>
      <c r="O961">
        <v>887.94</v>
      </c>
      <c r="P961">
        <v>4.7619047620000003</v>
      </c>
      <c r="Q961">
        <v>394.64</v>
      </c>
      <c r="R961">
        <v>8.4</v>
      </c>
      <c r="S961">
        <v>96.173500000000004</v>
      </c>
      <c r="T961">
        <v>16.840900000000001</v>
      </c>
    </row>
    <row r="962" spans="1:20" x14ac:dyDescent="0.3">
      <c r="A962" t="s">
        <v>1463</v>
      </c>
      <c r="B962" t="s">
        <v>29</v>
      </c>
      <c r="C962" t="s">
        <v>819</v>
      </c>
      <c r="D962" t="s">
        <v>31</v>
      </c>
      <c r="E962" t="s">
        <v>24</v>
      </c>
      <c r="F962" t="s">
        <v>36</v>
      </c>
      <c r="G962" t="s">
        <v>100</v>
      </c>
      <c r="H962">
        <v>91.98</v>
      </c>
      <c r="I962">
        <v>1</v>
      </c>
      <c r="J962">
        <v>4.5990000000000002</v>
      </c>
      <c r="K962">
        <v>91.98</v>
      </c>
      <c r="L962" s="1">
        <v>43655</v>
      </c>
      <c r="M962" s="2">
        <v>0.64513888888888893</v>
      </c>
      <c r="N962" t="s">
        <v>33</v>
      </c>
      <c r="O962">
        <v>91.98</v>
      </c>
      <c r="P962">
        <v>4.7619047620000003</v>
      </c>
      <c r="Q962">
        <v>0</v>
      </c>
      <c r="R962">
        <v>10</v>
      </c>
      <c r="S962">
        <v>96.078500000000005</v>
      </c>
      <c r="T962">
        <v>19.763300000000001</v>
      </c>
    </row>
    <row r="963" spans="1:20" x14ac:dyDescent="0.3">
      <c r="A963" t="s">
        <v>1464</v>
      </c>
      <c r="B963" t="s">
        <v>21</v>
      </c>
      <c r="C963" t="s">
        <v>1031</v>
      </c>
      <c r="D963" t="s">
        <v>23</v>
      </c>
      <c r="E963" t="s">
        <v>24</v>
      </c>
      <c r="F963" t="s">
        <v>36</v>
      </c>
      <c r="G963" t="s">
        <v>60</v>
      </c>
      <c r="H963">
        <v>20.89</v>
      </c>
      <c r="I963">
        <v>3</v>
      </c>
      <c r="J963">
        <v>3.1335000000000002</v>
      </c>
      <c r="K963">
        <v>62.67</v>
      </c>
      <c r="L963" s="1">
        <v>43613</v>
      </c>
      <c r="M963" s="2">
        <v>0.78125</v>
      </c>
      <c r="N963" t="s">
        <v>33</v>
      </c>
      <c r="O963">
        <v>41.78</v>
      </c>
      <c r="P963">
        <v>4.7619047620000003</v>
      </c>
      <c r="Q963">
        <v>20.89</v>
      </c>
      <c r="R963">
        <v>9.8000000000000007</v>
      </c>
      <c r="S963">
        <v>96.173500000000004</v>
      </c>
      <c r="T963">
        <v>16.840900000000001</v>
      </c>
    </row>
    <row r="964" spans="1:20" x14ac:dyDescent="0.3">
      <c r="A964" t="s">
        <v>1465</v>
      </c>
      <c r="B964" t="s">
        <v>21</v>
      </c>
      <c r="C964" t="s">
        <v>543</v>
      </c>
      <c r="D964" t="s">
        <v>23</v>
      </c>
      <c r="E964" t="s">
        <v>32</v>
      </c>
      <c r="F964" t="s">
        <v>25</v>
      </c>
      <c r="G964" t="s">
        <v>100</v>
      </c>
      <c r="H964">
        <v>15.5</v>
      </c>
      <c r="I964">
        <v>1</v>
      </c>
      <c r="J964">
        <v>0.77500000000000002</v>
      </c>
      <c r="K964">
        <v>15.5</v>
      </c>
      <c r="L964" s="1">
        <v>43648</v>
      </c>
      <c r="M964" s="2">
        <v>0.64097222222222228</v>
      </c>
      <c r="N964" t="s">
        <v>37</v>
      </c>
      <c r="O964">
        <v>15.5</v>
      </c>
      <c r="P964">
        <v>4.7619047620000003</v>
      </c>
      <c r="Q964">
        <v>0</v>
      </c>
      <c r="R964">
        <v>7.4</v>
      </c>
      <c r="S964">
        <v>96.173500000000004</v>
      </c>
      <c r="T964">
        <v>16.840900000000001</v>
      </c>
    </row>
    <row r="965" spans="1:20" x14ac:dyDescent="0.3">
      <c r="A965" t="s">
        <v>1466</v>
      </c>
      <c r="B965" t="s">
        <v>29</v>
      </c>
      <c r="C965" t="s">
        <v>1394</v>
      </c>
      <c r="D965" t="s">
        <v>31</v>
      </c>
      <c r="E965" t="s">
        <v>24</v>
      </c>
      <c r="F965" t="s">
        <v>36</v>
      </c>
      <c r="G965" t="s">
        <v>60</v>
      </c>
      <c r="H965">
        <v>96.82</v>
      </c>
      <c r="I965">
        <v>6</v>
      </c>
      <c r="J965">
        <v>29.045999999999999</v>
      </c>
      <c r="K965">
        <v>580.91999999999996</v>
      </c>
      <c r="L965" s="1">
        <v>43515</v>
      </c>
      <c r="M965" s="2">
        <v>0.85902777777777772</v>
      </c>
      <c r="N965" t="s">
        <v>33</v>
      </c>
      <c r="O965">
        <v>290.45999999999998</v>
      </c>
      <c r="P965">
        <v>4.7619047620000003</v>
      </c>
      <c r="Q965">
        <v>290.45999999999998</v>
      </c>
      <c r="R965">
        <v>7.0350000000000001</v>
      </c>
      <c r="S965">
        <v>96.078500000000005</v>
      </c>
      <c r="T965">
        <v>19.763300000000001</v>
      </c>
    </row>
    <row r="966" spans="1:20" x14ac:dyDescent="0.3">
      <c r="A966" t="s">
        <v>1467</v>
      </c>
      <c r="B966" t="s">
        <v>51</v>
      </c>
      <c r="C966" t="s">
        <v>498</v>
      </c>
      <c r="D966" t="s">
        <v>53</v>
      </c>
      <c r="E966" t="s">
        <v>32</v>
      </c>
      <c r="F966" t="s">
        <v>36</v>
      </c>
      <c r="G966" t="s">
        <v>63</v>
      </c>
      <c r="H966">
        <v>33.33</v>
      </c>
      <c r="I966">
        <v>3</v>
      </c>
      <c r="J966">
        <v>4.9995000000000003</v>
      </c>
      <c r="K966">
        <v>99.99</v>
      </c>
      <c r="L966" s="1">
        <v>43513</v>
      </c>
      <c r="M966" s="2">
        <v>0.6118055555555556</v>
      </c>
      <c r="N966" t="s">
        <v>37</v>
      </c>
      <c r="O966">
        <v>66.66</v>
      </c>
      <c r="P966">
        <v>4.7619047620000003</v>
      </c>
      <c r="Q966">
        <v>33.33</v>
      </c>
      <c r="R966">
        <v>7.68</v>
      </c>
      <c r="S966">
        <v>96.089100000000002</v>
      </c>
      <c r="T966">
        <v>21.9588</v>
      </c>
    </row>
    <row r="967" spans="1:20" x14ac:dyDescent="0.3">
      <c r="A967" t="s">
        <v>1468</v>
      </c>
      <c r="B967" t="s">
        <v>51</v>
      </c>
      <c r="C967" t="s">
        <v>514</v>
      </c>
      <c r="D967" t="s">
        <v>53</v>
      </c>
      <c r="E967" t="s">
        <v>32</v>
      </c>
      <c r="F967" t="s">
        <v>25</v>
      </c>
      <c r="G967" t="s">
        <v>100</v>
      </c>
      <c r="H967">
        <v>38.270000000000003</v>
      </c>
      <c r="I967">
        <v>3</v>
      </c>
      <c r="J967">
        <v>5.7404999999999999</v>
      </c>
      <c r="K967">
        <v>114.81</v>
      </c>
      <c r="L967" s="1">
        <v>43467</v>
      </c>
      <c r="M967" s="2">
        <v>0.76249999999999996</v>
      </c>
      <c r="N967" t="s">
        <v>37</v>
      </c>
      <c r="O967">
        <v>76.540000000000006</v>
      </c>
      <c r="P967">
        <v>4.7619047620000003</v>
      </c>
      <c r="Q967">
        <v>38.270000000000003</v>
      </c>
      <c r="R967">
        <v>6.96</v>
      </c>
      <c r="S967">
        <v>96.089100000000002</v>
      </c>
      <c r="T967">
        <v>21.9588</v>
      </c>
    </row>
    <row r="968" spans="1:20" x14ac:dyDescent="0.3">
      <c r="A968" t="s">
        <v>1469</v>
      </c>
      <c r="B968" t="s">
        <v>21</v>
      </c>
      <c r="C968" t="s">
        <v>415</v>
      </c>
      <c r="D968" t="s">
        <v>23</v>
      </c>
      <c r="E968" t="s">
        <v>32</v>
      </c>
      <c r="F968" t="s">
        <v>25</v>
      </c>
      <c r="G968" t="s">
        <v>100</v>
      </c>
      <c r="H968">
        <v>33.299999999999997</v>
      </c>
      <c r="I968">
        <v>9</v>
      </c>
      <c r="J968">
        <v>14.984999999999999</v>
      </c>
      <c r="K968">
        <v>299.7</v>
      </c>
      <c r="L968" s="1">
        <v>43622</v>
      </c>
      <c r="M968" s="2">
        <v>0.64375000000000004</v>
      </c>
      <c r="N968" t="s">
        <v>27</v>
      </c>
      <c r="O968">
        <v>299.7</v>
      </c>
      <c r="P968">
        <v>4.7619047620000003</v>
      </c>
      <c r="Q968">
        <v>0</v>
      </c>
      <c r="R968">
        <v>7.2</v>
      </c>
      <c r="S968">
        <v>96.173500000000004</v>
      </c>
      <c r="T968">
        <v>16.840900000000001</v>
      </c>
    </row>
    <row r="969" spans="1:20" x14ac:dyDescent="0.3">
      <c r="A969" t="s">
        <v>1470</v>
      </c>
      <c r="B969" t="s">
        <v>21</v>
      </c>
      <c r="C969" t="s">
        <v>1471</v>
      </c>
      <c r="D969" t="s">
        <v>23</v>
      </c>
      <c r="E969" t="s">
        <v>24</v>
      </c>
      <c r="F969" t="s">
        <v>36</v>
      </c>
      <c r="G969" t="s">
        <v>100</v>
      </c>
      <c r="H969">
        <v>81.010000000000005</v>
      </c>
      <c r="I969">
        <v>4</v>
      </c>
      <c r="J969">
        <v>16.202000000000002</v>
      </c>
      <c r="K969">
        <v>324.04000000000002</v>
      </c>
      <c r="L969" s="1">
        <v>43532</v>
      </c>
      <c r="M969" s="2">
        <v>0.53819444444444442</v>
      </c>
      <c r="N969" t="s">
        <v>37</v>
      </c>
      <c r="O969">
        <v>243.03</v>
      </c>
      <c r="P969">
        <v>4.7619047620000003</v>
      </c>
      <c r="Q969">
        <v>81.010000000000005</v>
      </c>
      <c r="R969">
        <v>9.3000000000000007</v>
      </c>
      <c r="S969">
        <v>96.173500000000004</v>
      </c>
      <c r="T969">
        <v>16.840900000000001</v>
      </c>
    </row>
    <row r="970" spans="1:20" x14ac:dyDescent="0.3">
      <c r="A970" t="s">
        <v>1472</v>
      </c>
      <c r="B970" t="s">
        <v>21</v>
      </c>
      <c r="C970" t="s">
        <v>1031</v>
      </c>
      <c r="D970" t="s">
        <v>23</v>
      </c>
      <c r="E970" t="s">
        <v>32</v>
      </c>
      <c r="F970" t="s">
        <v>25</v>
      </c>
      <c r="G970" t="s">
        <v>100</v>
      </c>
      <c r="H970">
        <v>15.8</v>
      </c>
      <c r="I970">
        <v>3</v>
      </c>
      <c r="J970">
        <v>2.37</v>
      </c>
      <c r="K970">
        <v>47.4</v>
      </c>
      <c r="L970" s="1">
        <v>43727</v>
      </c>
      <c r="M970" s="2">
        <v>0.75138888888888888</v>
      </c>
      <c r="N970" t="s">
        <v>33</v>
      </c>
      <c r="O970">
        <v>47.4</v>
      </c>
      <c r="P970">
        <v>4.7619047620000003</v>
      </c>
      <c r="Q970">
        <v>0</v>
      </c>
      <c r="R970">
        <v>9.5</v>
      </c>
      <c r="S970">
        <v>96.173500000000004</v>
      </c>
      <c r="T970">
        <v>16.840900000000001</v>
      </c>
    </row>
    <row r="971" spans="1:20" x14ac:dyDescent="0.3">
      <c r="A971" t="s">
        <v>1473</v>
      </c>
      <c r="B971" t="s">
        <v>51</v>
      </c>
      <c r="C971" t="s">
        <v>207</v>
      </c>
      <c r="D971" t="s">
        <v>53</v>
      </c>
      <c r="E971" t="s">
        <v>24</v>
      </c>
      <c r="F971" t="s">
        <v>25</v>
      </c>
      <c r="G971" t="s">
        <v>100</v>
      </c>
      <c r="H971">
        <v>34.49</v>
      </c>
      <c r="I971">
        <v>10</v>
      </c>
      <c r="J971">
        <v>17.245000000000001</v>
      </c>
      <c r="K971">
        <v>344.9</v>
      </c>
      <c r="L971" s="1">
        <v>43809</v>
      </c>
      <c r="M971" s="2">
        <v>0.82222222222222219</v>
      </c>
      <c r="N971" t="s">
        <v>37</v>
      </c>
      <c r="O971">
        <v>172.45</v>
      </c>
      <c r="P971">
        <v>4.7619047620000003</v>
      </c>
      <c r="Q971">
        <v>172.45</v>
      </c>
      <c r="R971">
        <v>10</v>
      </c>
      <c r="S971">
        <v>96.089100000000002</v>
      </c>
      <c r="T971">
        <v>21.9588</v>
      </c>
    </row>
    <row r="972" spans="1:20" x14ac:dyDescent="0.3">
      <c r="A972" t="s">
        <v>1474</v>
      </c>
      <c r="B972" t="s">
        <v>51</v>
      </c>
      <c r="C972" t="s">
        <v>821</v>
      </c>
      <c r="D972" t="s">
        <v>53</v>
      </c>
      <c r="E972" t="s">
        <v>24</v>
      </c>
      <c r="F972" t="s">
        <v>25</v>
      </c>
      <c r="G972" t="s">
        <v>63</v>
      </c>
      <c r="H972">
        <v>84.63</v>
      </c>
      <c r="I972">
        <v>20</v>
      </c>
      <c r="J972">
        <v>84.63</v>
      </c>
      <c r="K972">
        <v>1692.6</v>
      </c>
      <c r="L972" s="1">
        <v>43534</v>
      </c>
      <c r="M972" s="2">
        <v>0.48333333333333334</v>
      </c>
      <c r="N972" t="s">
        <v>37</v>
      </c>
      <c r="O972">
        <v>846.3</v>
      </c>
      <c r="P972">
        <v>4.7619047620000003</v>
      </c>
      <c r="Q972">
        <v>846.3</v>
      </c>
      <c r="R972">
        <v>10</v>
      </c>
      <c r="S972">
        <v>96.089100000000002</v>
      </c>
      <c r="T972">
        <v>21.9588</v>
      </c>
    </row>
    <row r="973" spans="1:20" x14ac:dyDescent="0.3">
      <c r="A973" t="s">
        <v>1475</v>
      </c>
      <c r="B973" t="s">
        <v>51</v>
      </c>
      <c r="C973" t="s">
        <v>385</v>
      </c>
      <c r="D973" t="s">
        <v>53</v>
      </c>
      <c r="E973" t="s">
        <v>24</v>
      </c>
      <c r="F973" t="s">
        <v>36</v>
      </c>
      <c r="G973" t="s">
        <v>77</v>
      </c>
      <c r="H973">
        <v>36.909999999999997</v>
      </c>
      <c r="I973">
        <v>14</v>
      </c>
      <c r="J973">
        <v>25.837</v>
      </c>
      <c r="K973">
        <v>516.74</v>
      </c>
      <c r="L973" s="1">
        <v>43655</v>
      </c>
      <c r="M973" s="2">
        <v>0.57708333333333328</v>
      </c>
      <c r="N973" t="s">
        <v>27</v>
      </c>
      <c r="O973">
        <v>258.37</v>
      </c>
      <c r="P973">
        <v>4.7619047620000003</v>
      </c>
      <c r="Q973">
        <v>258.37</v>
      </c>
      <c r="R973">
        <v>8.0399999999999991</v>
      </c>
      <c r="S973">
        <v>96.089100000000002</v>
      </c>
      <c r="T973">
        <v>21.9588</v>
      </c>
    </row>
    <row r="974" spans="1:20" x14ac:dyDescent="0.3">
      <c r="A974" t="s">
        <v>1476</v>
      </c>
      <c r="B974" t="s">
        <v>51</v>
      </c>
      <c r="C974" t="s">
        <v>1176</v>
      </c>
      <c r="D974" t="s">
        <v>53</v>
      </c>
      <c r="E974" t="s">
        <v>32</v>
      </c>
      <c r="F974" t="s">
        <v>36</v>
      </c>
      <c r="G974" t="s">
        <v>60</v>
      </c>
      <c r="H974">
        <v>87.08</v>
      </c>
      <c r="I974">
        <v>10</v>
      </c>
      <c r="J974">
        <v>43.54</v>
      </c>
      <c r="K974">
        <v>870.8</v>
      </c>
      <c r="L974" s="1">
        <v>43574</v>
      </c>
      <c r="M974" s="2">
        <v>0.63680555555555551</v>
      </c>
      <c r="N974" t="s">
        <v>33</v>
      </c>
      <c r="O974">
        <v>609.55999999999995</v>
      </c>
      <c r="P974">
        <v>4.7619047620000003</v>
      </c>
      <c r="Q974">
        <v>261.24</v>
      </c>
      <c r="R974">
        <v>6.6</v>
      </c>
      <c r="S974">
        <v>96.089100000000002</v>
      </c>
      <c r="T974">
        <v>21.9588</v>
      </c>
    </row>
    <row r="975" spans="1:20" x14ac:dyDescent="0.3">
      <c r="A975" t="s">
        <v>1477</v>
      </c>
      <c r="B975" t="s">
        <v>21</v>
      </c>
      <c r="C975" t="s">
        <v>1478</v>
      </c>
      <c r="D975" t="s">
        <v>23</v>
      </c>
      <c r="E975" t="s">
        <v>32</v>
      </c>
      <c r="F975" t="s">
        <v>36</v>
      </c>
      <c r="G975" t="s">
        <v>68</v>
      </c>
      <c r="H975">
        <v>80.08</v>
      </c>
      <c r="I975">
        <v>3</v>
      </c>
      <c r="J975">
        <v>12.012</v>
      </c>
      <c r="K975">
        <v>240.24</v>
      </c>
      <c r="L975" s="1">
        <v>43556</v>
      </c>
      <c r="M975" s="2">
        <v>0.64513888888888893</v>
      </c>
      <c r="N975" t="s">
        <v>33</v>
      </c>
      <c r="O975">
        <v>240.24</v>
      </c>
      <c r="P975">
        <v>4.7619047620000003</v>
      </c>
      <c r="Q975">
        <v>0</v>
      </c>
      <c r="R975">
        <v>5.4</v>
      </c>
      <c r="S975">
        <v>96.173500000000004</v>
      </c>
      <c r="T975">
        <v>16.840900000000001</v>
      </c>
    </row>
    <row r="976" spans="1:20" x14ac:dyDescent="0.3">
      <c r="A976" t="s">
        <v>1479</v>
      </c>
      <c r="B976" t="s">
        <v>29</v>
      </c>
      <c r="C976" t="s">
        <v>1480</v>
      </c>
      <c r="D976" t="s">
        <v>31</v>
      </c>
      <c r="E976" t="s">
        <v>32</v>
      </c>
      <c r="F976" t="s">
        <v>36</v>
      </c>
      <c r="G976" t="s">
        <v>68</v>
      </c>
      <c r="H976">
        <v>86.13</v>
      </c>
      <c r="I976">
        <v>2</v>
      </c>
      <c r="J976">
        <v>8.6129999999999995</v>
      </c>
      <c r="K976">
        <v>172.26</v>
      </c>
      <c r="L976" s="1">
        <v>43670</v>
      </c>
      <c r="M976" s="2">
        <v>0.74930555555555556</v>
      </c>
      <c r="N976" t="s">
        <v>33</v>
      </c>
      <c r="O976">
        <v>172.26</v>
      </c>
      <c r="P976">
        <v>4.7619047620000003</v>
      </c>
      <c r="Q976">
        <v>0</v>
      </c>
      <c r="R976">
        <v>8.61</v>
      </c>
      <c r="S976">
        <v>96.078500000000005</v>
      </c>
      <c r="T976">
        <v>19.763300000000001</v>
      </c>
    </row>
    <row r="977" spans="1:20" x14ac:dyDescent="0.3">
      <c r="A977" t="s">
        <v>1481</v>
      </c>
      <c r="B977" t="s">
        <v>51</v>
      </c>
      <c r="C977" t="s">
        <v>633</v>
      </c>
      <c r="D977" t="s">
        <v>53</v>
      </c>
      <c r="E977" t="s">
        <v>24</v>
      </c>
      <c r="F977" t="s">
        <v>36</v>
      </c>
      <c r="G977" t="s">
        <v>68</v>
      </c>
      <c r="H977">
        <v>49.92</v>
      </c>
      <c r="I977">
        <v>4</v>
      </c>
      <c r="J977">
        <v>9.984</v>
      </c>
      <c r="K977">
        <v>199.68</v>
      </c>
      <c r="L977" s="1">
        <v>43557</v>
      </c>
      <c r="M977" s="2">
        <v>0.49652777777777779</v>
      </c>
      <c r="N977" t="s">
        <v>37</v>
      </c>
      <c r="O977">
        <v>99.84</v>
      </c>
      <c r="P977">
        <v>4.7619047620000003</v>
      </c>
      <c r="Q977">
        <v>99.84</v>
      </c>
      <c r="R977">
        <v>8.4</v>
      </c>
      <c r="S977">
        <v>96.089100000000002</v>
      </c>
      <c r="T977">
        <v>21.9588</v>
      </c>
    </row>
    <row r="978" spans="1:20" x14ac:dyDescent="0.3">
      <c r="A978" t="s">
        <v>1482</v>
      </c>
      <c r="B978" t="s">
        <v>21</v>
      </c>
      <c r="C978" t="s">
        <v>1483</v>
      </c>
      <c r="D978" t="s">
        <v>23</v>
      </c>
      <c r="E978" t="s">
        <v>32</v>
      </c>
      <c r="F978" t="s">
        <v>25</v>
      </c>
      <c r="G978" t="s">
        <v>68</v>
      </c>
      <c r="H978">
        <v>74.66</v>
      </c>
      <c r="I978">
        <v>4</v>
      </c>
      <c r="J978">
        <v>14.932</v>
      </c>
      <c r="K978">
        <v>298.64</v>
      </c>
      <c r="L978" s="1">
        <v>43761</v>
      </c>
      <c r="M978" s="2">
        <v>0.44374999999999998</v>
      </c>
      <c r="N978" t="s">
        <v>33</v>
      </c>
      <c r="O978">
        <v>298.64</v>
      </c>
      <c r="P978">
        <v>4.7619047620000003</v>
      </c>
      <c r="Q978">
        <v>0</v>
      </c>
      <c r="R978">
        <v>8.5</v>
      </c>
      <c r="S978">
        <v>96.173500000000004</v>
      </c>
      <c r="T978">
        <v>16.840900000000001</v>
      </c>
    </row>
    <row r="979" spans="1:20" x14ac:dyDescent="0.3">
      <c r="A979" t="s">
        <v>1484</v>
      </c>
      <c r="B979" t="s">
        <v>51</v>
      </c>
      <c r="C979" t="s">
        <v>250</v>
      </c>
      <c r="D979" t="s">
        <v>53</v>
      </c>
      <c r="E979" t="s">
        <v>24</v>
      </c>
      <c r="F979" t="s">
        <v>36</v>
      </c>
      <c r="G979" t="s">
        <v>68</v>
      </c>
      <c r="H979">
        <v>26.6</v>
      </c>
      <c r="I979">
        <v>11</v>
      </c>
      <c r="J979">
        <v>14.63</v>
      </c>
      <c r="K979">
        <v>292.60000000000002</v>
      </c>
      <c r="L979" s="1">
        <v>43780</v>
      </c>
      <c r="M979" s="2">
        <v>0.63194444444444442</v>
      </c>
      <c r="N979" t="s">
        <v>27</v>
      </c>
      <c r="O979">
        <v>159.6</v>
      </c>
      <c r="P979">
        <v>4.7619047620000003</v>
      </c>
      <c r="Q979">
        <v>133</v>
      </c>
      <c r="R979">
        <v>5.88</v>
      </c>
      <c r="S979">
        <v>96.089100000000002</v>
      </c>
      <c r="T979">
        <v>21.9588</v>
      </c>
    </row>
    <row r="980" spans="1:20" x14ac:dyDescent="0.3">
      <c r="A980" t="s">
        <v>1485</v>
      </c>
      <c r="B980" t="s">
        <v>51</v>
      </c>
      <c r="C980" t="s">
        <v>385</v>
      </c>
      <c r="D980" t="s">
        <v>53</v>
      </c>
      <c r="E980" t="s">
        <v>32</v>
      </c>
      <c r="F980" t="s">
        <v>25</v>
      </c>
      <c r="G980" t="s">
        <v>68</v>
      </c>
      <c r="H980">
        <v>25.45</v>
      </c>
      <c r="I980">
        <v>1</v>
      </c>
      <c r="J980">
        <v>1.2725</v>
      </c>
      <c r="K980">
        <v>25.45</v>
      </c>
      <c r="L980" s="1">
        <v>43675</v>
      </c>
      <c r="M980" s="2">
        <v>0.75694444444444442</v>
      </c>
      <c r="N980" t="s">
        <v>37</v>
      </c>
      <c r="O980">
        <v>25.45</v>
      </c>
      <c r="P980">
        <v>4.7619047620000003</v>
      </c>
      <c r="Q980">
        <v>0</v>
      </c>
      <c r="R980">
        <v>6.12</v>
      </c>
      <c r="S980">
        <v>96.089100000000002</v>
      </c>
      <c r="T980">
        <v>21.9588</v>
      </c>
    </row>
    <row r="981" spans="1:20" x14ac:dyDescent="0.3">
      <c r="A981" t="s">
        <v>1486</v>
      </c>
      <c r="B981" t="s">
        <v>51</v>
      </c>
      <c r="C981" t="s">
        <v>859</v>
      </c>
      <c r="D981" t="s">
        <v>53</v>
      </c>
      <c r="E981" t="s">
        <v>32</v>
      </c>
      <c r="F981" t="s">
        <v>25</v>
      </c>
      <c r="G981" t="s">
        <v>68</v>
      </c>
      <c r="H981">
        <v>67.77</v>
      </c>
      <c r="I981">
        <v>1</v>
      </c>
      <c r="J981">
        <v>3.3885000000000001</v>
      </c>
      <c r="K981">
        <v>67.77</v>
      </c>
      <c r="L981" s="1">
        <v>43801</v>
      </c>
      <c r="M981" s="2">
        <v>0.86319444444444449</v>
      </c>
      <c r="N981" t="s">
        <v>37</v>
      </c>
      <c r="O981">
        <v>67.77</v>
      </c>
      <c r="P981">
        <v>4.7619047620000003</v>
      </c>
      <c r="Q981">
        <v>0</v>
      </c>
      <c r="R981">
        <v>7.8</v>
      </c>
      <c r="S981">
        <v>96.089100000000002</v>
      </c>
      <c r="T981">
        <v>21.9588</v>
      </c>
    </row>
    <row r="982" spans="1:20" x14ac:dyDescent="0.3">
      <c r="A982" t="s">
        <v>1487</v>
      </c>
      <c r="B982" t="s">
        <v>29</v>
      </c>
      <c r="C982" t="s">
        <v>143</v>
      </c>
      <c r="D982" t="s">
        <v>31</v>
      </c>
      <c r="E982" t="s">
        <v>24</v>
      </c>
      <c r="F982" t="s">
        <v>36</v>
      </c>
      <c r="G982" t="s">
        <v>68</v>
      </c>
      <c r="H982">
        <v>59.59</v>
      </c>
      <c r="I982">
        <v>7</v>
      </c>
      <c r="J982">
        <v>20.8565</v>
      </c>
      <c r="K982">
        <v>417.13</v>
      </c>
      <c r="L982" s="1">
        <v>43595</v>
      </c>
      <c r="M982" s="2">
        <v>0.53194444444444444</v>
      </c>
      <c r="N982" t="s">
        <v>33</v>
      </c>
      <c r="O982">
        <v>238.36</v>
      </c>
      <c r="P982">
        <v>4.7619047620000003</v>
      </c>
      <c r="Q982">
        <v>178.77</v>
      </c>
      <c r="R982">
        <v>10</v>
      </c>
      <c r="S982">
        <v>96.078500000000005</v>
      </c>
      <c r="T982">
        <v>19.763300000000001</v>
      </c>
    </row>
    <row r="983" spans="1:20" x14ac:dyDescent="0.3">
      <c r="A983" t="s">
        <v>1488</v>
      </c>
      <c r="B983" t="s">
        <v>21</v>
      </c>
      <c r="C983" t="s">
        <v>1294</v>
      </c>
      <c r="D983" t="s">
        <v>23</v>
      </c>
      <c r="E983" t="s">
        <v>32</v>
      </c>
      <c r="F983" t="s">
        <v>36</v>
      </c>
      <c r="G983" t="s">
        <v>68</v>
      </c>
      <c r="H983">
        <v>58.15</v>
      </c>
      <c r="I983">
        <v>4</v>
      </c>
      <c r="J983">
        <v>11.63</v>
      </c>
      <c r="K983">
        <v>232.6</v>
      </c>
      <c r="L983" s="1">
        <v>43563</v>
      </c>
      <c r="M983" s="2">
        <v>0.73888888888888893</v>
      </c>
      <c r="N983" t="s">
        <v>33</v>
      </c>
      <c r="O983">
        <v>232.6</v>
      </c>
      <c r="P983">
        <v>4.7619047620000003</v>
      </c>
      <c r="Q983">
        <v>0</v>
      </c>
      <c r="R983">
        <v>8.4</v>
      </c>
      <c r="S983">
        <v>96.173500000000004</v>
      </c>
      <c r="T983">
        <v>16.840900000000001</v>
      </c>
    </row>
    <row r="984" spans="1:20" x14ac:dyDescent="0.3">
      <c r="A984" t="s">
        <v>1489</v>
      </c>
      <c r="B984" t="s">
        <v>21</v>
      </c>
      <c r="C984" t="s">
        <v>1490</v>
      </c>
      <c r="D984" t="s">
        <v>23</v>
      </c>
      <c r="E984" t="s">
        <v>24</v>
      </c>
      <c r="F984" t="s">
        <v>25</v>
      </c>
      <c r="G984" t="s">
        <v>68</v>
      </c>
      <c r="H984">
        <v>97.48</v>
      </c>
      <c r="I984">
        <v>13</v>
      </c>
      <c r="J984">
        <v>63.362000000000002</v>
      </c>
      <c r="K984">
        <v>1267.24</v>
      </c>
      <c r="L984" s="1">
        <v>43571</v>
      </c>
      <c r="M984" s="2">
        <v>0.59652777777777777</v>
      </c>
      <c r="N984" t="s">
        <v>27</v>
      </c>
      <c r="O984">
        <v>877.32</v>
      </c>
      <c r="P984">
        <v>4.7619047620000003</v>
      </c>
      <c r="Q984">
        <v>389.92</v>
      </c>
      <c r="R984">
        <v>7.4</v>
      </c>
      <c r="S984">
        <v>96.173500000000004</v>
      </c>
      <c r="T984">
        <v>16.840900000000001</v>
      </c>
    </row>
    <row r="985" spans="1:20" x14ac:dyDescent="0.3">
      <c r="A985" t="s">
        <v>1491</v>
      </c>
      <c r="B985" t="s">
        <v>29</v>
      </c>
      <c r="C985" t="s">
        <v>1242</v>
      </c>
      <c r="D985" t="s">
        <v>31</v>
      </c>
      <c r="E985" t="s">
        <v>32</v>
      </c>
      <c r="F985" t="s">
        <v>36</v>
      </c>
      <c r="G985" t="s">
        <v>26</v>
      </c>
      <c r="H985">
        <v>99.96</v>
      </c>
      <c r="I985">
        <v>8</v>
      </c>
      <c r="J985">
        <v>39.984000000000002</v>
      </c>
      <c r="K985">
        <v>799.68</v>
      </c>
      <c r="L985" s="1">
        <v>43758</v>
      </c>
      <c r="M985" s="2">
        <v>0.43958333333333333</v>
      </c>
      <c r="N985" t="s">
        <v>33</v>
      </c>
      <c r="O985">
        <v>699.72</v>
      </c>
      <c r="P985">
        <v>4.7619047620000003</v>
      </c>
      <c r="Q985">
        <v>99.96</v>
      </c>
      <c r="R985">
        <v>6.4050000000000002</v>
      </c>
      <c r="S985">
        <v>96.078500000000005</v>
      </c>
      <c r="T985">
        <v>19.763300000000001</v>
      </c>
    </row>
    <row r="986" spans="1:20" x14ac:dyDescent="0.3">
      <c r="A986" t="s">
        <v>1492</v>
      </c>
      <c r="B986" t="s">
        <v>29</v>
      </c>
      <c r="C986" t="s">
        <v>1493</v>
      </c>
      <c r="D986" t="s">
        <v>31</v>
      </c>
      <c r="E986" t="s">
        <v>32</v>
      </c>
      <c r="F986" t="s">
        <v>36</v>
      </c>
      <c r="G986" t="s">
        <v>60</v>
      </c>
      <c r="H986">
        <v>96.37</v>
      </c>
      <c r="I986">
        <v>8</v>
      </c>
      <c r="J986">
        <v>38.548000000000002</v>
      </c>
      <c r="K986">
        <v>770.96</v>
      </c>
      <c r="L986" s="1">
        <v>43644</v>
      </c>
      <c r="M986" s="2">
        <v>0.4861111111111111</v>
      </c>
      <c r="N986" t="s">
        <v>33</v>
      </c>
      <c r="O986">
        <v>674.59</v>
      </c>
      <c r="P986">
        <v>4.7619047620000003</v>
      </c>
      <c r="Q986">
        <v>96.37</v>
      </c>
      <c r="R986">
        <v>6.3</v>
      </c>
      <c r="S986">
        <v>96.078500000000005</v>
      </c>
      <c r="T986">
        <v>19.763300000000001</v>
      </c>
    </row>
    <row r="987" spans="1:20" x14ac:dyDescent="0.3">
      <c r="A987" t="s">
        <v>1494</v>
      </c>
      <c r="B987" t="s">
        <v>51</v>
      </c>
      <c r="C987" t="s">
        <v>104</v>
      </c>
      <c r="D987" t="s">
        <v>53</v>
      </c>
      <c r="E987" t="s">
        <v>32</v>
      </c>
      <c r="F987" t="s">
        <v>25</v>
      </c>
      <c r="G987" t="s">
        <v>100</v>
      </c>
      <c r="H987">
        <v>63.71</v>
      </c>
      <c r="I987">
        <v>7</v>
      </c>
      <c r="J987">
        <v>22.298500000000001</v>
      </c>
      <c r="K987">
        <v>445.97</v>
      </c>
      <c r="L987" s="1">
        <v>43693</v>
      </c>
      <c r="M987" s="2">
        <v>0.8125</v>
      </c>
      <c r="N987" t="s">
        <v>27</v>
      </c>
      <c r="O987">
        <v>318.55</v>
      </c>
      <c r="P987">
        <v>4.7619047620000003</v>
      </c>
      <c r="Q987">
        <v>127.42</v>
      </c>
      <c r="R987">
        <v>10</v>
      </c>
      <c r="S987">
        <v>96.089100000000002</v>
      </c>
      <c r="T987">
        <v>21.9588</v>
      </c>
    </row>
    <row r="988" spans="1:20" x14ac:dyDescent="0.3">
      <c r="A988" t="s">
        <v>1495</v>
      </c>
      <c r="B988" t="s">
        <v>51</v>
      </c>
      <c r="C988" t="s">
        <v>1423</v>
      </c>
      <c r="D988" t="s">
        <v>53</v>
      </c>
      <c r="E988" t="s">
        <v>32</v>
      </c>
      <c r="F988" t="s">
        <v>25</v>
      </c>
      <c r="G988" t="s">
        <v>26</v>
      </c>
      <c r="H988">
        <v>14.76</v>
      </c>
      <c r="I988">
        <v>3</v>
      </c>
      <c r="J988">
        <v>2.214</v>
      </c>
      <c r="K988">
        <v>44.28</v>
      </c>
      <c r="L988" s="1">
        <v>43796</v>
      </c>
      <c r="M988" s="2">
        <v>0.61250000000000004</v>
      </c>
      <c r="N988" t="s">
        <v>27</v>
      </c>
      <c r="O988">
        <v>29.52</v>
      </c>
      <c r="P988">
        <v>4.7619047620000003</v>
      </c>
      <c r="Q988">
        <v>14.76</v>
      </c>
      <c r="R988">
        <v>5.16</v>
      </c>
      <c r="S988">
        <v>96.089100000000002</v>
      </c>
      <c r="T988">
        <v>21.9588</v>
      </c>
    </row>
    <row r="989" spans="1:20" x14ac:dyDescent="0.3">
      <c r="A989" t="s">
        <v>1496</v>
      </c>
      <c r="B989" t="s">
        <v>51</v>
      </c>
      <c r="C989" t="s">
        <v>948</v>
      </c>
      <c r="D989" t="s">
        <v>53</v>
      </c>
      <c r="E989" t="s">
        <v>24</v>
      </c>
      <c r="F989" t="s">
        <v>36</v>
      </c>
      <c r="G989" t="s">
        <v>26</v>
      </c>
      <c r="H989">
        <v>62</v>
      </c>
      <c r="I989">
        <v>15</v>
      </c>
      <c r="J989">
        <v>46.5</v>
      </c>
      <c r="K989">
        <v>930</v>
      </c>
      <c r="L989" s="1">
        <v>43651</v>
      </c>
      <c r="M989" s="2">
        <v>0.79722222222222228</v>
      </c>
      <c r="N989" t="s">
        <v>37</v>
      </c>
      <c r="O989">
        <v>496</v>
      </c>
      <c r="P989">
        <v>4.7619047620000003</v>
      </c>
      <c r="Q989">
        <v>434</v>
      </c>
      <c r="R989">
        <v>7.44</v>
      </c>
      <c r="S989">
        <v>96.089100000000002</v>
      </c>
      <c r="T989">
        <v>21.9588</v>
      </c>
    </row>
    <row r="990" spans="1:20" x14ac:dyDescent="0.3">
      <c r="A990" t="s">
        <v>1497</v>
      </c>
      <c r="B990" t="s">
        <v>29</v>
      </c>
      <c r="C990" t="s">
        <v>147</v>
      </c>
      <c r="D990" t="s">
        <v>31</v>
      </c>
      <c r="E990" t="s">
        <v>24</v>
      </c>
      <c r="F990" t="s">
        <v>36</v>
      </c>
      <c r="G990" t="s">
        <v>100</v>
      </c>
      <c r="H990">
        <v>82.34</v>
      </c>
      <c r="I990">
        <v>17</v>
      </c>
      <c r="J990">
        <v>69.989000000000004</v>
      </c>
      <c r="K990">
        <v>1399.78</v>
      </c>
      <c r="L990" s="1">
        <v>43497</v>
      </c>
      <c r="M990" s="2">
        <v>0.8</v>
      </c>
      <c r="N990" t="s">
        <v>27</v>
      </c>
      <c r="O990">
        <v>823.4</v>
      </c>
      <c r="P990">
        <v>4.7619047620000003</v>
      </c>
      <c r="Q990">
        <v>576.38</v>
      </c>
      <c r="R990">
        <v>4.5149999999999997</v>
      </c>
      <c r="S990">
        <v>96.078500000000005</v>
      </c>
      <c r="T990">
        <v>19.763300000000001</v>
      </c>
    </row>
    <row r="991" spans="1:20" x14ac:dyDescent="0.3">
      <c r="A991" t="s">
        <v>1498</v>
      </c>
      <c r="B991" t="s">
        <v>51</v>
      </c>
      <c r="C991" t="s">
        <v>1219</v>
      </c>
      <c r="D991" t="s">
        <v>53</v>
      </c>
      <c r="E991" t="s">
        <v>24</v>
      </c>
      <c r="F991" t="s">
        <v>36</v>
      </c>
      <c r="G991" t="s">
        <v>100</v>
      </c>
      <c r="H991">
        <v>75.37</v>
      </c>
      <c r="I991">
        <v>15</v>
      </c>
      <c r="J991">
        <v>56.527500000000003</v>
      </c>
      <c r="K991">
        <v>1130.55</v>
      </c>
      <c r="L991" s="1">
        <v>43820</v>
      </c>
      <c r="M991" s="2">
        <v>0.65694444444444444</v>
      </c>
      <c r="N991" t="s">
        <v>37</v>
      </c>
      <c r="O991">
        <v>602.96</v>
      </c>
      <c r="P991">
        <v>4.7619047620000003</v>
      </c>
      <c r="Q991">
        <v>527.59</v>
      </c>
      <c r="R991">
        <v>10</v>
      </c>
      <c r="S991">
        <v>96.089100000000002</v>
      </c>
      <c r="T991">
        <v>21.9588</v>
      </c>
    </row>
    <row r="992" spans="1:20" x14ac:dyDescent="0.3">
      <c r="A992" t="s">
        <v>1499</v>
      </c>
      <c r="B992" t="s">
        <v>21</v>
      </c>
      <c r="C992" t="s">
        <v>87</v>
      </c>
      <c r="D992" t="s">
        <v>23</v>
      </c>
      <c r="E992" t="s">
        <v>32</v>
      </c>
      <c r="F992" t="s">
        <v>25</v>
      </c>
      <c r="G992" t="s">
        <v>100</v>
      </c>
      <c r="H992">
        <v>56.56</v>
      </c>
      <c r="I992">
        <v>5</v>
      </c>
      <c r="J992">
        <v>14.14</v>
      </c>
      <c r="K992">
        <v>282.8</v>
      </c>
      <c r="L992" s="1">
        <v>43692</v>
      </c>
      <c r="M992" s="2">
        <v>0.79583333333333328</v>
      </c>
      <c r="N992" t="s">
        <v>37</v>
      </c>
      <c r="O992">
        <v>282.8</v>
      </c>
      <c r="P992">
        <v>4.7619047620000003</v>
      </c>
      <c r="Q992">
        <v>0</v>
      </c>
      <c r="R992">
        <v>4.5</v>
      </c>
      <c r="S992">
        <v>96.173500000000004</v>
      </c>
      <c r="T992">
        <v>16.840900000000001</v>
      </c>
    </row>
    <row r="993" spans="1:20" x14ac:dyDescent="0.3">
      <c r="A993" t="s">
        <v>1500</v>
      </c>
      <c r="B993" t="s">
        <v>51</v>
      </c>
      <c r="C993" t="s">
        <v>1258</v>
      </c>
      <c r="D993" t="s">
        <v>53</v>
      </c>
      <c r="E993" t="s">
        <v>32</v>
      </c>
      <c r="F993" t="s">
        <v>25</v>
      </c>
      <c r="G993" t="s">
        <v>100</v>
      </c>
      <c r="H993">
        <v>76.599999999999994</v>
      </c>
      <c r="I993">
        <v>14</v>
      </c>
      <c r="J993">
        <v>53.62</v>
      </c>
      <c r="K993">
        <v>1072.4000000000001</v>
      </c>
      <c r="L993" s="1">
        <v>43766</v>
      </c>
      <c r="M993" s="2">
        <v>0.75694444444444442</v>
      </c>
      <c r="N993" t="s">
        <v>27</v>
      </c>
      <c r="O993">
        <v>766</v>
      </c>
      <c r="P993">
        <v>4.7619047620000003</v>
      </c>
      <c r="Q993">
        <v>306.39999999999998</v>
      </c>
      <c r="R993">
        <v>7.2</v>
      </c>
      <c r="S993">
        <v>96.089100000000002</v>
      </c>
      <c r="T993">
        <v>21.9588</v>
      </c>
    </row>
    <row r="994" spans="1:20" x14ac:dyDescent="0.3">
      <c r="A994" t="s">
        <v>1501</v>
      </c>
      <c r="B994" t="s">
        <v>21</v>
      </c>
      <c r="C994" t="s">
        <v>736</v>
      </c>
      <c r="D994" t="s">
        <v>23</v>
      </c>
      <c r="E994" t="s">
        <v>32</v>
      </c>
      <c r="F994" t="s">
        <v>36</v>
      </c>
      <c r="G994" t="s">
        <v>100</v>
      </c>
      <c r="H994">
        <v>58.03</v>
      </c>
      <c r="I994">
        <v>2</v>
      </c>
      <c r="J994">
        <v>5.8029999999999999</v>
      </c>
      <c r="K994">
        <v>116.06</v>
      </c>
      <c r="L994" s="1">
        <v>43512</v>
      </c>
      <c r="M994" s="2">
        <v>0.86527777777777781</v>
      </c>
      <c r="N994" t="s">
        <v>27</v>
      </c>
      <c r="O994">
        <v>116.06</v>
      </c>
      <c r="P994">
        <v>4.7619047620000003</v>
      </c>
      <c r="Q994">
        <v>0</v>
      </c>
      <c r="R994">
        <v>8.8000000000000007</v>
      </c>
      <c r="S994">
        <v>96.173500000000004</v>
      </c>
      <c r="T994">
        <v>16.840900000000001</v>
      </c>
    </row>
    <row r="995" spans="1:20" x14ac:dyDescent="0.3">
      <c r="A995" t="s">
        <v>1502</v>
      </c>
      <c r="B995" t="s">
        <v>51</v>
      </c>
      <c r="C995" t="s">
        <v>803</v>
      </c>
      <c r="D995" t="s">
        <v>53</v>
      </c>
      <c r="E995" t="s">
        <v>32</v>
      </c>
      <c r="F995" t="s">
        <v>36</v>
      </c>
      <c r="G995" t="s">
        <v>100</v>
      </c>
      <c r="H995">
        <v>17.489999999999998</v>
      </c>
      <c r="I995">
        <v>14</v>
      </c>
      <c r="J995">
        <v>12.243</v>
      </c>
      <c r="K995">
        <v>244.86</v>
      </c>
      <c r="L995" s="1">
        <v>43494</v>
      </c>
      <c r="M995" s="2">
        <v>0.77430555555555558</v>
      </c>
      <c r="N995" t="s">
        <v>27</v>
      </c>
      <c r="O995">
        <v>174.9</v>
      </c>
      <c r="P995">
        <v>4.7619047620000003</v>
      </c>
      <c r="Q995">
        <v>69.959999999999994</v>
      </c>
      <c r="R995">
        <v>7.92</v>
      </c>
      <c r="S995">
        <v>96.089100000000002</v>
      </c>
      <c r="T995">
        <v>21.9588</v>
      </c>
    </row>
    <row r="996" spans="1:20" x14ac:dyDescent="0.3">
      <c r="A996" t="s">
        <v>1503</v>
      </c>
      <c r="B996" t="s">
        <v>29</v>
      </c>
      <c r="C996" t="s">
        <v>670</v>
      </c>
      <c r="D996" t="s">
        <v>31</v>
      </c>
      <c r="E996" t="s">
        <v>24</v>
      </c>
      <c r="F996" t="s">
        <v>25</v>
      </c>
      <c r="G996" t="s">
        <v>100</v>
      </c>
      <c r="H996">
        <v>60.95</v>
      </c>
      <c r="I996">
        <v>1</v>
      </c>
      <c r="J996">
        <v>3.0474999999999999</v>
      </c>
      <c r="K996">
        <v>60.95</v>
      </c>
      <c r="L996" s="1">
        <v>43724</v>
      </c>
      <c r="M996" s="2">
        <v>0.4861111111111111</v>
      </c>
      <c r="N996" t="s">
        <v>27</v>
      </c>
      <c r="O996">
        <v>60.95</v>
      </c>
      <c r="P996">
        <v>4.7619047620000003</v>
      </c>
      <c r="Q996">
        <v>0</v>
      </c>
      <c r="R996">
        <v>6.1950000000000003</v>
      </c>
      <c r="S996">
        <v>96.078500000000005</v>
      </c>
      <c r="T996">
        <v>19.763300000000001</v>
      </c>
    </row>
    <row r="997" spans="1:20" x14ac:dyDescent="0.3">
      <c r="A997" t="s">
        <v>1504</v>
      </c>
      <c r="B997" t="s">
        <v>29</v>
      </c>
      <c r="C997" t="s">
        <v>1285</v>
      </c>
      <c r="D997" t="s">
        <v>31</v>
      </c>
      <c r="E997" t="s">
        <v>32</v>
      </c>
      <c r="F997" t="s">
        <v>36</v>
      </c>
      <c r="G997" t="s">
        <v>100</v>
      </c>
      <c r="H997">
        <v>40.35</v>
      </c>
      <c r="I997">
        <v>1</v>
      </c>
      <c r="J997">
        <v>2.0175000000000001</v>
      </c>
      <c r="K997">
        <v>40.35</v>
      </c>
      <c r="L997" s="1">
        <v>43740</v>
      </c>
      <c r="M997" s="2">
        <v>0.57361111111111107</v>
      </c>
      <c r="N997" t="s">
        <v>27</v>
      </c>
      <c r="O997">
        <v>40.35</v>
      </c>
      <c r="P997">
        <v>4.7619047620000003</v>
      </c>
      <c r="Q997">
        <v>0</v>
      </c>
      <c r="R997">
        <v>6.51</v>
      </c>
      <c r="S997">
        <v>96.078500000000005</v>
      </c>
      <c r="T997">
        <v>19.763300000000001</v>
      </c>
    </row>
    <row r="998" spans="1:20" x14ac:dyDescent="0.3">
      <c r="A998" t="s">
        <v>1505</v>
      </c>
      <c r="B998" t="s">
        <v>51</v>
      </c>
      <c r="C998" t="s">
        <v>665</v>
      </c>
      <c r="D998" t="s">
        <v>53</v>
      </c>
      <c r="E998" t="s">
        <v>32</v>
      </c>
      <c r="F998" t="s">
        <v>25</v>
      </c>
      <c r="G998" t="s">
        <v>100</v>
      </c>
      <c r="H998">
        <v>97.38</v>
      </c>
      <c r="I998">
        <v>14</v>
      </c>
      <c r="J998">
        <v>68.165999999999997</v>
      </c>
      <c r="K998">
        <v>1363.32</v>
      </c>
      <c r="L998" s="1">
        <v>43828</v>
      </c>
      <c r="M998" s="2">
        <v>0.71944444444444444</v>
      </c>
      <c r="N998" t="s">
        <v>27</v>
      </c>
      <c r="O998">
        <v>973.8</v>
      </c>
      <c r="P998">
        <v>4.7619047620000003</v>
      </c>
      <c r="Q998">
        <v>389.52</v>
      </c>
      <c r="R998">
        <v>5.28</v>
      </c>
      <c r="S998">
        <v>96.089100000000002</v>
      </c>
      <c r="T998">
        <v>21.9588</v>
      </c>
    </row>
    <row r="999" spans="1:20" x14ac:dyDescent="0.3">
      <c r="A999" t="s">
        <v>1506</v>
      </c>
      <c r="B999" t="s">
        <v>21</v>
      </c>
      <c r="C999" t="s">
        <v>1507</v>
      </c>
      <c r="D999" t="s">
        <v>23</v>
      </c>
      <c r="E999" t="s">
        <v>24</v>
      </c>
      <c r="F999" t="s">
        <v>36</v>
      </c>
      <c r="G999" t="s">
        <v>100</v>
      </c>
      <c r="H999">
        <v>31.84</v>
      </c>
      <c r="I999">
        <v>1</v>
      </c>
      <c r="J999">
        <v>1.5920000000000001</v>
      </c>
      <c r="K999">
        <v>31.84</v>
      </c>
      <c r="L999" s="1">
        <v>43481</v>
      </c>
      <c r="M999" s="2">
        <v>0.55694444444444446</v>
      </c>
      <c r="N999" t="s">
        <v>33</v>
      </c>
      <c r="O999">
        <v>31.84</v>
      </c>
      <c r="P999">
        <v>4.7619047620000003</v>
      </c>
      <c r="Q999">
        <v>0</v>
      </c>
      <c r="R999">
        <v>7.7</v>
      </c>
      <c r="S999">
        <v>96.173500000000004</v>
      </c>
      <c r="T999">
        <v>16.840900000000001</v>
      </c>
    </row>
    <row r="1000" spans="1:20" x14ac:dyDescent="0.3">
      <c r="A1000" t="s">
        <v>1508</v>
      </c>
      <c r="B1000" t="s">
        <v>21</v>
      </c>
      <c r="C1000" t="s">
        <v>714</v>
      </c>
      <c r="D1000" t="s">
        <v>23</v>
      </c>
      <c r="E1000" t="s">
        <v>32</v>
      </c>
      <c r="F1000" t="s">
        <v>36</v>
      </c>
      <c r="G1000" t="s">
        <v>100</v>
      </c>
      <c r="H1000">
        <v>65.819999999999993</v>
      </c>
      <c r="I1000">
        <v>1</v>
      </c>
      <c r="J1000">
        <v>3.2909999999999999</v>
      </c>
      <c r="K1000">
        <v>65.819999999999993</v>
      </c>
      <c r="L1000" s="1">
        <v>43545</v>
      </c>
      <c r="M1000" s="2">
        <v>0.6479166666666667</v>
      </c>
      <c r="N1000" t="s">
        <v>33</v>
      </c>
      <c r="O1000">
        <v>65.819999999999993</v>
      </c>
      <c r="P1000">
        <v>4.7619047620000003</v>
      </c>
      <c r="Q1000">
        <v>0</v>
      </c>
      <c r="R1000">
        <v>4.0999999999999996</v>
      </c>
      <c r="S1000">
        <v>96.173500000000004</v>
      </c>
      <c r="T1000">
        <v>16.840900000000001</v>
      </c>
    </row>
    <row r="1001" spans="1:20" x14ac:dyDescent="0.3">
      <c r="A1001" t="s">
        <v>1509</v>
      </c>
      <c r="B1001" t="s">
        <v>21</v>
      </c>
      <c r="C1001" t="s">
        <v>326</v>
      </c>
      <c r="D1001" t="s">
        <v>23</v>
      </c>
      <c r="E1001" t="s">
        <v>24</v>
      </c>
      <c r="F1001" t="s">
        <v>25</v>
      </c>
      <c r="G1001" t="s">
        <v>100</v>
      </c>
      <c r="H1001">
        <v>88.34</v>
      </c>
      <c r="I1001">
        <v>10</v>
      </c>
      <c r="J1001">
        <v>44.17</v>
      </c>
      <c r="K1001">
        <v>883.4</v>
      </c>
      <c r="L1001" s="1">
        <v>43749</v>
      </c>
      <c r="M1001" s="2">
        <v>0.56111111111111112</v>
      </c>
      <c r="N1001" t="s">
        <v>33</v>
      </c>
      <c r="O1001">
        <v>618.38</v>
      </c>
      <c r="P1001">
        <v>4.7619047620000003</v>
      </c>
      <c r="Q1001">
        <v>265.02</v>
      </c>
      <c r="R1001">
        <v>6.6</v>
      </c>
      <c r="S1001">
        <v>96.173500000000004</v>
      </c>
      <c r="T1001">
        <v>16.840900000000001</v>
      </c>
    </row>
  </sheetData>
  <conditionalFormatting sqref="E1:E1048576 F31:F41 F108:F114 F182:F185 F250:F252">
    <cfRule type="duplicateValues"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267FE-6116-4C51-A0C3-A08BF631992A}">
  <dimension ref="A1:G22"/>
  <sheetViews>
    <sheetView zoomScaleNormal="100" workbookViewId="0">
      <selection activeCell="G27" sqref="G27"/>
    </sheetView>
  </sheetViews>
  <sheetFormatPr defaultRowHeight="14.4" x14ac:dyDescent="0.3"/>
  <cols>
    <col min="1" max="1" width="12.44140625" bestFit="1" customWidth="1"/>
    <col min="2" max="2" width="15" customWidth="1"/>
    <col min="3" max="3" width="14.21875" bestFit="1" customWidth="1"/>
    <col min="4" max="4" width="19.44140625" bestFit="1" customWidth="1"/>
    <col min="5" max="5" width="15.33203125" bestFit="1" customWidth="1"/>
    <col min="6" max="6" width="11.109375" bestFit="1" customWidth="1"/>
  </cols>
  <sheetData>
    <row r="1" spans="1:7" x14ac:dyDescent="0.3">
      <c r="E1" s="20" t="s">
        <v>1538</v>
      </c>
      <c r="F1" s="20"/>
      <c r="G1" s="20"/>
    </row>
    <row r="2" spans="1:7" x14ac:dyDescent="0.3">
      <c r="E2" s="20"/>
      <c r="F2" s="20"/>
      <c r="G2" s="20"/>
    </row>
    <row r="6" spans="1:7" x14ac:dyDescent="0.3">
      <c r="A6" s="19" t="s">
        <v>1533</v>
      </c>
      <c r="B6" s="19"/>
      <c r="D6" s="19" t="s">
        <v>1535</v>
      </c>
      <c r="E6" s="19"/>
    </row>
    <row r="7" spans="1:7" x14ac:dyDescent="0.3">
      <c r="A7" s="13" t="s">
        <v>1529</v>
      </c>
      <c r="B7" t="s">
        <v>1532</v>
      </c>
      <c r="D7" s="13" t="s">
        <v>1529</v>
      </c>
      <c r="E7" t="s">
        <v>1532</v>
      </c>
    </row>
    <row r="8" spans="1:7" x14ac:dyDescent="0.3">
      <c r="A8" s="14" t="s">
        <v>21</v>
      </c>
      <c r="B8">
        <v>363.82972631578934</v>
      </c>
      <c r="D8" s="15" t="s">
        <v>53</v>
      </c>
      <c r="E8" s="16">
        <v>486.83234939759052</v>
      </c>
    </row>
    <row r="9" spans="1:7" x14ac:dyDescent="0.3">
      <c r="A9" s="14" t="s">
        <v>51</v>
      </c>
      <c r="B9">
        <v>488.95656603773602</v>
      </c>
      <c r="D9" s="15" t="s">
        <v>31</v>
      </c>
      <c r="E9" s="16">
        <v>431.80637195121983</v>
      </c>
    </row>
    <row r="10" spans="1:7" x14ac:dyDescent="0.3">
      <c r="A10" s="14" t="s">
        <v>29</v>
      </c>
      <c r="B10">
        <v>449.06434615384637</v>
      </c>
      <c r="D10" s="15" t="s">
        <v>23</v>
      </c>
      <c r="E10" s="16">
        <v>340.84855882352946</v>
      </c>
    </row>
    <row r="11" spans="1:7" x14ac:dyDescent="0.3">
      <c r="A11" s="14" t="s">
        <v>1530</v>
      </c>
      <c r="B11">
        <v>419.14933999999943</v>
      </c>
      <c r="D11" s="14" t="s">
        <v>1530</v>
      </c>
      <c r="E11">
        <v>419.14934000000028</v>
      </c>
    </row>
    <row r="14" spans="1:7" x14ac:dyDescent="0.3">
      <c r="D14" s="19" t="s">
        <v>1537</v>
      </c>
      <c r="E14" s="19"/>
      <c r="F14" s="19"/>
    </row>
    <row r="15" spans="1:7" x14ac:dyDescent="0.3">
      <c r="D15" s="13" t="s">
        <v>1529</v>
      </c>
      <c r="E15" t="s">
        <v>1536</v>
      </c>
      <c r="F15" t="s">
        <v>1531</v>
      </c>
    </row>
    <row r="16" spans="1:7" x14ac:dyDescent="0.3">
      <c r="D16" s="15" t="s">
        <v>60</v>
      </c>
      <c r="E16" s="16">
        <v>88</v>
      </c>
      <c r="F16" s="16">
        <v>36332.360000000008</v>
      </c>
    </row>
    <row r="17" spans="1:6" x14ac:dyDescent="0.3">
      <c r="A17" s="19" t="s">
        <v>1534</v>
      </c>
      <c r="B17" s="19"/>
      <c r="D17" s="15" t="s">
        <v>100</v>
      </c>
      <c r="E17" s="16">
        <v>192</v>
      </c>
      <c r="F17" s="16">
        <v>76774.449999999939</v>
      </c>
    </row>
    <row r="18" spans="1:6" x14ac:dyDescent="0.3">
      <c r="A18" s="13" t="s">
        <v>1529</v>
      </c>
      <c r="B18" t="s">
        <v>1531</v>
      </c>
      <c r="D18" s="15" t="s">
        <v>63</v>
      </c>
      <c r="E18" s="16">
        <v>92</v>
      </c>
      <c r="F18" s="16">
        <v>41731.740000000005</v>
      </c>
    </row>
    <row r="19" spans="1:6" x14ac:dyDescent="0.3">
      <c r="A19" s="14" t="s">
        <v>24</v>
      </c>
      <c r="B19">
        <v>180371.91000000015</v>
      </c>
      <c r="D19" s="15" t="s">
        <v>26</v>
      </c>
      <c r="E19" s="16">
        <v>312</v>
      </c>
      <c r="F19" s="16">
        <v>124830.76000000005</v>
      </c>
    </row>
    <row r="20" spans="1:6" x14ac:dyDescent="0.3">
      <c r="A20" s="14" t="s">
        <v>32</v>
      </c>
      <c r="B20">
        <v>238777.42999999982</v>
      </c>
      <c r="D20" s="15" t="s">
        <v>77</v>
      </c>
      <c r="E20" s="16">
        <v>103</v>
      </c>
      <c r="F20" s="16">
        <v>44835.539999999986</v>
      </c>
    </row>
    <row r="21" spans="1:6" x14ac:dyDescent="0.3">
      <c r="A21" s="14" t="s">
        <v>1530</v>
      </c>
      <c r="B21">
        <v>419149.33999999997</v>
      </c>
      <c r="D21" s="15" t="s">
        <v>68</v>
      </c>
      <c r="E21" s="16">
        <v>213</v>
      </c>
      <c r="F21" s="16">
        <v>94644.489999999962</v>
      </c>
    </row>
    <row r="22" spans="1:6" x14ac:dyDescent="0.3">
      <c r="D22" s="14" t="s">
        <v>1530</v>
      </c>
      <c r="E22">
        <v>1000</v>
      </c>
      <c r="F22">
        <v>419149.34000000049</v>
      </c>
    </row>
  </sheetData>
  <mergeCells count="5">
    <mergeCell ref="A6:B6"/>
    <mergeCell ref="A17:B17"/>
    <mergeCell ref="D6:E6"/>
    <mergeCell ref="D14:F14"/>
    <mergeCell ref="E1:G2"/>
  </mergeCell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supermarket_sales</vt:lpstr>
      <vt:lpstr>All cleaning steps</vt:lpstr>
      <vt:lpstr>Cleaned Dataset</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Haritha Hari</cp:lastModifiedBy>
  <dcterms:created xsi:type="dcterms:W3CDTF">2026-10-02T14:27:18Z</dcterms:created>
  <dcterms:modified xsi:type="dcterms:W3CDTF">2026-10-06T02:42:04Z</dcterms:modified>
</cp:coreProperties>
</file>